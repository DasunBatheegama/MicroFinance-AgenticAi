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Client_Register" sheetId="3" state="visible" r:id="rId3"/>
    <sheet xmlns:r="http://schemas.openxmlformats.org/officeDocument/2006/relationships" name="Group_Register" sheetId="4" state="visible" r:id="rId4"/>
    <sheet xmlns:r="http://schemas.openxmlformats.org/officeDocument/2006/relationships" name="Loan_Application_Tracker" sheetId="5" state="visible" r:id="rId5"/>
    <sheet xmlns:r="http://schemas.openxmlformats.org/officeDocument/2006/relationships" name="Loan_Register" sheetId="6" state="visible" r:id="rId6"/>
    <sheet xmlns:r="http://schemas.openxmlformats.org/officeDocument/2006/relationships" name="Repayment_Ledger" sheetId="7" state="visible" r:id="rId7"/>
    <sheet xmlns:r="http://schemas.openxmlformats.org/officeDocument/2006/relationships" name="Receipt_Register" sheetId="8" state="visible" r:id="rId8"/>
    <sheet xmlns:r="http://schemas.openxmlformats.org/officeDocument/2006/relationships" name="Cash_Book" sheetId="9" state="visible" r:id="rId9"/>
    <sheet xmlns:r="http://schemas.openxmlformats.org/officeDocument/2006/relationships" name="Expense_Tracking" sheetId="10" state="visible" r:id="rId10"/>
    <sheet xmlns:r="http://schemas.openxmlformats.org/officeDocument/2006/relationships" name="Bank_Deposit_Log" sheetId="11" state="visible" r:id="rId11"/>
    <sheet xmlns:r="http://schemas.openxmlformats.org/officeDocument/2006/relationships" name="Bank_Reconciliation" sheetId="12" state="visible" r:id="rId12"/>
    <sheet xmlns:r="http://schemas.openxmlformats.org/officeDocument/2006/relationships" name="Arrears_Tracking" sheetId="13" state="visible" r:id="rId13"/>
    <sheet xmlns:r="http://schemas.openxmlformats.org/officeDocument/2006/relationships" name="Reminder_Log" sheetId="14" state="visible" r:id="rId14"/>
    <sheet xmlns:r="http://schemas.openxmlformats.org/officeDocument/2006/relationships" name="Staff_Performance" sheetId="15" state="visible" r:id="rId15"/>
    <sheet xmlns:r="http://schemas.openxmlformats.org/officeDocument/2006/relationships" name="KPI_Dashboard" sheetId="16" state="visible" r:id="rId16"/>
  </sheets>
  <definedNames>
    <definedName name="Products">Settings!$A$2:$A$6</definedName>
    <definedName name="LoanTypes">Settings!$B$2:$B$3</definedName>
    <definedName name="StatusList">Settings!$C$2:$C$7</definedName>
    <definedName name="StaffRoles">Settings!$D$2:$D$6</definedName>
    <definedName name="StaffNames">Settings!$E$2:$E$6</definedName>
    <definedName name="Channels">Settings!$F$2:$F$5</definedName>
    <definedName name="ExpenseCategories">Settings!$G$2:$G$7</definedName>
    <definedName name="ApplicationStatuses">Settings!$H$2:$H$8</definedName>
    <definedName name="RiskGrades">Settings!$I$2:$I$5</definedName>
    <definedName name="MeetingDays">Settings!$J$2:$J$8</definedName>
    <definedName name="PaymentTypes">Settings!$K$2:$K$5</definedName>
    <definedName name="LoanIDs">Loan_Register!$A$2:$A$301</definedName>
    <definedName name="ClientIDs">Client_Register!$A$2:$A$301</definedName>
    <definedName name="GroupIDs">Group_Register!$A$2:$A$201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0" borderId="0" pivotButton="0" quotePrefix="0" xfId="0"/>
    <xf numFmtId="4" fontId="0" fillId="0" borderId="0" applyAlignment="1" pivotButton="0" quotePrefix="0" xfId="0">
      <alignment vertical="top" wrapText="1"/>
    </xf>
    <xf numFmtId="4" fontId="0" fillId="0" borderId="0" pivotButton="0" quotePrefix="0" xfId="0"/>
    <xf numFmtId="165" fontId="0" fillId="0" borderId="0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ables/table1.xml><?xml version="1.0" encoding="utf-8"?>
<table xmlns="http://schemas.openxmlformats.org/spreadsheetml/2006/main" id="1" name="tblClients" displayName="tblClients" ref="A1:K301" headerRowCount="1">
  <autoFilter ref="A1:K301"/>
  <tableColumns count="11">
    <tableColumn id="1" name="Client ID"/>
    <tableColumn id="2" name="Full Name"/>
    <tableColumn id="3" name="NIC"/>
    <tableColumn id="4" name="Phone"/>
    <tableColumn id="5" name="Address"/>
    <tableColumn id="6" name="DOB"/>
    <tableColumn id="7" name="Occupation"/>
    <tableColumn id="8" name="Group ID"/>
    <tableColumn id="9" name="Registration Date"/>
    <tableColumn id="10" name="Status"/>
    <tableColumn id="11" name="Notes"/>
  </tableColumns>
  <tableStyleInfo name="TableStyleMedium9" showRowStripes="1"/>
</table>
</file>

<file path=xl/tables/table2.xml><?xml version="1.0" encoding="utf-8"?>
<table xmlns="http://schemas.openxmlformats.org/spreadsheetml/2006/main" id="2" name="tblGroups" displayName="tblGroups" ref="A1:K201" headerRowCount="1">
  <autoFilter ref="A1:K201"/>
  <tableColumns count="11">
    <tableColumn id="1" name="Group ID"/>
    <tableColumn id="2" name="Member 1 Client ID"/>
    <tableColumn id="3" name="Member 2 Client ID"/>
    <tableColumn id="4" name="Member 3 Client ID"/>
    <tableColumn id="5" name="Meeting Day"/>
    <tableColumn id="6" name="Meeting Time"/>
    <tableColumn id="7" name="Location"/>
    <tableColumn id="8" name="Loan Officer"/>
    <tableColumn id="9" name="Start Date"/>
    <tableColumn id="10" name="Status"/>
    <tableColumn id="11" name="Notes"/>
  </tableColumns>
  <tableStyleInfo name="TableStyleMedium9" showRowStripes="1"/>
</table>
</file>

<file path=xl/tables/table3.xml><?xml version="1.0" encoding="utf-8"?>
<table xmlns="http://schemas.openxmlformats.org/spreadsheetml/2006/main" id="3" name="tblApplications" displayName="tblApplications" ref="A1:O301" headerRowCount="1">
  <autoFilter ref="A1:O301"/>
  <tableColumns count="15">
    <tableColumn id="1" name="Application ID"/>
    <tableColumn id="2" name="Application Date"/>
    <tableColumn id="3" name="Applicant Type"/>
    <tableColumn id="4" name="Client/Group ID"/>
    <tableColumn id="5" name="Product"/>
    <tableColumn id="6" name="Requested Amount"/>
    <tableColumn id="7" name="Term (Weeks)"/>
    <tableColumn id="8" name="Proposed Installment"/>
    <tableColumn id="9" name="Loan Officer"/>
    <tableColumn id="10" name="Risk Grade"/>
    <tableColumn id="11" name="Status"/>
    <tableColumn id="12" name="Decision Date"/>
    <tableColumn id="13" name="Approved Amount"/>
    <tableColumn id="14" name="Approved By"/>
    <tableColumn id="15" name="Notes"/>
  </tableColumns>
  <tableStyleInfo name="TableStyleMedium9" showRowStripes="1"/>
</table>
</file>

<file path=xl/tables/table4.xml><?xml version="1.0" encoding="utf-8"?>
<table xmlns="http://schemas.openxmlformats.org/spreadsheetml/2006/main" id="4" name="tblLoans" displayName="tblLoans" ref="A1:S301" headerRowCount="1">
  <autoFilter ref="A1:S301"/>
  <tableColumns count="19">
    <tableColumn id="1" name="Loan ID"/>
    <tableColumn id="2" name="Application ID"/>
    <tableColumn id="3" name="Client/Group ID"/>
    <tableColumn id="4" name="Product"/>
    <tableColumn id="5" name="Loan Type"/>
    <tableColumn id="6" name="Cycle"/>
    <tableColumn id="7" name="Principal Amount"/>
    <tableColumn id="8" name="Interest Method"/>
    <tableColumn id="9" name="Interest Rate (%)"/>
    <tableColumn id="10" name="Processing Fee"/>
    <tableColumn id="11" name="Disbursement Date"/>
    <tableColumn id="12" name="Tenor (Weeks)"/>
    <tableColumn id="13" name="First Due Date"/>
    <tableColumn id="14" name="Installment Amount"/>
    <tableColumn id="15" name="Total Repayment"/>
    <tableColumn id="16" name="Outstanding Balance"/>
    <tableColumn id="17" name="Next Due Date"/>
    <tableColumn id="18" name="Status"/>
    <tableColumn id="19" name="Loan Officer"/>
  </tableColumns>
  <tableStyleInfo name="TableStyleMedium9" showRowStripes="1"/>
</table>
</file>

<file path=xl/tables/table5.xml><?xml version="1.0" encoding="utf-8"?>
<table xmlns="http://schemas.openxmlformats.org/spreadsheetml/2006/main" id="5" name="tblRepayments" displayName="tblRepayments" ref="A1:L801" headerRowCount="1">
  <autoFilter ref="A1:L801"/>
  <tableColumns count="12">
    <tableColumn id="1" name="Loan ID"/>
    <tableColumn id="2" name="Installment No"/>
    <tableColumn id="3" name="Due Date"/>
    <tableColumn id="4" name="Due Amount"/>
    <tableColumn id="5" name="Paid Amount"/>
    <tableColumn id="6" name="Payment Status"/>
    <tableColumn id="7" name="Payment Date"/>
    <tableColumn id="8" name="Receipt No"/>
    <tableColumn id="9" name="Balance After Payment"/>
    <tableColumn id="10" name="Days Past Due"/>
    <tableColumn id="11" name="Collected By"/>
    <tableColumn id="12" name="Notes"/>
  </tableColumns>
  <tableStyleInfo name="TableStyleMedium9" showRowStripes="1"/>
</table>
</file>

<file path=xl/tables/table6.xml><?xml version="1.0" encoding="utf-8"?>
<table xmlns="http://schemas.openxmlformats.org/spreadsheetml/2006/main" id="6" name="tblReceipts" displayName="tblReceipts" ref="A1:I801" headerRowCount="1">
  <autoFilter ref="A1:I801"/>
  <tableColumns count="9">
    <tableColumn id="1" name="Receipt No"/>
    <tableColumn id="2" name="Date"/>
    <tableColumn id="3" name="Loan ID"/>
    <tableColumn id="4" name="Client ID"/>
    <tableColumn id="5" name="Amount"/>
    <tableColumn id="6" name="Payment Type"/>
    <tableColumn id="7" name="Issued By"/>
    <tableColumn id="8" name="Posted (Y/N)"/>
    <tableColumn id="9" name="Notes"/>
  </tableColumns>
  <tableStyleInfo name="TableStyleMedium9" showRowStripes="1"/>
</table>
</file>

<file path=xl/tables/table7.xml><?xml version="1.0" encoding="utf-8"?>
<table xmlns="http://schemas.openxmlformats.org/spreadsheetml/2006/main" id="7" name="tblCashBook" displayName="tblCashBook" ref="A1:I201" headerRowCount="1">
  <autoFilter ref="A1:I201"/>
  <tableColumns count="9">
    <tableColumn id="1" name="Date"/>
    <tableColumn id="2" name="Opening Cash"/>
    <tableColumn id="3" name="Collections"/>
    <tableColumn id="4" name="Other Receipts"/>
    <tableColumn id="5" name="Expenses"/>
    <tableColumn id="6" name="Deposits"/>
    <tableColumn id="7" name="Closing Cash"/>
    <tableColumn id="8" name="Verified By"/>
    <tableColumn id="9" name="Notes"/>
  </tableColumns>
  <tableStyleInfo name="TableStyleMedium9" showRowStripes="1"/>
</table>
</file>

<file path=xl/tables/table8.xml><?xml version="1.0" encoding="utf-8"?>
<table xmlns="http://schemas.openxmlformats.org/spreadsheetml/2006/main" id="8" name="tblExpenses" displayName="tblExpenses" ref="A1:J401" headerRowCount="1">
  <autoFilter ref="A1:J401"/>
  <tableColumns count="10">
    <tableColumn id="1" name="Date"/>
    <tableColumn id="2" name="Voucher No"/>
    <tableColumn id="3" name="Paid To"/>
    <tableColumn id="4" name="Category"/>
    <tableColumn id="5" name="Description"/>
    <tableColumn id="6" name="Amount"/>
    <tableColumn id="7" name="Approved By"/>
    <tableColumn id="8" name="Paid By"/>
    <tableColumn id="9" name="Payment Method"/>
    <tableColumn id="10" name="Notes"/>
  </tableColumns>
  <tableStyleInfo name="TableStyleMedium9" showRowStripes="1"/>
</table>
</file>

<file path=xl/tables/table9.xml><?xml version="1.0" encoding="utf-8"?>
<table xmlns="http://schemas.openxmlformats.org/spreadsheetml/2006/main" id="9" name="tblDeposits" displayName="tblDeposits" ref="A1:H401" headerRowCount="1">
  <autoFilter ref="A1:H401"/>
  <tableColumns count="8">
    <tableColumn id="1" name="Date"/>
    <tableColumn id="2" name="Deposit Slip No"/>
    <tableColumn id="3" name="Amount"/>
    <tableColumn id="4" name="Source (Collections)"/>
    <tableColumn id="5" name="Bank"/>
    <tableColumn id="6" name="Entered By"/>
    <tableColumn id="7" name="Checked By"/>
    <tableColumn id="8" name="Notes"/>
  </tableColumns>
  <tableStyleInfo name="TableStyleMedium9" showRowStripes="1"/>
</table>
</file>

<file path=xl/tables/table10.xml><?xml version="1.0" encoding="utf-8"?>
<table xmlns="http://schemas.openxmlformats.org/spreadsheetml/2006/main" id="10" name="tblBankRecon" displayName="tblBankRecon" ref="A1:L81" headerRowCount="1">
  <autoFilter ref="A1:L81"/>
  <tableColumns count="12">
    <tableColumn id="1" name="Recon Date"/>
    <tableColumn id="2" name="Bank Statement Balance"/>
    <tableColumn id="3" name="Cash Book Balance"/>
    <tableColumn id="4" name="Deposits in Transit"/>
    <tableColumn id="5" name="Outstanding Withdrawals"/>
    <tableColumn id="6" name="Bank Charges"/>
    <tableColumn id="7" name="Interest Earned"/>
    <tableColumn id="8" name="Adjusted Bank Balance"/>
    <tableColumn id="9" name="Adjusted Cash Book Balance"/>
    <tableColumn id="10" name="Difference"/>
    <tableColumn id="11" name="Reviewed By"/>
    <tableColumn id="12" name="Notes"/>
  </tableColumns>
  <tableStyleInfo name="TableStyleMedium9" showRowStripes="1"/>
</table>
</file>

<file path=xl/tables/table11.xml><?xml version="1.0" encoding="utf-8"?>
<table xmlns="http://schemas.openxmlformats.org/spreadsheetml/2006/main" id="11" name="tblArrears" displayName="tblArrears" ref="A1:K401" headerRowCount="1">
  <autoFilter ref="A1:K401"/>
  <tableColumns count="11">
    <tableColumn id="1" name="As of Date"/>
    <tableColumn id="2" name="Loan ID"/>
    <tableColumn id="3" name="Client/Group ID"/>
    <tableColumn id="4" name="Days Past Due"/>
    <tableColumn id="5" name="Outstanding Balance"/>
    <tableColumn id="6" name="Bucket"/>
    <tableColumn id="7" name="Action Owner"/>
    <tableColumn id="8" name="Next Action"/>
    <tableColumn id="9" name="Status"/>
    <tableColumn id="10" name="Promise To Pay Date"/>
    <tableColumn id="11" name="Notes"/>
  </tableColumns>
  <tableStyleInfo name="TableStyleMedium9" showRowStripes="1"/>
</table>
</file>

<file path=xl/tables/table12.xml><?xml version="1.0" encoding="utf-8"?>
<table xmlns="http://schemas.openxmlformats.org/spreadsheetml/2006/main" id="12" name="tblReminders" displayName="tblReminders" ref="A1:M801" headerRowCount="1">
  <autoFilter ref="A1:M801"/>
  <tableColumns count="13">
    <tableColumn id="1" name="Reminder ID"/>
    <tableColumn id="2" name="Date Sent"/>
    <tableColumn id="3" name="Loan ID"/>
    <tableColumn id="4" name="Client ID"/>
    <tableColumn id="5" name="Channel"/>
    <tableColumn id="6" name="Reminder Type"/>
    <tableColumn id="7" name="Due Date"/>
    <tableColumn id="8" name="Amount Due"/>
    <tableColumn id="9" name="Days Past Due"/>
    <tableColumn id="10" name="Sent By"/>
    <tableColumn id="11" name="Result"/>
    <tableColumn id="12" name="Follow-up Date"/>
    <tableColumn id="13" name="Notes"/>
  </tableColumns>
  <tableStyleInfo name="TableStyleMedium9" showRowStripes="1"/>
</table>
</file>

<file path=xl/tables/table13.xml><?xml version="1.0" encoding="utf-8"?>
<table xmlns="http://schemas.openxmlformats.org/spreadsheetml/2006/main" id="13" name="tblStaffPerf" displayName="tblStaffPerf" ref="A1:I31" headerRowCount="1">
  <autoFilter ref="A1:I31"/>
  <tableColumns count="9">
    <tableColumn id="1" name="Staff Name"/>
    <tableColumn id="2" name="Role"/>
    <tableColumn id="3" name="Active Clients"/>
    <tableColumn id="4" name="Loans Managed"/>
    <tableColumn id="5" name="Amount Collected"/>
    <tableColumn id="6" name="Due Amount (All)"/>
    <tableColumn id="7" name="Collection Rate"/>
    <tableColumn id="8" name="Arrears Cases (&gt;0 days)"/>
    <tableColumn id="9" name="Notes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Microfinance Management Excel Template (Single Branch)</t>
        </is>
      </c>
    </row>
    <row r="3">
      <c r="A3" s="2" t="inlineStr">
        <is>
          <t>This template follows the minimum registers and controls in the operating manuals (client register, group register, loan register, repayment ledger, cash book, receipt control, arrears log, bank reconciliation).</t>
        </is>
      </c>
    </row>
    <row r="5">
      <c r="A5" s="2" t="inlineStr">
        <is>
          <t>Tip: If you need more rows, copy the last filled row downward (formulas + validation will extend).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28" customHeight="1">
      <c r="A1" s="3" t="inlineStr">
        <is>
          <t>Products</t>
        </is>
      </c>
      <c r="B1" s="3" t="inlineStr">
        <is>
          <t>LoanTypes</t>
        </is>
      </c>
      <c r="C1" s="3" t="inlineStr">
        <is>
          <t>Statuses</t>
        </is>
      </c>
      <c r="D1" s="3" t="inlineStr">
        <is>
          <t>StaffRoles</t>
        </is>
      </c>
      <c r="E1" s="3" t="inlineStr">
        <is>
          <t>StaffNames</t>
        </is>
      </c>
      <c r="F1" s="3" t="inlineStr">
        <is>
          <t>Channels</t>
        </is>
      </c>
      <c r="G1" s="3" t="inlineStr">
        <is>
          <t>ExpenseCategories</t>
        </is>
      </c>
      <c r="H1" s="3" t="inlineStr">
        <is>
          <t>ApplicationStatuses</t>
        </is>
      </c>
      <c r="I1" s="3" t="inlineStr">
        <is>
          <t>RiskGrades</t>
        </is>
      </c>
      <c r="J1" s="3" t="inlineStr">
        <is>
          <t>MeetingDays</t>
        </is>
      </c>
      <c r="K1" s="3" t="inlineStr">
        <is>
          <t>PaymentTypes</t>
        </is>
      </c>
    </row>
    <row r="2">
      <c r="A2" t="inlineStr">
        <is>
          <t>Group Loan 1</t>
        </is>
      </c>
      <c r="B2" t="inlineStr">
        <is>
          <t>Group</t>
        </is>
      </c>
      <c r="C2" t="inlineStr">
        <is>
          <t>Draft</t>
        </is>
      </c>
      <c r="D2" t="inlineStr">
        <is>
          <t>Branch Manager</t>
        </is>
      </c>
      <c r="E2" t="inlineStr">
        <is>
          <t>(Edit Me) Dewmal</t>
        </is>
      </c>
      <c r="F2" t="inlineStr">
        <is>
          <t>SMS</t>
        </is>
      </c>
      <c r="G2" t="inlineStr">
        <is>
          <t>Transport</t>
        </is>
      </c>
      <c r="H2" t="inlineStr">
        <is>
          <t>Draft</t>
        </is>
      </c>
      <c r="I2" t="inlineStr">
        <is>
          <t>A</t>
        </is>
      </c>
      <c r="J2" t="inlineStr">
        <is>
          <t>Monday</t>
        </is>
      </c>
      <c r="K2" t="inlineStr">
        <is>
          <t>Installment</t>
        </is>
      </c>
    </row>
    <row r="3">
      <c r="A3" t="inlineStr">
        <is>
          <t>Group Loan 2</t>
        </is>
      </c>
      <c r="B3" t="inlineStr">
        <is>
          <t>Individual</t>
        </is>
      </c>
      <c r="C3" t="inlineStr">
        <is>
          <t>Active</t>
        </is>
      </c>
      <c r="D3" t="inlineStr">
        <is>
          <t>Loan Officer</t>
        </is>
      </c>
      <c r="E3" t="inlineStr">
        <is>
          <t>(Edit Me) Staff 2</t>
        </is>
      </c>
      <c r="F3" t="inlineStr">
        <is>
          <t>Email</t>
        </is>
      </c>
      <c r="G3" t="inlineStr">
        <is>
          <t>Salary</t>
        </is>
      </c>
      <c r="H3" t="inlineStr">
        <is>
          <t>Submitted</t>
        </is>
      </c>
      <c r="I3" t="inlineStr">
        <is>
          <t>B</t>
        </is>
      </c>
      <c r="J3" t="inlineStr">
        <is>
          <t>Tuesday</t>
        </is>
      </c>
      <c r="K3" t="inlineStr">
        <is>
          <t>Fee</t>
        </is>
      </c>
    </row>
    <row r="4">
      <c r="A4" t="inlineStr">
        <is>
          <t>Group Loan 3+</t>
        </is>
      </c>
      <c r="C4" t="inlineStr">
        <is>
          <t>Closed</t>
        </is>
      </c>
      <c r="D4" t="inlineStr">
        <is>
          <t>Collections Officer</t>
        </is>
      </c>
      <c r="E4" t="inlineStr">
        <is>
          <t>(Edit Me) Staff 3</t>
        </is>
      </c>
      <c r="F4" t="inlineStr">
        <is>
          <t>Call</t>
        </is>
      </c>
      <c r="G4" t="inlineStr">
        <is>
          <t>Utilities</t>
        </is>
      </c>
      <c r="H4" t="inlineStr">
        <is>
          <t>Under Review</t>
        </is>
      </c>
      <c r="I4" t="inlineStr">
        <is>
          <t>C</t>
        </is>
      </c>
      <c r="J4" t="inlineStr">
        <is>
          <t>Wednesday</t>
        </is>
      </c>
      <c r="K4" t="inlineStr">
        <is>
          <t>Penalty</t>
        </is>
      </c>
    </row>
    <row r="5">
      <c r="A5" t="inlineStr">
        <is>
          <t>Individual Loan</t>
        </is>
      </c>
      <c r="C5" t="inlineStr">
        <is>
          <t>Rejected</t>
        </is>
      </c>
      <c r="D5" t="inlineStr">
        <is>
          <t>Finance/Cashier</t>
        </is>
      </c>
      <c r="E5" t="inlineStr">
        <is>
          <t>(Edit Me) Staff 4</t>
        </is>
      </c>
      <c r="F5" t="inlineStr">
        <is>
          <t>WhatsApp</t>
        </is>
      </c>
      <c r="G5" t="inlineStr">
        <is>
          <t>Office Supplies</t>
        </is>
      </c>
      <c r="H5" t="inlineStr">
        <is>
          <t>Approved</t>
        </is>
      </c>
      <c r="I5" t="inlineStr">
        <is>
          <t>D</t>
        </is>
      </c>
      <c r="J5" t="inlineStr">
        <is>
          <t>Thursday</t>
        </is>
      </c>
      <c r="K5" t="inlineStr">
        <is>
          <t>Other</t>
        </is>
      </c>
    </row>
    <row r="6">
      <c r="A6" t="inlineStr">
        <is>
          <t>Emergency Loan</t>
        </is>
      </c>
      <c r="C6" t="inlineStr">
        <is>
          <t>Watchlist</t>
        </is>
      </c>
      <c r="D6" t="inlineStr">
        <is>
          <t>Admin/Customer Service</t>
        </is>
      </c>
      <c r="E6" t="inlineStr">
        <is>
          <t>(Edit Me) Staff 5</t>
        </is>
      </c>
      <c r="G6" t="inlineStr">
        <is>
          <t>Bank Charges</t>
        </is>
      </c>
      <c r="H6" t="inlineStr">
        <is>
          <t>Rejected</t>
        </is>
      </c>
      <c r="J6" t="inlineStr">
        <is>
          <t>Friday</t>
        </is>
      </c>
    </row>
    <row r="7">
      <c r="C7" t="inlineStr">
        <is>
          <t>Written Off</t>
        </is>
      </c>
      <c r="G7" t="inlineStr">
        <is>
          <t>Other</t>
        </is>
      </c>
      <c r="H7" t="inlineStr">
        <is>
          <t>Cancelled</t>
        </is>
      </c>
      <c r="J7" t="inlineStr">
        <is>
          <t>Saturday</t>
        </is>
      </c>
    </row>
    <row r="8">
      <c r="H8" t="inlineStr">
        <is>
          <t>Disbursed</t>
        </is>
      </c>
      <c r="J8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4" customWidth="1" min="4" max="4"/>
    <col width="28" customWidth="1" min="5" max="5"/>
    <col width="12" customWidth="1" min="6" max="6"/>
    <col width="18" customWidth="1" min="7" max="7"/>
    <col width="12" customWidth="1" min="8" max="8"/>
    <col width="16" customWidth="1" min="9" max="9"/>
    <col width="12" customWidth="1" min="10" max="10"/>
    <col width="24" customWidth="1" min="11" max="11"/>
  </cols>
  <sheetData>
    <row r="1" ht="28" customHeight="1">
      <c r="A1" s="3" t="inlineStr">
        <is>
          <t>Client ID</t>
        </is>
      </c>
      <c r="B1" s="3" t="inlineStr">
        <is>
          <t>Full Name</t>
        </is>
      </c>
      <c r="C1" s="3" t="inlineStr">
        <is>
          <t>NIC</t>
        </is>
      </c>
      <c r="D1" s="3" t="inlineStr">
        <is>
          <t>Phone</t>
        </is>
      </c>
      <c r="E1" s="3" t="inlineStr">
        <is>
          <t>Address</t>
        </is>
      </c>
      <c r="F1" s="3" t="inlineStr">
        <is>
          <t>DOB</t>
        </is>
      </c>
      <c r="G1" s="3" t="inlineStr">
        <is>
          <t>Occupation</t>
        </is>
      </c>
      <c r="H1" s="3" t="inlineStr">
        <is>
          <t>Group ID</t>
        </is>
      </c>
      <c r="I1" s="3" t="inlineStr">
        <is>
          <t>Registration Date</t>
        </is>
      </c>
      <c r="J1" s="3" t="inlineStr">
        <is>
          <t>Status</t>
        </is>
      </c>
      <c r="K1" s="3" t="inlineStr">
        <is>
          <t>Notes</t>
        </is>
      </c>
    </row>
    <row r="2">
      <c r="A2" s="4">
        <f>IF($B2="","", "C"&amp;TEXT(ROW()-1,"0000"))</f>
        <v/>
      </c>
      <c r="B2" s="4" t="n"/>
      <c r="C2" s="4" t="n"/>
      <c r="D2" s="4" t="n"/>
      <c r="E2" s="4" t="n"/>
      <c r="F2" s="5" t="n"/>
      <c r="G2" s="4" t="n"/>
      <c r="H2" s="4" t="n"/>
      <c r="I2" s="5" t="n"/>
      <c r="J2" s="4" t="n"/>
      <c r="K2" s="4" t="n"/>
    </row>
    <row r="3">
      <c r="A3" s="4">
        <f>IF($B3="","", "C"&amp;TEXT(ROW()-1,"0000"))</f>
        <v/>
      </c>
      <c r="B3" s="4" t="n"/>
      <c r="C3" s="4" t="n"/>
      <c r="D3" s="4" t="n"/>
      <c r="E3" s="4" t="n"/>
      <c r="F3" s="5" t="n"/>
      <c r="G3" s="4" t="n"/>
      <c r="H3" s="4" t="n"/>
      <c r="I3" s="5" t="n"/>
      <c r="J3" s="4" t="n"/>
      <c r="K3" s="4" t="n"/>
    </row>
    <row r="4">
      <c r="A4" s="4">
        <f>IF($B4="","", "C"&amp;TEXT(ROW()-1,"0000"))</f>
        <v/>
      </c>
      <c r="B4" s="4" t="n"/>
      <c r="C4" s="4" t="n"/>
      <c r="D4" s="4" t="n"/>
      <c r="E4" s="4" t="n"/>
      <c r="F4" s="5" t="n"/>
      <c r="G4" s="4" t="n"/>
      <c r="H4" s="4" t="n"/>
      <c r="I4" s="5" t="n"/>
      <c r="J4" s="4" t="n"/>
      <c r="K4" s="4" t="n"/>
    </row>
    <row r="5">
      <c r="A5" s="4">
        <f>IF($B5="","", "C"&amp;TEXT(ROW()-1,"0000"))</f>
        <v/>
      </c>
      <c r="B5" s="4" t="n"/>
      <c r="C5" s="4" t="n"/>
      <c r="D5" s="4" t="n"/>
      <c r="E5" s="4" t="n"/>
      <c r="F5" s="5" t="n"/>
      <c r="G5" s="4" t="n"/>
      <c r="H5" s="4" t="n"/>
      <c r="I5" s="5" t="n"/>
      <c r="J5" s="4" t="n"/>
      <c r="K5" s="4" t="n"/>
    </row>
    <row r="6">
      <c r="A6" s="4">
        <f>IF($B6="","", "C"&amp;TEXT(ROW()-1,"0000"))</f>
        <v/>
      </c>
      <c r="B6" s="4" t="n"/>
      <c r="C6" s="4" t="n"/>
      <c r="D6" s="4" t="n"/>
      <c r="E6" s="4" t="n"/>
      <c r="F6" s="5" t="n"/>
      <c r="G6" s="4" t="n"/>
      <c r="H6" s="4" t="n"/>
      <c r="I6" s="5" t="n"/>
      <c r="J6" s="4" t="n"/>
      <c r="K6" s="4" t="n"/>
    </row>
    <row r="7">
      <c r="A7" s="4">
        <f>IF($B7="","", "C"&amp;TEXT(ROW()-1,"0000"))</f>
        <v/>
      </c>
      <c r="B7" s="4" t="n"/>
      <c r="C7" s="4" t="n"/>
      <c r="D7" s="4" t="n"/>
      <c r="E7" s="4" t="n"/>
      <c r="F7" s="5" t="n"/>
      <c r="G7" s="4" t="n"/>
      <c r="H7" s="4" t="n"/>
      <c r="I7" s="5" t="n"/>
      <c r="J7" s="4" t="n"/>
      <c r="K7" s="4" t="n"/>
    </row>
    <row r="8">
      <c r="A8" s="4">
        <f>IF($B8="","", "C"&amp;TEXT(ROW()-1,"0000"))</f>
        <v/>
      </c>
      <c r="B8" s="4" t="n"/>
      <c r="C8" s="4" t="n"/>
      <c r="D8" s="4" t="n"/>
      <c r="E8" s="4" t="n"/>
      <c r="F8" s="5" t="n"/>
      <c r="G8" s="4" t="n"/>
      <c r="H8" s="4" t="n"/>
      <c r="I8" s="5" t="n"/>
      <c r="J8" s="4" t="n"/>
      <c r="K8" s="4" t="n"/>
    </row>
    <row r="9">
      <c r="A9" s="4">
        <f>IF($B9="","", "C"&amp;TEXT(ROW()-1,"0000"))</f>
        <v/>
      </c>
      <c r="B9" s="4" t="n"/>
      <c r="C9" s="4" t="n"/>
      <c r="D9" s="4" t="n"/>
      <c r="E9" s="4" t="n"/>
      <c r="F9" s="5" t="n"/>
      <c r="G9" s="4" t="n"/>
      <c r="H9" s="4" t="n"/>
      <c r="I9" s="5" t="n"/>
      <c r="J9" s="4" t="n"/>
      <c r="K9" s="4" t="n"/>
    </row>
    <row r="10">
      <c r="A10" s="4">
        <f>IF($B10="","", "C"&amp;TEXT(ROW()-1,"0000"))</f>
        <v/>
      </c>
      <c r="B10" s="4" t="n"/>
      <c r="C10" s="4" t="n"/>
      <c r="D10" s="4" t="n"/>
      <c r="E10" s="4" t="n"/>
      <c r="F10" s="5" t="n"/>
      <c r="G10" s="4" t="n"/>
      <c r="H10" s="4" t="n"/>
      <c r="I10" s="5" t="n"/>
      <c r="J10" s="4" t="n"/>
      <c r="K10" s="4" t="n"/>
    </row>
    <row r="11">
      <c r="A11" s="4">
        <f>IF($B11="","", "C"&amp;TEXT(ROW()-1,"0000"))</f>
        <v/>
      </c>
      <c r="B11" s="4" t="n"/>
      <c r="C11" s="4" t="n"/>
      <c r="D11" s="4" t="n"/>
      <c r="E11" s="4" t="n"/>
      <c r="F11" s="5" t="n"/>
      <c r="G11" s="4" t="n"/>
      <c r="H11" s="4" t="n"/>
      <c r="I11" s="5" t="n"/>
      <c r="J11" s="4" t="n"/>
      <c r="K11" s="4" t="n"/>
    </row>
    <row r="12">
      <c r="A12" s="4">
        <f>IF($B12="","", "C"&amp;TEXT(ROW()-1,"0000"))</f>
        <v/>
      </c>
      <c r="B12" s="4" t="n"/>
      <c r="C12" s="4" t="n"/>
      <c r="D12" s="4" t="n"/>
      <c r="E12" s="4" t="n"/>
      <c r="F12" s="5" t="n"/>
      <c r="G12" s="4" t="n"/>
      <c r="H12" s="4" t="n"/>
      <c r="I12" s="5" t="n"/>
      <c r="J12" s="4" t="n"/>
      <c r="K12" s="4" t="n"/>
    </row>
    <row r="13">
      <c r="A13" s="4">
        <f>IF($B13="","", "C"&amp;TEXT(ROW()-1,"0000"))</f>
        <v/>
      </c>
      <c r="B13" s="4" t="n"/>
      <c r="C13" s="4" t="n"/>
      <c r="D13" s="4" t="n"/>
      <c r="E13" s="4" t="n"/>
      <c r="F13" s="5" t="n"/>
      <c r="G13" s="4" t="n"/>
      <c r="H13" s="4" t="n"/>
      <c r="I13" s="5" t="n"/>
      <c r="J13" s="4" t="n"/>
      <c r="K13" s="4" t="n"/>
    </row>
    <row r="14">
      <c r="A14" s="4">
        <f>IF($B14="","", "C"&amp;TEXT(ROW()-1,"0000"))</f>
        <v/>
      </c>
      <c r="B14" s="4" t="n"/>
      <c r="C14" s="4" t="n"/>
      <c r="D14" s="4" t="n"/>
      <c r="E14" s="4" t="n"/>
      <c r="F14" s="5" t="n"/>
      <c r="G14" s="4" t="n"/>
      <c r="H14" s="4" t="n"/>
      <c r="I14" s="5" t="n"/>
      <c r="J14" s="4" t="n"/>
      <c r="K14" s="4" t="n"/>
    </row>
    <row r="15">
      <c r="A15" s="4">
        <f>IF($B15="","", "C"&amp;TEXT(ROW()-1,"0000"))</f>
        <v/>
      </c>
      <c r="B15" s="4" t="n"/>
      <c r="C15" s="4" t="n"/>
      <c r="D15" s="4" t="n"/>
      <c r="E15" s="4" t="n"/>
      <c r="F15" s="5" t="n"/>
      <c r="G15" s="4" t="n"/>
      <c r="H15" s="4" t="n"/>
      <c r="I15" s="5" t="n"/>
      <c r="J15" s="4" t="n"/>
      <c r="K15" s="4" t="n"/>
    </row>
    <row r="16">
      <c r="A16" s="4">
        <f>IF($B16="","", "C"&amp;TEXT(ROW()-1,"0000"))</f>
        <v/>
      </c>
      <c r="B16" s="4" t="n"/>
      <c r="C16" s="4" t="n"/>
      <c r="D16" s="4" t="n"/>
      <c r="E16" s="4" t="n"/>
      <c r="F16" s="5" t="n"/>
      <c r="G16" s="4" t="n"/>
      <c r="H16" s="4" t="n"/>
      <c r="I16" s="5" t="n"/>
      <c r="J16" s="4" t="n"/>
      <c r="K16" s="4" t="n"/>
    </row>
    <row r="17">
      <c r="A17" s="4">
        <f>IF($B17="","", "C"&amp;TEXT(ROW()-1,"0000"))</f>
        <v/>
      </c>
      <c r="B17" s="4" t="n"/>
      <c r="C17" s="4" t="n"/>
      <c r="D17" s="4" t="n"/>
      <c r="E17" s="4" t="n"/>
      <c r="F17" s="5" t="n"/>
      <c r="G17" s="4" t="n"/>
      <c r="H17" s="4" t="n"/>
      <c r="I17" s="5" t="n"/>
      <c r="J17" s="4" t="n"/>
      <c r="K17" s="4" t="n"/>
    </row>
    <row r="18">
      <c r="A18" s="4">
        <f>IF($B18="","", "C"&amp;TEXT(ROW()-1,"0000"))</f>
        <v/>
      </c>
      <c r="B18" s="4" t="n"/>
      <c r="C18" s="4" t="n"/>
      <c r="D18" s="4" t="n"/>
      <c r="E18" s="4" t="n"/>
      <c r="F18" s="5" t="n"/>
      <c r="G18" s="4" t="n"/>
      <c r="H18" s="4" t="n"/>
      <c r="I18" s="5" t="n"/>
      <c r="J18" s="4" t="n"/>
      <c r="K18" s="4" t="n"/>
    </row>
    <row r="19">
      <c r="A19" s="4">
        <f>IF($B19="","", "C"&amp;TEXT(ROW()-1,"0000"))</f>
        <v/>
      </c>
      <c r="B19" s="4" t="n"/>
      <c r="C19" s="4" t="n"/>
      <c r="D19" s="4" t="n"/>
      <c r="E19" s="4" t="n"/>
      <c r="F19" s="5" t="n"/>
      <c r="G19" s="4" t="n"/>
      <c r="H19" s="4" t="n"/>
      <c r="I19" s="5" t="n"/>
      <c r="J19" s="4" t="n"/>
      <c r="K19" s="4" t="n"/>
    </row>
    <row r="20">
      <c r="A20" s="4">
        <f>IF($B20="","", "C"&amp;TEXT(ROW()-1,"0000"))</f>
        <v/>
      </c>
      <c r="B20" s="4" t="n"/>
      <c r="C20" s="4" t="n"/>
      <c r="D20" s="4" t="n"/>
      <c r="E20" s="4" t="n"/>
      <c r="F20" s="5" t="n"/>
      <c r="G20" s="4" t="n"/>
      <c r="H20" s="4" t="n"/>
      <c r="I20" s="5" t="n"/>
      <c r="J20" s="4" t="n"/>
      <c r="K20" s="4" t="n"/>
    </row>
    <row r="21">
      <c r="A21" s="4">
        <f>IF($B21="","", "C"&amp;TEXT(ROW()-1,"0000"))</f>
        <v/>
      </c>
      <c r="B21" s="4" t="n"/>
      <c r="C21" s="4" t="n"/>
      <c r="D21" s="4" t="n"/>
      <c r="E21" s="4" t="n"/>
      <c r="F21" s="5" t="n"/>
      <c r="G21" s="4" t="n"/>
      <c r="H21" s="4" t="n"/>
      <c r="I21" s="5" t="n"/>
      <c r="J21" s="4" t="n"/>
      <c r="K21" s="4" t="n"/>
    </row>
    <row r="22">
      <c r="A22" s="4">
        <f>IF($B22="","", "C"&amp;TEXT(ROW()-1,"0000"))</f>
        <v/>
      </c>
      <c r="B22" s="4" t="n"/>
      <c r="C22" s="4" t="n"/>
      <c r="D22" s="4" t="n"/>
      <c r="E22" s="4" t="n"/>
      <c r="F22" s="5" t="n"/>
      <c r="G22" s="4" t="n"/>
      <c r="H22" s="4" t="n"/>
      <c r="I22" s="5" t="n"/>
      <c r="J22" s="4" t="n"/>
      <c r="K22" s="4" t="n"/>
    </row>
    <row r="23">
      <c r="A23" s="4">
        <f>IF($B23="","", "C"&amp;TEXT(ROW()-1,"0000"))</f>
        <v/>
      </c>
      <c r="B23" s="4" t="n"/>
      <c r="C23" s="4" t="n"/>
      <c r="D23" s="4" t="n"/>
      <c r="E23" s="4" t="n"/>
      <c r="F23" s="5" t="n"/>
      <c r="G23" s="4" t="n"/>
      <c r="H23" s="4" t="n"/>
      <c r="I23" s="5" t="n"/>
      <c r="J23" s="4" t="n"/>
      <c r="K23" s="4" t="n"/>
    </row>
    <row r="24">
      <c r="A24" s="4">
        <f>IF($B24="","", "C"&amp;TEXT(ROW()-1,"0000"))</f>
        <v/>
      </c>
      <c r="B24" s="4" t="n"/>
      <c r="C24" s="4" t="n"/>
      <c r="D24" s="4" t="n"/>
      <c r="E24" s="4" t="n"/>
      <c r="F24" s="5" t="n"/>
      <c r="G24" s="4" t="n"/>
      <c r="H24" s="4" t="n"/>
      <c r="I24" s="5" t="n"/>
      <c r="J24" s="4" t="n"/>
      <c r="K24" s="4" t="n"/>
    </row>
    <row r="25">
      <c r="A25" s="4">
        <f>IF($B25="","", "C"&amp;TEXT(ROW()-1,"0000"))</f>
        <v/>
      </c>
      <c r="B25" s="4" t="n"/>
      <c r="C25" s="4" t="n"/>
      <c r="D25" s="4" t="n"/>
      <c r="E25" s="4" t="n"/>
      <c r="F25" s="5" t="n"/>
      <c r="G25" s="4" t="n"/>
      <c r="H25" s="4" t="n"/>
      <c r="I25" s="5" t="n"/>
      <c r="J25" s="4" t="n"/>
      <c r="K25" s="4" t="n"/>
    </row>
    <row r="26">
      <c r="A26" s="4">
        <f>IF($B26="","", "C"&amp;TEXT(ROW()-1,"0000"))</f>
        <v/>
      </c>
      <c r="B26" s="4" t="n"/>
      <c r="C26" s="4" t="n"/>
      <c r="D26" s="4" t="n"/>
      <c r="E26" s="4" t="n"/>
      <c r="F26" s="5" t="n"/>
      <c r="G26" s="4" t="n"/>
      <c r="H26" s="4" t="n"/>
      <c r="I26" s="5" t="n"/>
      <c r="J26" s="4" t="n"/>
      <c r="K26" s="4" t="n"/>
    </row>
    <row r="27">
      <c r="A27" s="4">
        <f>IF($B27="","", "C"&amp;TEXT(ROW()-1,"0000"))</f>
        <v/>
      </c>
      <c r="B27" s="4" t="n"/>
      <c r="C27" s="4" t="n"/>
      <c r="D27" s="4" t="n"/>
      <c r="E27" s="4" t="n"/>
      <c r="F27" s="5" t="n"/>
      <c r="G27" s="4" t="n"/>
      <c r="H27" s="4" t="n"/>
      <c r="I27" s="5" t="n"/>
      <c r="J27" s="4" t="n"/>
      <c r="K27" s="4" t="n"/>
    </row>
    <row r="28">
      <c r="A28" s="4">
        <f>IF($B28="","", "C"&amp;TEXT(ROW()-1,"0000"))</f>
        <v/>
      </c>
      <c r="B28" s="4" t="n"/>
      <c r="C28" s="4" t="n"/>
      <c r="D28" s="4" t="n"/>
      <c r="E28" s="4" t="n"/>
      <c r="F28" s="5" t="n"/>
      <c r="G28" s="4" t="n"/>
      <c r="H28" s="4" t="n"/>
      <c r="I28" s="5" t="n"/>
      <c r="J28" s="4" t="n"/>
      <c r="K28" s="4" t="n"/>
    </row>
    <row r="29">
      <c r="A29" s="4">
        <f>IF($B29="","", "C"&amp;TEXT(ROW()-1,"0000"))</f>
        <v/>
      </c>
      <c r="B29" s="4" t="n"/>
      <c r="C29" s="4" t="n"/>
      <c r="D29" s="4" t="n"/>
      <c r="E29" s="4" t="n"/>
      <c r="F29" s="5" t="n"/>
      <c r="G29" s="4" t="n"/>
      <c r="H29" s="4" t="n"/>
      <c r="I29" s="5" t="n"/>
      <c r="J29" s="4" t="n"/>
      <c r="K29" s="4" t="n"/>
    </row>
    <row r="30">
      <c r="A30" s="4">
        <f>IF($B30="","", "C"&amp;TEXT(ROW()-1,"0000"))</f>
        <v/>
      </c>
      <c r="B30" s="4" t="n"/>
      <c r="C30" s="4" t="n"/>
      <c r="D30" s="4" t="n"/>
      <c r="E30" s="4" t="n"/>
      <c r="F30" s="5" t="n"/>
      <c r="G30" s="4" t="n"/>
      <c r="H30" s="4" t="n"/>
      <c r="I30" s="5" t="n"/>
      <c r="J30" s="4" t="n"/>
      <c r="K30" s="4" t="n"/>
    </row>
    <row r="31">
      <c r="A31" s="4">
        <f>IF($B31="","", "C"&amp;TEXT(ROW()-1,"0000"))</f>
        <v/>
      </c>
      <c r="B31" s="4" t="n"/>
      <c r="C31" s="4" t="n"/>
      <c r="D31" s="4" t="n"/>
      <c r="E31" s="4" t="n"/>
      <c r="F31" s="5" t="n"/>
      <c r="G31" s="4" t="n"/>
      <c r="H31" s="4" t="n"/>
      <c r="I31" s="5" t="n"/>
      <c r="J31" s="4" t="n"/>
      <c r="K31" s="4" t="n"/>
    </row>
    <row r="32">
      <c r="A32" s="4">
        <f>IF($B32="","", "C"&amp;TEXT(ROW()-1,"0000"))</f>
        <v/>
      </c>
      <c r="B32" s="4" t="n"/>
      <c r="C32" s="4" t="n"/>
      <c r="D32" s="4" t="n"/>
      <c r="E32" s="4" t="n"/>
      <c r="F32" s="5" t="n"/>
      <c r="G32" s="4" t="n"/>
      <c r="H32" s="4" t="n"/>
      <c r="I32" s="5" t="n"/>
      <c r="J32" s="4" t="n"/>
      <c r="K32" s="4" t="n"/>
    </row>
    <row r="33">
      <c r="A33" s="4">
        <f>IF($B33="","", "C"&amp;TEXT(ROW()-1,"0000"))</f>
        <v/>
      </c>
      <c r="B33" s="4" t="n"/>
      <c r="C33" s="4" t="n"/>
      <c r="D33" s="4" t="n"/>
      <c r="E33" s="4" t="n"/>
      <c r="F33" s="5" t="n"/>
      <c r="G33" s="4" t="n"/>
      <c r="H33" s="4" t="n"/>
      <c r="I33" s="5" t="n"/>
      <c r="J33" s="4" t="n"/>
      <c r="K33" s="4" t="n"/>
    </row>
    <row r="34">
      <c r="A34" s="4">
        <f>IF($B34="","", "C"&amp;TEXT(ROW()-1,"0000"))</f>
        <v/>
      </c>
      <c r="B34" s="4" t="n"/>
      <c r="C34" s="4" t="n"/>
      <c r="D34" s="4" t="n"/>
      <c r="E34" s="4" t="n"/>
      <c r="F34" s="5" t="n"/>
      <c r="G34" s="4" t="n"/>
      <c r="H34" s="4" t="n"/>
      <c r="I34" s="5" t="n"/>
      <c r="J34" s="4" t="n"/>
      <c r="K34" s="4" t="n"/>
    </row>
    <row r="35">
      <c r="A35" s="4">
        <f>IF($B35="","", "C"&amp;TEXT(ROW()-1,"0000"))</f>
        <v/>
      </c>
      <c r="B35" s="4" t="n"/>
      <c r="C35" s="4" t="n"/>
      <c r="D35" s="4" t="n"/>
      <c r="E35" s="4" t="n"/>
      <c r="F35" s="5" t="n"/>
      <c r="G35" s="4" t="n"/>
      <c r="H35" s="4" t="n"/>
      <c r="I35" s="5" t="n"/>
      <c r="J35" s="4" t="n"/>
      <c r="K35" s="4" t="n"/>
    </row>
    <row r="36">
      <c r="A36" s="4">
        <f>IF($B36="","", "C"&amp;TEXT(ROW()-1,"0000"))</f>
        <v/>
      </c>
      <c r="B36" s="4" t="n"/>
      <c r="C36" s="4" t="n"/>
      <c r="D36" s="4" t="n"/>
      <c r="E36" s="4" t="n"/>
      <c r="F36" s="5" t="n"/>
      <c r="G36" s="4" t="n"/>
      <c r="H36" s="4" t="n"/>
      <c r="I36" s="5" t="n"/>
      <c r="J36" s="4" t="n"/>
      <c r="K36" s="4" t="n"/>
    </row>
    <row r="37">
      <c r="A37" s="4">
        <f>IF($B37="","", "C"&amp;TEXT(ROW()-1,"0000"))</f>
        <v/>
      </c>
      <c r="B37" s="4" t="n"/>
      <c r="C37" s="4" t="n"/>
      <c r="D37" s="4" t="n"/>
      <c r="E37" s="4" t="n"/>
      <c r="F37" s="5" t="n"/>
      <c r="G37" s="4" t="n"/>
      <c r="H37" s="4" t="n"/>
      <c r="I37" s="5" t="n"/>
      <c r="J37" s="4" t="n"/>
      <c r="K37" s="4" t="n"/>
    </row>
    <row r="38">
      <c r="A38" s="4">
        <f>IF($B38="","", "C"&amp;TEXT(ROW()-1,"0000"))</f>
        <v/>
      </c>
      <c r="B38" s="4" t="n"/>
      <c r="C38" s="4" t="n"/>
      <c r="D38" s="4" t="n"/>
      <c r="E38" s="4" t="n"/>
      <c r="F38" s="5" t="n"/>
      <c r="G38" s="4" t="n"/>
      <c r="H38" s="4" t="n"/>
      <c r="I38" s="5" t="n"/>
      <c r="J38" s="4" t="n"/>
      <c r="K38" s="4" t="n"/>
    </row>
    <row r="39">
      <c r="A39" s="4">
        <f>IF($B39="","", "C"&amp;TEXT(ROW()-1,"0000"))</f>
        <v/>
      </c>
      <c r="B39" s="4" t="n"/>
      <c r="C39" s="4" t="n"/>
      <c r="D39" s="4" t="n"/>
      <c r="E39" s="4" t="n"/>
      <c r="F39" s="5" t="n"/>
      <c r="G39" s="4" t="n"/>
      <c r="H39" s="4" t="n"/>
      <c r="I39" s="5" t="n"/>
      <c r="J39" s="4" t="n"/>
      <c r="K39" s="4" t="n"/>
    </row>
    <row r="40">
      <c r="A40" s="4">
        <f>IF($B40="","", "C"&amp;TEXT(ROW()-1,"0000"))</f>
        <v/>
      </c>
      <c r="B40" s="4" t="n"/>
      <c r="C40" s="4" t="n"/>
      <c r="D40" s="4" t="n"/>
      <c r="E40" s="4" t="n"/>
      <c r="F40" s="5" t="n"/>
      <c r="G40" s="4" t="n"/>
      <c r="H40" s="4" t="n"/>
      <c r="I40" s="5" t="n"/>
      <c r="J40" s="4" t="n"/>
      <c r="K40" s="4" t="n"/>
    </row>
    <row r="41">
      <c r="A41" s="4">
        <f>IF($B41="","", "C"&amp;TEXT(ROW()-1,"0000"))</f>
        <v/>
      </c>
      <c r="B41" s="4" t="n"/>
      <c r="C41" s="4" t="n"/>
      <c r="D41" s="4" t="n"/>
      <c r="E41" s="4" t="n"/>
      <c r="F41" s="5" t="n"/>
      <c r="G41" s="4" t="n"/>
      <c r="H41" s="4" t="n"/>
      <c r="I41" s="5" t="n"/>
      <c r="J41" s="4" t="n"/>
      <c r="K41" s="4" t="n"/>
    </row>
    <row r="42">
      <c r="A42" s="4">
        <f>IF($B42="","", "C"&amp;TEXT(ROW()-1,"0000"))</f>
        <v/>
      </c>
      <c r="B42" s="4" t="n"/>
      <c r="C42" s="4" t="n"/>
      <c r="D42" s="4" t="n"/>
      <c r="E42" s="4" t="n"/>
      <c r="F42" s="5" t="n"/>
      <c r="G42" s="4" t="n"/>
      <c r="H42" s="4" t="n"/>
      <c r="I42" s="5" t="n"/>
      <c r="J42" s="4" t="n"/>
      <c r="K42" s="4" t="n"/>
    </row>
    <row r="43">
      <c r="A43" s="4">
        <f>IF($B43="","", "C"&amp;TEXT(ROW()-1,"0000"))</f>
        <v/>
      </c>
      <c r="B43" s="4" t="n"/>
      <c r="C43" s="4" t="n"/>
      <c r="D43" s="4" t="n"/>
      <c r="E43" s="4" t="n"/>
      <c r="F43" s="5" t="n"/>
      <c r="G43" s="4" t="n"/>
      <c r="H43" s="4" t="n"/>
      <c r="I43" s="5" t="n"/>
      <c r="J43" s="4" t="n"/>
      <c r="K43" s="4" t="n"/>
    </row>
    <row r="44">
      <c r="A44" s="4">
        <f>IF($B44="","", "C"&amp;TEXT(ROW()-1,"0000"))</f>
        <v/>
      </c>
      <c r="B44" s="4" t="n"/>
      <c r="C44" s="4" t="n"/>
      <c r="D44" s="4" t="n"/>
      <c r="E44" s="4" t="n"/>
      <c r="F44" s="5" t="n"/>
      <c r="G44" s="4" t="n"/>
      <c r="H44" s="4" t="n"/>
      <c r="I44" s="5" t="n"/>
      <c r="J44" s="4" t="n"/>
      <c r="K44" s="4" t="n"/>
    </row>
    <row r="45">
      <c r="A45" s="4">
        <f>IF($B45="","", "C"&amp;TEXT(ROW()-1,"0000"))</f>
        <v/>
      </c>
      <c r="B45" s="4" t="n"/>
      <c r="C45" s="4" t="n"/>
      <c r="D45" s="4" t="n"/>
      <c r="E45" s="4" t="n"/>
      <c r="F45" s="5" t="n"/>
      <c r="G45" s="4" t="n"/>
      <c r="H45" s="4" t="n"/>
      <c r="I45" s="5" t="n"/>
      <c r="J45" s="4" t="n"/>
      <c r="K45" s="4" t="n"/>
    </row>
    <row r="46">
      <c r="A46" s="4">
        <f>IF($B46="","", "C"&amp;TEXT(ROW()-1,"0000"))</f>
        <v/>
      </c>
      <c r="B46" s="4" t="n"/>
      <c r="C46" s="4" t="n"/>
      <c r="D46" s="4" t="n"/>
      <c r="E46" s="4" t="n"/>
      <c r="F46" s="5" t="n"/>
      <c r="G46" s="4" t="n"/>
      <c r="H46" s="4" t="n"/>
      <c r="I46" s="5" t="n"/>
      <c r="J46" s="4" t="n"/>
      <c r="K46" s="4" t="n"/>
    </row>
    <row r="47">
      <c r="A47" s="4">
        <f>IF($B47="","", "C"&amp;TEXT(ROW()-1,"0000"))</f>
        <v/>
      </c>
      <c r="B47" s="4" t="n"/>
      <c r="C47" s="4" t="n"/>
      <c r="D47" s="4" t="n"/>
      <c r="E47" s="4" t="n"/>
      <c r="F47" s="5" t="n"/>
      <c r="G47" s="4" t="n"/>
      <c r="H47" s="4" t="n"/>
      <c r="I47" s="5" t="n"/>
      <c r="J47" s="4" t="n"/>
      <c r="K47" s="4" t="n"/>
    </row>
    <row r="48">
      <c r="A48" s="4">
        <f>IF($B48="","", "C"&amp;TEXT(ROW()-1,"0000"))</f>
        <v/>
      </c>
      <c r="B48" s="4" t="n"/>
      <c r="C48" s="4" t="n"/>
      <c r="D48" s="4" t="n"/>
      <c r="E48" s="4" t="n"/>
      <c r="F48" s="5" t="n"/>
      <c r="G48" s="4" t="n"/>
      <c r="H48" s="4" t="n"/>
      <c r="I48" s="5" t="n"/>
      <c r="J48" s="4" t="n"/>
      <c r="K48" s="4" t="n"/>
    </row>
    <row r="49">
      <c r="A49" s="4">
        <f>IF($B49="","", "C"&amp;TEXT(ROW()-1,"0000"))</f>
        <v/>
      </c>
      <c r="B49" s="4" t="n"/>
      <c r="C49" s="4" t="n"/>
      <c r="D49" s="4" t="n"/>
      <c r="E49" s="4" t="n"/>
      <c r="F49" s="5" t="n"/>
      <c r="G49" s="4" t="n"/>
      <c r="H49" s="4" t="n"/>
      <c r="I49" s="5" t="n"/>
      <c r="J49" s="4" t="n"/>
      <c r="K49" s="4" t="n"/>
    </row>
    <row r="50">
      <c r="A50" s="4">
        <f>IF($B50="","", "C"&amp;TEXT(ROW()-1,"0000"))</f>
        <v/>
      </c>
      <c r="B50" s="4" t="n"/>
      <c r="C50" s="4" t="n"/>
      <c r="D50" s="4" t="n"/>
      <c r="E50" s="4" t="n"/>
      <c r="F50" s="5" t="n"/>
      <c r="G50" s="4" t="n"/>
      <c r="H50" s="4" t="n"/>
      <c r="I50" s="5" t="n"/>
      <c r="J50" s="4" t="n"/>
      <c r="K50" s="4" t="n"/>
    </row>
    <row r="51">
      <c r="A51" s="4">
        <f>IF($B51="","", "C"&amp;TEXT(ROW()-1,"0000"))</f>
        <v/>
      </c>
      <c r="B51" s="4" t="n"/>
      <c r="C51" s="4" t="n"/>
      <c r="D51" s="4" t="n"/>
      <c r="E51" s="4" t="n"/>
      <c r="F51" s="5" t="n"/>
      <c r="G51" s="4" t="n"/>
      <c r="H51" s="4" t="n"/>
      <c r="I51" s="5" t="n"/>
      <c r="J51" s="4" t="n"/>
      <c r="K51" s="4" t="n"/>
    </row>
    <row r="52">
      <c r="A52" s="4">
        <f>IF($B52="","", "C"&amp;TEXT(ROW()-1,"0000"))</f>
        <v/>
      </c>
      <c r="B52" s="4" t="n"/>
      <c r="C52" s="4" t="n"/>
      <c r="D52" s="4" t="n"/>
      <c r="E52" s="4" t="n"/>
      <c r="F52" s="5" t="n"/>
      <c r="G52" s="4" t="n"/>
      <c r="H52" s="4" t="n"/>
      <c r="I52" s="5" t="n"/>
      <c r="J52" s="4" t="n"/>
      <c r="K52" s="4" t="n"/>
    </row>
    <row r="53">
      <c r="A53" s="4">
        <f>IF($B53="","", "C"&amp;TEXT(ROW()-1,"0000"))</f>
        <v/>
      </c>
      <c r="B53" s="4" t="n"/>
      <c r="C53" s="4" t="n"/>
      <c r="D53" s="4" t="n"/>
      <c r="E53" s="4" t="n"/>
      <c r="F53" s="5" t="n"/>
      <c r="G53" s="4" t="n"/>
      <c r="H53" s="4" t="n"/>
      <c r="I53" s="5" t="n"/>
      <c r="J53" s="4" t="n"/>
      <c r="K53" s="4" t="n"/>
    </row>
    <row r="54">
      <c r="A54" s="4">
        <f>IF($B54="","", "C"&amp;TEXT(ROW()-1,"0000"))</f>
        <v/>
      </c>
      <c r="B54" s="4" t="n"/>
      <c r="C54" s="4" t="n"/>
      <c r="D54" s="4" t="n"/>
      <c r="E54" s="4" t="n"/>
      <c r="F54" s="5" t="n"/>
      <c r="G54" s="4" t="n"/>
      <c r="H54" s="4" t="n"/>
      <c r="I54" s="5" t="n"/>
      <c r="J54" s="4" t="n"/>
      <c r="K54" s="4" t="n"/>
    </row>
    <row r="55">
      <c r="A55" s="4">
        <f>IF($B55="","", "C"&amp;TEXT(ROW()-1,"0000"))</f>
        <v/>
      </c>
      <c r="B55" s="4" t="n"/>
      <c r="C55" s="4" t="n"/>
      <c r="D55" s="4" t="n"/>
      <c r="E55" s="4" t="n"/>
      <c r="F55" s="5" t="n"/>
      <c r="G55" s="4" t="n"/>
      <c r="H55" s="4" t="n"/>
      <c r="I55" s="5" t="n"/>
      <c r="J55" s="4" t="n"/>
      <c r="K55" s="4" t="n"/>
    </row>
    <row r="56">
      <c r="A56" s="4">
        <f>IF($B56="","", "C"&amp;TEXT(ROW()-1,"0000"))</f>
        <v/>
      </c>
      <c r="B56" s="4" t="n"/>
      <c r="C56" s="4" t="n"/>
      <c r="D56" s="4" t="n"/>
      <c r="E56" s="4" t="n"/>
      <c r="F56" s="5" t="n"/>
      <c r="G56" s="4" t="n"/>
      <c r="H56" s="4" t="n"/>
      <c r="I56" s="5" t="n"/>
      <c r="J56" s="4" t="n"/>
      <c r="K56" s="4" t="n"/>
    </row>
    <row r="57">
      <c r="A57" s="4">
        <f>IF($B57="","", "C"&amp;TEXT(ROW()-1,"0000"))</f>
        <v/>
      </c>
      <c r="B57" s="4" t="n"/>
      <c r="C57" s="4" t="n"/>
      <c r="D57" s="4" t="n"/>
      <c r="E57" s="4" t="n"/>
      <c r="F57" s="5" t="n"/>
      <c r="G57" s="4" t="n"/>
      <c r="H57" s="4" t="n"/>
      <c r="I57" s="5" t="n"/>
      <c r="J57" s="4" t="n"/>
      <c r="K57" s="4" t="n"/>
    </row>
    <row r="58">
      <c r="A58" s="4">
        <f>IF($B58="","", "C"&amp;TEXT(ROW()-1,"0000"))</f>
        <v/>
      </c>
      <c r="B58" s="4" t="n"/>
      <c r="C58" s="4" t="n"/>
      <c r="D58" s="4" t="n"/>
      <c r="E58" s="4" t="n"/>
      <c r="F58" s="5" t="n"/>
      <c r="G58" s="4" t="n"/>
      <c r="H58" s="4" t="n"/>
      <c r="I58" s="5" t="n"/>
      <c r="J58" s="4" t="n"/>
      <c r="K58" s="4" t="n"/>
    </row>
    <row r="59">
      <c r="A59" s="4">
        <f>IF($B59="","", "C"&amp;TEXT(ROW()-1,"0000"))</f>
        <v/>
      </c>
      <c r="B59" s="4" t="n"/>
      <c r="C59" s="4" t="n"/>
      <c r="D59" s="4" t="n"/>
      <c r="E59" s="4" t="n"/>
      <c r="F59" s="5" t="n"/>
      <c r="G59" s="4" t="n"/>
      <c r="H59" s="4" t="n"/>
      <c r="I59" s="5" t="n"/>
      <c r="J59" s="4" t="n"/>
      <c r="K59" s="4" t="n"/>
    </row>
    <row r="60">
      <c r="A60" s="4">
        <f>IF($B60="","", "C"&amp;TEXT(ROW()-1,"0000"))</f>
        <v/>
      </c>
      <c r="B60" s="4" t="n"/>
      <c r="C60" s="4" t="n"/>
      <c r="D60" s="4" t="n"/>
      <c r="E60" s="4" t="n"/>
      <c r="F60" s="5" t="n"/>
      <c r="G60" s="4" t="n"/>
      <c r="H60" s="4" t="n"/>
      <c r="I60" s="5" t="n"/>
      <c r="J60" s="4" t="n"/>
      <c r="K60" s="4" t="n"/>
    </row>
    <row r="61">
      <c r="A61" s="4">
        <f>IF($B61="","", "C"&amp;TEXT(ROW()-1,"0000"))</f>
        <v/>
      </c>
      <c r="B61" s="4" t="n"/>
      <c r="C61" s="4" t="n"/>
      <c r="D61" s="4" t="n"/>
      <c r="E61" s="4" t="n"/>
      <c r="F61" s="5" t="n"/>
      <c r="G61" s="4" t="n"/>
      <c r="H61" s="4" t="n"/>
      <c r="I61" s="5" t="n"/>
      <c r="J61" s="4" t="n"/>
      <c r="K61" s="4" t="n"/>
    </row>
    <row r="62">
      <c r="A62" s="4">
        <f>IF($B62="","", "C"&amp;TEXT(ROW()-1,"0000"))</f>
        <v/>
      </c>
      <c r="B62" s="4" t="n"/>
      <c r="C62" s="4" t="n"/>
      <c r="D62" s="4" t="n"/>
      <c r="E62" s="4" t="n"/>
      <c r="F62" s="5" t="n"/>
      <c r="G62" s="4" t="n"/>
      <c r="H62" s="4" t="n"/>
      <c r="I62" s="5" t="n"/>
      <c r="J62" s="4" t="n"/>
      <c r="K62" s="4" t="n"/>
    </row>
    <row r="63">
      <c r="A63" s="4">
        <f>IF($B63="","", "C"&amp;TEXT(ROW()-1,"0000"))</f>
        <v/>
      </c>
      <c r="B63" s="4" t="n"/>
      <c r="C63" s="4" t="n"/>
      <c r="D63" s="4" t="n"/>
      <c r="E63" s="4" t="n"/>
      <c r="F63" s="5" t="n"/>
      <c r="G63" s="4" t="n"/>
      <c r="H63" s="4" t="n"/>
      <c r="I63" s="5" t="n"/>
      <c r="J63" s="4" t="n"/>
      <c r="K63" s="4" t="n"/>
    </row>
    <row r="64">
      <c r="A64" s="4">
        <f>IF($B64="","", "C"&amp;TEXT(ROW()-1,"0000"))</f>
        <v/>
      </c>
      <c r="B64" s="4" t="n"/>
      <c r="C64" s="4" t="n"/>
      <c r="D64" s="4" t="n"/>
      <c r="E64" s="4" t="n"/>
      <c r="F64" s="5" t="n"/>
      <c r="G64" s="4" t="n"/>
      <c r="H64" s="4" t="n"/>
      <c r="I64" s="5" t="n"/>
      <c r="J64" s="4" t="n"/>
      <c r="K64" s="4" t="n"/>
    </row>
    <row r="65">
      <c r="A65" s="4">
        <f>IF($B65="","", "C"&amp;TEXT(ROW()-1,"0000"))</f>
        <v/>
      </c>
      <c r="B65" s="4" t="n"/>
      <c r="C65" s="4" t="n"/>
      <c r="D65" s="4" t="n"/>
      <c r="E65" s="4" t="n"/>
      <c r="F65" s="5" t="n"/>
      <c r="G65" s="4" t="n"/>
      <c r="H65" s="4" t="n"/>
      <c r="I65" s="5" t="n"/>
      <c r="J65" s="4" t="n"/>
      <c r="K65" s="4" t="n"/>
    </row>
    <row r="66">
      <c r="A66" s="4">
        <f>IF($B66="","", "C"&amp;TEXT(ROW()-1,"0000"))</f>
        <v/>
      </c>
      <c r="B66" s="4" t="n"/>
      <c r="C66" s="4" t="n"/>
      <c r="D66" s="4" t="n"/>
      <c r="E66" s="4" t="n"/>
      <c r="F66" s="5" t="n"/>
      <c r="G66" s="4" t="n"/>
      <c r="H66" s="4" t="n"/>
      <c r="I66" s="5" t="n"/>
      <c r="J66" s="4" t="n"/>
      <c r="K66" s="4" t="n"/>
    </row>
    <row r="67">
      <c r="A67" s="4">
        <f>IF($B67="","", "C"&amp;TEXT(ROW()-1,"0000"))</f>
        <v/>
      </c>
      <c r="B67" s="4" t="n"/>
      <c r="C67" s="4" t="n"/>
      <c r="D67" s="4" t="n"/>
      <c r="E67" s="4" t="n"/>
      <c r="F67" s="5" t="n"/>
      <c r="G67" s="4" t="n"/>
      <c r="H67" s="4" t="n"/>
      <c r="I67" s="5" t="n"/>
      <c r="J67" s="4" t="n"/>
      <c r="K67" s="4" t="n"/>
    </row>
    <row r="68">
      <c r="A68" s="4">
        <f>IF($B68="","", "C"&amp;TEXT(ROW()-1,"0000"))</f>
        <v/>
      </c>
      <c r="B68" s="4" t="n"/>
      <c r="C68" s="4" t="n"/>
      <c r="D68" s="4" t="n"/>
      <c r="E68" s="4" t="n"/>
      <c r="F68" s="5" t="n"/>
      <c r="G68" s="4" t="n"/>
      <c r="H68" s="4" t="n"/>
      <c r="I68" s="5" t="n"/>
      <c r="J68" s="4" t="n"/>
      <c r="K68" s="4" t="n"/>
    </row>
    <row r="69">
      <c r="A69" s="4">
        <f>IF($B69="","", "C"&amp;TEXT(ROW()-1,"0000"))</f>
        <v/>
      </c>
      <c r="B69" s="4" t="n"/>
      <c r="C69" s="4" t="n"/>
      <c r="D69" s="4" t="n"/>
      <c r="E69" s="4" t="n"/>
      <c r="F69" s="5" t="n"/>
      <c r="G69" s="4" t="n"/>
      <c r="H69" s="4" t="n"/>
      <c r="I69" s="5" t="n"/>
      <c r="J69" s="4" t="n"/>
      <c r="K69" s="4" t="n"/>
    </row>
    <row r="70">
      <c r="A70" s="4">
        <f>IF($B70="","", "C"&amp;TEXT(ROW()-1,"0000"))</f>
        <v/>
      </c>
      <c r="B70" s="4" t="n"/>
      <c r="C70" s="4" t="n"/>
      <c r="D70" s="4" t="n"/>
      <c r="E70" s="4" t="n"/>
      <c r="F70" s="5" t="n"/>
      <c r="G70" s="4" t="n"/>
      <c r="H70" s="4" t="n"/>
      <c r="I70" s="5" t="n"/>
      <c r="J70" s="4" t="n"/>
      <c r="K70" s="4" t="n"/>
    </row>
    <row r="71">
      <c r="A71" s="4">
        <f>IF($B71="","", "C"&amp;TEXT(ROW()-1,"0000"))</f>
        <v/>
      </c>
      <c r="B71" s="4" t="n"/>
      <c r="C71" s="4" t="n"/>
      <c r="D71" s="4" t="n"/>
      <c r="E71" s="4" t="n"/>
      <c r="F71" s="5" t="n"/>
      <c r="G71" s="4" t="n"/>
      <c r="H71" s="4" t="n"/>
      <c r="I71" s="5" t="n"/>
      <c r="J71" s="4" t="n"/>
      <c r="K71" s="4" t="n"/>
    </row>
    <row r="72">
      <c r="A72" s="4">
        <f>IF($B72="","", "C"&amp;TEXT(ROW()-1,"0000"))</f>
        <v/>
      </c>
      <c r="B72" s="4" t="n"/>
      <c r="C72" s="4" t="n"/>
      <c r="D72" s="4" t="n"/>
      <c r="E72" s="4" t="n"/>
      <c r="F72" s="5" t="n"/>
      <c r="G72" s="4" t="n"/>
      <c r="H72" s="4" t="n"/>
      <c r="I72" s="5" t="n"/>
      <c r="J72" s="4" t="n"/>
      <c r="K72" s="4" t="n"/>
    </row>
    <row r="73">
      <c r="A73" s="4">
        <f>IF($B73="","", "C"&amp;TEXT(ROW()-1,"0000"))</f>
        <v/>
      </c>
      <c r="B73" s="4" t="n"/>
      <c r="C73" s="4" t="n"/>
      <c r="D73" s="4" t="n"/>
      <c r="E73" s="4" t="n"/>
      <c r="F73" s="5" t="n"/>
      <c r="G73" s="4" t="n"/>
      <c r="H73" s="4" t="n"/>
      <c r="I73" s="5" t="n"/>
      <c r="J73" s="4" t="n"/>
      <c r="K73" s="4" t="n"/>
    </row>
    <row r="74">
      <c r="A74" s="4">
        <f>IF($B74="","", "C"&amp;TEXT(ROW()-1,"0000"))</f>
        <v/>
      </c>
      <c r="B74" s="4" t="n"/>
      <c r="C74" s="4" t="n"/>
      <c r="D74" s="4" t="n"/>
      <c r="E74" s="4" t="n"/>
      <c r="F74" s="5" t="n"/>
      <c r="G74" s="4" t="n"/>
      <c r="H74" s="4" t="n"/>
      <c r="I74" s="5" t="n"/>
      <c r="J74" s="4" t="n"/>
      <c r="K74" s="4" t="n"/>
    </row>
    <row r="75">
      <c r="A75" s="4">
        <f>IF($B75="","", "C"&amp;TEXT(ROW()-1,"0000"))</f>
        <v/>
      </c>
      <c r="B75" s="4" t="n"/>
      <c r="C75" s="4" t="n"/>
      <c r="D75" s="4" t="n"/>
      <c r="E75" s="4" t="n"/>
      <c r="F75" s="5" t="n"/>
      <c r="G75" s="4" t="n"/>
      <c r="H75" s="4" t="n"/>
      <c r="I75" s="5" t="n"/>
      <c r="J75" s="4" t="n"/>
      <c r="K75" s="4" t="n"/>
    </row>
    <row r="76">
      <c r="A76" s="4">
        <f>IF($B76="","", "C"&amp;TEXT(ROW()-1,"0000"))</f>
        <v/>
      </c>
      <c r="B76" s="4" t="n"/>
      <c r="C76" s="4" t="n"/>
      <c r="D76" s="4" t="n"/>
      <c r="E76" s="4" t="n"/>
      <c r="F76" s="5" t="n"/>
      <c r="G76" s="4" t="n"/>
      <c r="H76" s="4" t="n"/>
      <c r="I76" s="5" t="n"/>
      <c r="J76" s="4" t="n"/>
      <c r="K76" s="4" t="n"/>
    </row>
    <row r="77">
      <c r="A77" s="4">
        <f>IF($B77="","", "C"&amp;TEXT(ROW()-1,"0000"))</f>
        <v/>
      </c>
      <c r="B77" s="4" t="n"/>
      <c r="C77" s="4" t="n"/>
      <c r="D77" s="4" t="n"/>
      <c r="E77" s="4" t="n"/>
      <c r="F77" s="5" t="n"/>
      <c r="G77" s="4" t="n"/>
      <c r="H77" s="4" t="n"/>
      <c r="I77" s="5" t="n"/>
      <c r="J77" s="4" t="n"/>
      <c r="K77" s="4" t="n"/>
    </row>
    <row r="78">
      <c r="A78" s="4">
        <f>IF($B78="","", "C"&amp;TEXT(ROW()-1,"0000"))</f>
        <v/>
      </c>
      <c r="B78" s="4" t="n"/>
      <c r="C78" s="4" t="n"/>
      <c r="D78" s="4" t="n"/>
      <c r="E78" s="4" t="n"/>
      <c r="F78" s="5" t="n"/>
      <c r="G78" s="4" t="n"/>
      <c r="H78" s="4" t="n"/>
      <c r="I78" s="5" t="n"/>
      <c r="J78" s="4" t="n"/>
      <c r="K78" s="4" t="n"/>
    </row>
    <row r="79">
      <c r="A79" s="4">
        <f>IF($B79="","", "C"&amp;TEXT(ROW()-1,"0000"))</f>
        <v/>
      </c>
      <c r="B79" s="4" t="n"/>
      <c r="C79" s="4" t="n"/>
      <c r="D79" s="4" t="n"/>
      <c r="E79" s="4" t="n"/>
      <c r="F79" s="5" t="n"/>
      <c r="G79" s="4" t="n"/>
      <c r="H79" s="4" t="n"/>
      <c r="I79" s="5" t="n"/>
      <c r="J79" s="4" t="n"/>
      <c r="K79" s="4" t="n"/>
    </row>
    <row r="80">
      <c r="A80" s="4">
        <f>IF($B80="","", "C"&amp;TEXT(ROW()-1,"0000"))</f>
        <v/>
      </c>
      <c r="B80" s="4" t="n"/>
      <c r="C80" s="4" t="n"/>
      <c r="D80" s="4" t="n"/>
      <c r="E80" s="4" t="n"/>
      <c r="F80" s="5" t="n"/>
      <c r="G80" s="4" t="n"/>
      <c r="H80" s="4" t="n"/>
      <c r="I80" s="5" t="n"/>
      <c r="J80" s="4" t="n"/>
      <c r="K80" s="4" t="n"/>
    </row>
    <row r="81">
      <c r="A81" s="4">
        <f>IF($B81="","", "C"&amp;TEXT(ROW()-1,"0000"))</f>
        <v/>
      </c>
      <c r="B81" s="4" t="n"/>
      <c r="C81" s="4" t="n"/>
      <c r="D81" s="4" t="n"/>
      <c r="E81" s="4" t="n"/>
      <c r="F81" s="5" t="n"/>
      <c r="G81" s="4" t="n"/>
      <c r="H81" s="4" t="n"/>
      <c r="I81" s="5" t="n"/>
      <c r="J81" s="4" t="n"/>
      <c r="K81" s="4" t="n"/>
    </row>
    <row r="82">
      <c r="A82" s="4">
        <f>IF($B82="","", "C"&amp;TEXT(ROW()-1,"0000"))</f>
        <v/>
      </c>
      <c r="B82" s="4" t="n"/>
      <c r="C82" s="4" t="n"/>
      <c r="D82" s="4" t="n"/>
      <c r="E82" s="4" t="n"/>
      <c r="F82" s="5" t="n"/>
      <c r="G82" s="4" t="n"/>
      <c r="H82" s="4" t="n"/>
      <c r="I82" s="5" t="n"/>
      <c r="J82" s="4" t="n"/>
      <c r="K82" s="4" t="n"/>
    </row>
    <row r="83">
      <c r="A83" s="4">
        <f>IF($B83="","", "C"&amp;TEXT(ROW()-1,"0000"))</f>
        <v/>
      </c>
      <c r="B83" s="4" t="n"/>
      <c r="C83" s="4" t="n"/>
      <c r="D83" s="4" t="n"/>
      <c r="E83" s="4" t="n"/>
      <c r="F83" s="5" t="n"/>
      <c r="G83" s="4" t="n"/>
      <c r="H83" s="4" t="n"/>
      <c r="I83" s="5" t="n"/>
      <c r="J83" s="4" t="n"/>
      <c r="K83" s="4" t="n"/>
    </row>
    <row r="84">
      <c r="A84" s="4">
        <f>IF($B84="","", "C"&amp;TEXT(ROW()-1,"0000"))</f>
        <v/>
      </c>
      <c r="B84" s="4" t="n"/>
      <c r="C84" s="4" t="n"/>
      <c r="D84" s="4" t="n"/>
      <c r="E84" s="4" t="n"/>
      <c r="F84" s="5" t="n"/>
      <c r="G84" s="4" t="n"/>
      <c r="H84" s="4" t="n"/>
      <c r="I84" s="5" t="n"/>
      <c r="J84" s="4" t="n"/>
      <c r="K84" s="4" t="n"/>
    </row>
    <row r="85">
      <c r="A85" s="4">
        <f>IF($B85="","", "C"&amp;TEXT(ROW()-1,"0000"))</f>
        <v/>
      </c>
      <c r="B85" s="4" t="n"/>
      <c r="C85" s="4" t="n"/>
      <c r="D85" s="4" t="n"/>
      <c r="E85" s="4" t="n"/>
      <c r="F85" s="5" t="n"/>
      <c r="G85" s="4" t="n"/>
      <c r="H85" s="4" t="n"/>
      <c r="I85" s="5" t="n"/>
      <c r="J85" s="4" t="n"/>
      <c r="K85" s="4" t="n"/>
    </row>
    <row r="86">
      <c r="A86" s="4">
        <f>IF($B86="","", "C"&amp;TEXT(ROW()-1,"0000"))</f>
        <v/>
      </c>
      <c r="B86" s="4" t="n"/>
      <c r="C86" s="4" t="n"/>
      <c r="D86" s="4" t="n"/>
      <c r="E86" s="4" t="n"/>
      <c r="F86" s="5" t="n"/>
      <c r="G86" s="4" t="n"/>
      <c r="H86" s="4" t="n"/>
      <c r="I86" s="5" t="n"/>
      <c r="J86" s="4" t="n"/>
      <c r="K86" s="4" t="n"/>
    </row>
    <row r="87">
      <c r="A87" s="4">
        <f>IF($B87="","", "C"&amp;TEXT(ROW()-1,"0000"))</f>
        <v/>
      </c>
      <c r="B87" s="4" t="n"/>
      <c r="C87" s="4" t="n"/>
      <c r="D87" s="4" t="n"/>
      <c r="E87" s="4" t="n"/>
      <c r="F87" s="5" t="n"/>
      <c r="G87" s="4" t="n"/>
      <c r="H87" s="4" t="n"/>
      <c r="I87" s="5" t="n"/>
      <c r="J87" s="4" t="n"/>
      <c r="K87" s="4" t="n"/>
    </row>
    <row r="88">
      <c r="A88" s="4">
        <f>IF($B88="","", "C"&amp;TEXT(ROW()-1,"0000"))</f>
        <v/>
      </c>
      <c r="B88" s="4" t="n"/>
      <c r="C88" s="4" t="n"/>
      <c r="D88" s="4" t="n"/>
      <c r="E88" s="4" t="n"/>
      <c r="F88" s="5" t="n"/>
      <c r="G88" s="4" t="n"/>
      <c r="H88" s="4" t="n"/>
      <c r="I88" s="5" t="n"/>
      <c r="J88" s="4" t="n"/>
      <c r="K88" s="4" t="n"/>
    </row>
    <row r="89">
      <c r="A89" s="4">
        <f>IF($B89="","", "C"&amp;TEXT(ROW()-1,"0000"))</f>
        <v/>
      </c>
      <c r="B89" s="4" t="n"/>
      <c r="C89" s="4" t="n"/>
      <c r="D89" s="4" t="n"/>
      <c r="E89" s="4" t="n"/>
      <c r="F89" s="5" t="n"/>
      <c r="G89" s="4" t="n"/>
      <c r="H89" s="4" t="n"/>
      <c r="I89" s="5" t="n"/>
      <c r="J89" s="4" t="n"/>
      <c r="K89" s="4" t="n"/>
    </row>
    <row r="90">
      <c r="A90" s="4">
        <f>IF($B90="","", "C"&amp;TEXT(ROW()-1,"0000"))</f>
        <v/>
      </c>
      <c r="B90" s="4" t="n"/>
      <c r="C90" s="4" t="n"/>
      <c r="D90" s="4" t="n"/>
      <c r="E90" s="4" t="n"/>
      <c r="F90" s="5" t="n"/>
      <c r="G90" s="4" t="n"/>
      <c r="H90" s="4" t="n"/>
      <c r="I90" s="5" t="n"/>
      <c r="J90" s="4" t="n"/>
      <c r="K90" s="4" t="n"/>
    </row>
    <row r="91">
      <c r="A91" s="4">
        <f>IF($B91="","", "C"&amp;TEXT(ROW()-1,"0000"))</f>
        <v/>
      </c>
      <c r="B91" s="4" t="n"/>
      <c r="C91" s="4" t="n"/>
      <c r="D91" s="4" t="n"/>
      <c r="E91" s="4" t="n"/>
      <c r="F91" s="5" t="n"/>
      <c r="G91" s="4" t="n"/>
      <c r="H91" s="4" t="n"/>
      <c r="I91" s="5" t="n"/>
      <c r="J91" s="4" t="n"/>
      <c r="K91" s="4" t="n"/>
    </row>
    <row r="92">
      <c r="A92" s="4">
        <f>IF($B92="","", "C"&amp;TEXT(ROW()-1,"0000"))</f>
        <v/>
      </c>
      <c r="B92" s="4" t="n"/>
      <c r="C92" s="4" t="n"/>
      <c r="D92" s="4" t="n"/>
      <c r="E92" s="4" t="n"/>
      <c r="F92" s="5" t="n"/>
      <c r="G92" s="4" t="n"/>
      <c r="H92" s="4" t="n"/>
      <c r="I92" s="5" t="n"/>
      <c r="J92" s="4" t="n"/>
      <c r="K92" s="4" t="n"/>
    </row>
    <row r="93">
      <c r="A93" s="4">
        <f>IF($B93="","", "C"&amp;TEXT(ROW()-1,"0000"))</f>
        <v/>
      </c>
      <c r="B93" s="4" t="n"/>
      <c r="C93" s="4" t="n"/>
      <c r="D93" s="4" t="n"/>
      <c r="E93" s="4" t="n"/>
      <c r="F93" s="5" t="n"/>
      <c r="G93" s="4" t="n"/>
      <c r="H93" s="4" t="n"/>
      <c r="I93" s="5" t="n"/>
      <c r="J93" s="4" t="n"/>
      <c r="K93" s="4" t="n"/>
    </row>
    <row r="94">
      <c r="A94" s="4">
        <f>IF($B94="","", "C"&amp;TEXT(ROW()-1,"0000"))</f>
        <v/>
      </c>
      <c r="B94" s="4" t="n"/>
      <c r="C94" s="4" t="n"/>
      <c r="D94" s="4" t="n"/>
      <c r="E94" s="4" t="n"/>
      <c r="F94" s="5" t="n"/>
      <c r="G94" s="4" t="n"/>
      <c r="H94" s="4" t="n"/>
      <c r="I94" s="5" t="n"/>
      <c r="J94" s="4" t="n"/>
      <c r="K94" s="4" t="n"/>
    </row>
    <row r="95">
      <c r="A95" s="4">
        <f>IF($B95="","", "C"&amp;TEXT(ROW()-1,"0000"))</f>
        <v/>
      </c>
      <c r="B95" s="4" t="n"/>
      <c r="C95" s="4" t="n"/>
      <c r="D95" s="4" t="n"/>
      <c r="E95" s="4" t="n"/>
      <c r="F95" s="5" t="n"/>
      <c r="G95" s="4" t="n"/>
      <c r="H95" s="4" t="n"/>
      <c r="I95" s="5" t="n"/>
      <c r="J95" s="4" t="n"/>
      <c r="K95" s="4" t="n"/>
    </row>
    <row r="96">
      <c r="A96" s="4">
        <f>IF($B96="","", "C"&amp;TEXT(ROW()-1,"0000"))</f>
        <v/>
      </c>
      <c r="B96" s="4" t="n"/>
      <c r="C96" s="4" t="n"/>
      <c r="D96" s="4" t="n"/>
      <c r="E96" s="4" t="n"/>
      <c r="F96" s="5" t="n"/>
      <c r="G96" s="4" t="n"/>
      <c r="H96" s="4" t="n"/>
      <c r="I96" s="5" t="n"/>
      <c r="J96" s="4" t="n"/>
      <c r="K96" s="4" t="n"/>
    </row>
    <row r="97">
      <c r="A97" s="4">
        <f>IF($B97="","", "C"&amp;TEXT(ROW()-1,"0000"))</f>
        <v/>
      </c>
      <c r="B97" s="4" t="n"/>
      <c r="C97" s="4" t="n"/>
      <c r="D97" s="4" t="n"/>
      <c r="E97" s="4" t="n"/>
      <c r="F97" s="5" t="n"/>
      <c r="G97" s="4" t="n"/>
      <c r="H97" s="4" t="n"/>
      <c r="I97" s="5" t="n"/>
      <c r="J97" s="4" t="n"/>
      <c r="K97" s="4" t="n"/>
    </row>
    <row r="98">
      <c r="A98" s="4">
        <f>IF($B98="","", "C"&amp;TEXT(ROW()-1,"0000"))</f>
        <v/>
      </c>
      <c r="B98" s="4" t="n"/>
      <c r="C98" s="4" t="n"/>
      <c r="D98" s="4" t="n"/>
      <c r="E98" s="4" t="n"/>
      <c r="F98" s="5" t="n"/>
      <c r="G98" s="4" t="n"/>
      <c r="H98" s="4" t="n"/>
      <c r="I98" s="5" t="n"/>
      <c r="J98" s="4" t="n"/>
      <c r="K98" s="4" t="n"/>
    </row>
    <row r="99">
      <c r="A99" s="4">
        <f>IF($B99="","", "C"&amp;TEXT(ROW()-1,"0000"))</f>
        <v/>
      </c>
      <c r="B99" s="4" t="n"/>
      <c r="C99" s="4" t="n"/>
      <c r="D99" s="4" t="n"/>
      <c r="E99" s="4" t="n"/>
      <c r="F99" s="5" t="n"/>
      <c r="G99" s="4" t="n"/>
      <c r="H99" s="4" t="n"/>
      <c r="I99" s="5" t="n"/>
      <c r="J99" s="4" t="n"/>
      <c r="K99" s="4" t="n"/>
    </row>
    <row r="100">
      <c r="A100" s="4">
        <f>IF($B100="","", "C"&amp;TEXT(ROW()-1,"0000"))</f>
        <v/>
      </c>
      <c r="B100" s="4" t="n"/>
      <c r="C100" s="4" t="n"/>
      <c r="D100" s="4" t="n"/>
      <c r="E100" s="4" t="n"/>
      <c r="F100" s="5" t="n"/>
      <c r="G100" s="4" t="n"/>
      <c r="H100" s="4" t="n"/>
      <c r="I100" s="5" t="n"/>
      <c r="J100" s="4" t="n"/>
      <c r="K100" s="4" t="n"/>
    </row>
    <row r="101">
      <c r="A101">
        <f>IF($B101="","", "C"&amp;TEXT(ROW()-1,"0000"))</f>
        <v/>
      </c>
      <c r="F101" s="6" t="n"/>
      <c r="I101" s="6" t="n"/>
    </row>
    <row r="102">
      <c r="A102">
        <f>IF($B102="","", "C"&amp;TEXT(ROW()-1,"0000"))</f>
        <v/>
      </c>
      <c r="F102" s="6" t="n"/>
      <c r="I102" s="6" t="n"/>
    </row>
    <row r="103">
      <c r="A103">
        <f>IF($B103="","", "C"&amp;TEXT(ROW()-1,"0000"))</f>
        <v/>
      </c>
      <c r="F103" s="6" t="n"/>
      <c r="I103" s="6" t="n"/>
    </row>
    <row r="104">
      <c r="A104">
        <f>IF($B104="","", "C"&amp;TEXT(ROW()-1,"0000"))</f>
        <v/>
      </c>
      <c r="F104" s="6" t="n"/>
      <c r="I104" s="6" t="n"/>
    </row>
    <row r="105">
      <c r="A105">
        <f>IF($B105="","", "C"&amp;TEXT(ROW()-1,"0000"))</f>
        <v/>
      </c>
      <c r="F105" s="6" t="n"/>
      <c r="I105" s="6" t="n"/>
    </row>
    <row r="106">
      <c r="A106">
        <f>IF($B106="","", "C"&amp;TEXT(ROW()-1,"0000"))</f>
        <v/>
      </c>
      <c r="F106" s="6" t="n"/>
      <c r="I106" s="6" t="n"/>
    </row>
    <row r="107">
      <c r="A107">
        <f>IF($B107="","", "C"&amp;TEXT(ROW()-1,"0000"))</f>
        <v/>
      </c>
      <c r="F107" s="6" t="n"/>
      <c r="I107" s="6" t="n"/>
    </row>
    <row r="108">
      <c r="A108">
        <f>IF($B108="","", "C"&amp;TEXT(ROW()-1,"0000"))</f>
        <v/>
      </c>
      <c r="F108" s="6" t="n"/>
      <c r="I108" s="6" t="n"/>
    </row>
    <row r="109">
      <c r="A109">
        <f>IF($B109="","", "C"&amp;TEXT(ROW()-1,"0000"))</f>
        <v/>
      </c>
      <c r="F109" s="6" t="n"/>
      <c r="I109" s="6" t="n"/>
    </row>
    <row r="110">
      <c r="A110">
        <f>IF($B110="","", "C"&amp;TEXT(ROW()-1,"0000"))</f>
        <v/>
      </c>
      <c r="F110" s="6" t="n"/>
      <c r="I110" s="6" t="n"/>
    </row>
    <row r="111">
      <c r="A111">
        <f>IF($B111="","", "C"&amp;TEXT(ROW()-1,"0000"))</f>
        <v/>
      </c>
      <c r="F111" s="6" t="n"/>
      <c r="I111" s="6" t="n"/>
    </row>
    <row r="112">
      <c r="A112">
        <f>IF($B112="","", "C"&amp;TEXT(ROW()-1,"0000"))</f>
        <v/>
      </c>
      <c r="F112" s="6" t="n"/>
      <c r="I112" s="6" t="n"/>
    </row>
    <row r="113">
      <c r="A113">
        <f>IF($B113="","", "C"&amp;TEXT(ROW()-1,"0000"))</f>
        <v/>
      </c>
      <c r="F113" s="6" t="n"/>
      <c r="I113" s="6" t="n"/>
    </row>
    <row r="114">
      <c r="A114">
        <f>IF($B114="","", "C"&amp;TEXT(ROW()-1,"0000"))</f>
        <v/>
      </c>
      <c r="F114" s="6" t="n"/>
      <c r="I114" s="6" t="n"/>
    </row>
    <row r="115">
      <c r="A115">
        <f>IF($B115="","", "C"&amp;TEXT(ROW()-1,"0000"))</f>
        <v/>
      </c>
      <c r="F115" s="6" t="n"/>
      <c r="I115" s="6" t="n"/>
    </row>
    <row r="116">
      <c r="A116">
        <f>IF($B116="","", "C"&amp;TEXT(ROW()-1,"0000"))</f>
        <v/>
      </c>
      <c r="F116" s="6" t="n"/>
      <c r="I116" s="6" t="n"/>
    </row>
    <row r="117">
      <c r="A117">
        <f>IF($B117="","", "C"&amp;TEXT(ROW()-1,"0000"))</f>
        <v/>
      </c>
      <c r="F117" s="6" t="n"/>
      <c r="I117" s="6" t="n"/>
    </row>
    <row r="118">
      <c r="A118">
        <f>IF($B118="","", "C"&amp;TEXT(ROW()-1,"0000"))</f>
        <v/>
      </c>
      <c r="F118" s="6" t="n"/>
      <c r="I118" s="6" t="n"/>
    </row>
    <row r="119">
      <c r="A119">
        <f>IF($B119="","", "C"&amp;TEXT(ROW()-1,"0000"))</f>
        <v/>
      </c>
      <c r="F119" s="6" t="n"/>
      <c r="I119" s="6" t="n"/>
    </row>
    <row r="120">
      <c r="A120">
        <f>IF($B120="","", "C"&amp;TEXT(ROW()-1,"0000"))</f>
        <v/>
      </c>
      <c r="F120" s="6" t="n"/>
      <c r="I120" s="6" t="n"/>
    </row>
    <row r="121">
      <c r="A121">
        <f>IF($B121="","", "C"&amp;TEXT(ROW()-1,"0000"))</f>
        <v/>
      </c>
      <c r="F121" s="6" t="n"/>
      <c r="I121" s="6" t="n"/>
    </row>
    <row r="122">
      <c r="A122">
        <f>IF($B122="","", "C"&amp;TEXT(ROW()-1,"0000"))</f>
        <v/>
      </c>
      <c r="F122" s="6" t="n"/>
      <c r="I122" s="6" t="n"/>
    </row>
    <row r="123">
      <c r="A123">
        <f>IF($B123="","", "C"&amp;TEXT(ROW()-1,"0000"))</f>
        <v/>
      </c>
      <c r="F123" s="6" t="n"/>
      <c r="I123" s="6" t="n"/>
    </row>
    <row r="124">
      <c r="A124">
        <f>IF($B124="","", "C"&amp;TEXT(ROW()-1,"0000"))</f>
        <v/>
      </c>
      <c r="F124" s="6" t="n"/>
      <c r="I124" s="6" t="n"/>
    </row>
    <row r="125">
      <c r="A125">
        <f>IF($B125="","", "C"&amp;TEXT(ROW()-1,"0000"))</f>
        <v/>
      </c>
      <c r="F125" s="6" t="n"/>
      <c r="I125" s="6" t="n"/>
    </row>
    <row r="126">
      <c r="A126">
        <f>IF($B126="","", "C"&amp;TEXT(ROW()-1,"0000"))</f>
        <v/>
      </c>
      <c r="F126" s="6" t="n"/>
      <c r="I126" s="6" t="n"/>
    </row>
    <row r="127">
      <c r="A127">
        <f>IF($B127="","", "C"&amp;TEXT(ROW()-1,"0000"))</f>
        <v/>
      </c>
      <c r="F127" s="6" t="n"/>
      <c r="I127" s="6" t="n"/>
    </row>
    <row r="128">
      <c r="A128">
        <f>IF($B128="","", "C"&amp;TEXT(ROW()-1,"0000"))</f>
        <v/>
      </c>
      <c r="F128" s="6" t="n"/>
      <c r="I128" s="6" t="n"/>
    </row>
    <row r="129">
      <c r="A129">
        <f>IF($B129="","", "C"&amp;TEXT(ROW()-1,"0000"))</f>
        <v/>
      </c>
      <c r="F129" s="6" t="n"/>
      <c r="I129" s="6" t="n"/>
    </row>
    <row r="130">
      <c r="A130">
        <f>IF($B130="","", "C"&amp;TEXT(ROW()-1,"0000"))</f>
        <v/>
      </c>
      <c r="F130" s="6" t="n"/>
      <c r="I130" s="6" t="n"/>
    </row>
    <row r="131">
      <c r="A131">
        <f>IF($B131="","", "C"&amp;TEXT(ROW()-1,"0000"))</f>
        <v/>
      </c>
      <c r="F131" s="6" t="n"/>
      <c r="I131" s="6" t="n"/>
    </row>
    <row r="132">
      <c r="A132">
        <f>IF($B132="","", "C"&amp;TEXT(ROW()-1,"0000"))</f>
        <v/>
      </c>
      <c r="F132" s="6" t="n"/>
      <c r="I132" s="6" t="n"/>
    </row>
    <row r="133">
      <c r="A133">
        <f>IF($B133="","", "C"&amp;TEXT(ROW()-1,"0000"))</f>
        <v/>
      </c>
      <c r="F133" s="6" t="n"/>
      <c r="I133" s="6" t="n"/>
    </row>
    <row r="134">
      <c r="A134">
        <f>IF($B134="","", "C"&amp;TEXT(ROW()-1,"0000"))</f>
        <v/>
      </c>
      <c r="F134" s="6" t="n"/>
      <c r="I134" s="6" t="n"/>
    </row>
    <row r="135">
      <c r="A135">
        <f>IF($B135="","", "C"&amp;TEXT(ROW()-1,"0000"))</f>
        <v/>
      </c>
      <c r="F135" s="6" t="n"/>
      <c r="I135" s="6" t="n"/>
    </row>
    <row r="136">
      <c r="A136">
        <f>IF($B136="","", "C"&amp;TEXT(ROW()-1,"0000"))</f>
        <v/>
      </c>
      <c r="F136" s="6" t="n"/>
      <c r="I136" s="6" t="n"/>
    </row>
    <row r="137">
      <c r="A137">
        <f>IF($B137="","", "C"&amp;TEXT(ROW()-1,"0000"))</f>
        <v/>
      </c>
      <c r="F137" s="6" t="n"/>
      <c r="I137" s="6" t="n"/>
    </row>
    <row r="138">
      <c r="A138">
        <f>IF($B138="","", "C"&amp;TEXT(ROW()-1,"0000"))</f>
        <v/>
      </c>
      <c r="F138" s="6" t="n"/>
      <c r="I138" s="6" t="n"/>
    </row>
    <row r="139">
      <c r="A139">
        <f>IF($B139="","", "C"&amp;TEXT(ROW()-1,"0000"))</f>
        <v/>
      </c>
      <c r="F139" s="6" t="n"/>
      <c r="I139" s="6" t="n"/>
    </row>
    <row r="140">
      <c r="A140">
        <f>IF($B140="","", "C"&amp;TEXT(ROW()-1,"0000"))</f>
        <v/>
      </c>
      <c r="F140" s="6" t="n"/>
      <c r="I140" s="6" t="n"/>
    </row>
    <row r="141">
      <c r="A141">
        <f>IF($B141="","", "C"&amp;TEXT(ROW()-1,"0000"))</f>
        <v/>
      </c>
      <c r="F141" s="6" t="n"/>
      <c r="I141" s="6" t="n"/>
    </row>
    <row r="142">
      <c r="A142">
        <f>IF($B142="","", "C"&amp;TEXT(ROW()-1,"0000"))</f>
        <v/>
      </c>
      <c r="F142" s="6" t="n"/>
      <c r="I142" s="6" t="n"/>
    </row>
    <row r="143">
      <c r="A143">
        <f>IF($B143="","", "C"&amp;TEXT(ROW()-1,"0000"))</f>
        <v/>
      </c>
      <c r="F143" s="6" t="n"/>
      <c r="I143" s="6" t="n"/>
    </row>
    <row r="144">
      <c r="A144">
        <f>IF($B144="","", "C"&amp;TEXT(ROW()-1,"0000"))</f>
        <v/>
      </c>
      <c r="F144" s="6" t="n"/>
      <c r="I144" s="6" t="n"/>
    </row>
    <row r="145">
      <c r="A145">
        <f>IF($B145="","", "C"&amp;TEXT(ROW()-1,"0000"))</f>
        <v/>
      </c>
      <c r="F145" s="6" t="n"/>
      <c r="I145" s="6" t="n"/>
    </row>
    <row r="146">
      <c r="A146">
        <f>IF($B146="","", "C"&amp;TEXT(ROW()-1,"0000"))</f>
        <v/>
      </c>
      <c r="F146" s="6" t="n"/>
      <c r="I146" s="6" t="n"/>
    </row>
    <row r="147">
      <c r="A147">
        <f>IF($B147="","", "C"&amp;TEXT(ROW()-1,"0000"))</f>
        <v/>
      </c>
      <c r="F147" s="6" t="n"/>
      <c r="I147" s="6" t="n"/>
    </row>
    <row r="148">
      <c r="A148">
        <f>IF($B148="","", "C"&amp;TEXT(ROW()-1,"0000"))</f>
        <v/>
      </c>
      <c r="F148" s="6" t="n"/>
      <c r="I148" s="6" t="n"/>
    </row>
    <row r="149">
      <c r="A149">
        <f>IF($B149="","", "C"&amp;TEXT(ROW()-1,"0000"))</f>
        <v/>
      </c>
      <c r="F149" s="6" t="n"/>
      <c r="I149" s="6" t="n"/>
    </row>
    <row r="150">
      <c r="A150">
        <f>IF($B150="","", "C"&amp;TEXT(ROW()-1,"0000"))</f>
        <v/>
      </c>
      <c r="F150" s="6" t="n"/>
      <c r="I150" s="6" t="n"/>
    </row>
    <row r="151">
      <c r="A151">
        <f>IF($B151="","", "C"&amp;TEXT(ROW()-1,"0000"))</f>
        <v/>
      </c>
      <c r="F151" s="6" t="n"/>
      <c r="I151" s="6" t="n"/>
    </row>
    <row r="152">
      <c r="A152">
        <f>IF($B152="","", "C"&amp;TEXT(ROW()-1,"0000"))</f>
        <v/>
      </c>
      <c r="F152" s="6" t="n"/>
      <c r="I152" s="6" t="n"/>
    </row>
    <row r="153">
      <c r="A153">
        <f>IF($B153="","", "C"&amp;TEXT(ROW()-1,"0000"))</f>
        <v/>
      </c>
      <c r="F153" s="6" t="n"/>
      <c r="I153" s="6" t="n"/>
    </row>
    <row r="154">
      <c r="A154">
        <f>IF($B154="","", "C"&amp;TEXT(ROW()-1,"0000"))</f>
        <v/>
      </c>
      <c r="F154" s="6" t="n"/>
      <c r="I154" s="6" t="n"/>
    </row>
    <row r="155">
      <c r="A155">
        <f>IF($B155="","", "C"&amp;TEXT(ROW()-1,"0000"))</f>
        <v/>
      </c>
      <c r="F155" s="6" t="n"/>
      <c r="I155" s="6" t="n"/>
    </row>
    <row r="156">
      <c r="A156">
        <f>IF($B156="","", "C"&amp;TEXT(ROW()-1,"0000"))</f>
        <v/>
      </c>
      <c r="F156" s="6" t="n"/>
      <c r="I156" s="6" t="n"/>
    </row>
    <row r="157">
      <c r="A157">
        <f>IF($B157="","", "C"&amp;TEXT(ROW()-1,"0000"))</f>
        <v/>
      </c>
      <c r="F157" s="6" t="n"/>
      <c r="I157" s="6" t="n"/>
    </row>
    <row r="158">
      <c r="A158">
        <f>IF($B158="","", "C"&amp;TEXT(ROW()-1,"0000"))</f>
        <v/>
      </c>
      <c r="F158" s="6" t="n"/>
      <c r="I158" s="6" t="n"/>
    </row>
    <row r="159">
      <c r="A159">
        <f>IF($B159="","", "C"&amp;TEXT(ROW()-1,"0000"))</f>
        <v/>
      </c>
      <c r="F159" s="6" t="n"/>
      <c r="I159" s="6" t="n"/>
    </row>
    <row r="160">
      <c r="A160">
        <f>IF($B160="","", "C"&amp;TEXT(ROW()-1,"0000"))</f>
        <v/>
      </c>
      <c r="F160" s="6" t="n"/>
      <c r="I160" s="6" t="n"/>
    </row>
    <row r="161">
      <c r="A161">
        <f>IF($B161="","", "C"&amp;TEXT(ROW()-1,"0000"))</f>
        <v/>
      </c>
      <c r="F161" s="6" t="n"/>
      <c r="I161" s="6" t="n"/>
    </row>
    <row r="162">
      <c r="A162">
        <f>IF($B162="","", "C"&amp;TEXT(ROW()-1,"0000"))</f>
        <v/>
      </c>
      <c r="F162" s="6" t="n"/>
      <c r="I162" s="6" t="n"/>
    </row>
    <row r="163">
      <c r="A163">
        <f>IF($B163="","", "C"&amp;TEXT(ROW()-1,"0000"))</f>
        <v/>
      </c>
      <c r="F163" s="6" t="n"/>
      <c r="I163" s="6" t="n"/>
    </row>
    <row r="164">
      <c r="A164">
        <f>IF($B164="","", "C"&amp;TEXT(ROW()-1,"0000"))</f>
        <v/>
      </c>
      <c r="F164" s="6" t="n"/>
      <c r="I164" s="6" t="n"/>
    </row>
    <row r="165">
      <c r="A165">
        <f>IF($B165="","", "C"&amp;TEXT(ROW()-1,"0000"))</f>
        <v/>
      </c>
      <c r="F165" s="6" t="n"/>
      <c r="I165" s="6" t="n"/>
    </row>
    <row r="166">
      <c r="A166">
        <f>IF($B166="","", "C"&amp;TEXT(ROW()-1,"0000"))</f>
        <v/>
      </c>
      <c r="F166" s="6" t="n"/>
      <c r="I166" s="6" t="n"/>
    </row>
    <row r="167">
      <c r="A167">
        <f>IF($B167="","", "C"&amp;TEXT(ROW()-1,"0000"))</f>
        <v/>
      </c>
      <c r="F167" s="6" t="n"/>
      <c r="I167" s="6" t="n"/>
    </row>
    <row r="168">
      <c r="A168">
        <f>IF($B168="","", "C"&amp;TEXT(ROW()-1,"0000"))</f>
        <v/>
      </c>
      <c r="F168" s="6" t="n"/>
      <c r="I168" s="6" t="n"/>
    </row>
    <row r="169">
      <c r="A169">
        <f>IF($B169="","", "C"&amp;TEXT(ROW()-1,"0000"))</f>
        <v/>
      </c>
      <c r="F169" s="6" t="n"/>
      <c r="I169" s="6" t="n"/>
    </row>
    <row r="170">
      <c r="A170">
        <f>IF($B170="","", "C"&amp;TEXT(ROW()-1,"0000"))</f>
        <v/>
      </c>
      <c r="F170" s="6" t="n"/>
      <c r="I170" s="6" t="n"/>
    </row>
    <row r="171">
      <c r="A171">
        <f>IF($B171="","", "C"&amp;TEXT(ROW()-1,"0000"))</f>
        <v/>
      </c>
      <c r="F171" s="6" t="n"/>
      <c r="I171" s="6" t="n"/>
    </row>
    <row r="172">
      <c r="A172">
        <f>IF($B172="","", "C"&amp;TEXT(ROW()-1,"0000"))</f>
        <v/>
      </c>
      <c r="F172" s="6" t="n"/>
      <c r="I172" s="6" t="n"/>
    </row>
    <row r="173">
      <c r="A173">
        <f>IF($B173="","", "C"&amp;TEXT(ROW()-1,"0000"))</f>
        <v/>
      </c>
      <c r="F173" s="6" t="n"/>
      <c r="I173" s="6" t="n"/>
    </row>
    <row r="174">
      <c r="A174">
        <f>IF($B174="","", "C"&amp;TEXT(ROW()-1,"0000"))</f>
        <v/>
      </c>
      <c r="F174" s="6" t="n"/>
      <c r="I174" s="6" t="n"/>
    </row>
    <row r="175">
      <c r="A175">
        <f>IF($B175="","", "C"&amp;TEXT(ROW()-1,"0000"))</f>
        <v/>
      </c>
      <c r="F175" s="6" t="n"/>
      <c r="I175" s="6" t="n"/>
    </row>
    <row r="176">
      <c r="A176">
        <f>IF($B176="","", "C"&amp;TEXT(ROW()-1,"0000"))</f>
        <v/>
      </c>
      <c r="F176" s="6" t="n"/>
      <c r="I176" s="6" t="n"/>
    </row>
    <row r="177">
      <c r="A177">
        <f>IF($B177="","", "C"&amp;TEXT(ROW()-1,"0000"))</f>
        <v/>
      </c>
      <c r="F177" s="6" t="n"/>
      <c r="I177" s="6" t="n"/>
    </row>
    <row r="178">
      <c r="A178">
        <f>IF($B178="","", "C"&amp;TEXT(ROW()-1,"0000"))</f>
        <v/>
      </c>
      <c r="F178" s="6" t="n"/>
      <c r="I178" s="6" t="n"/>
    </row>
    <row r="179">
      <c r="A179">
        <f>IF($B179="","", "C"&amp;TEXT(ROW()-1,"0000"))</f>
        <v/>
      </c>
      <c r="F179" s="6" t="n"/>
      <c r="I179" s="6" t="n"/>
    </row>
    <row r="180">
      <c r="A180">
        <f>IF($B180="","", "C"&amp;TEXT(ROW()-1,"0000"))</f>
        <v/>
      </c>
      <c r="F180" s="6" t="n"/>
      <c r="I180" s="6" t="n"/>
    </row>
    <row r="181">
      <c r="A181">
        <f>IF($B181="","", "C"&amp;TEXT(ROW()-1,"0000"))</f>
        <v/>
      </c>
      <c r="F181" s="6" t="n"/>
      <c r="I181" s="6" t="n"/>
    </row>
    <row r="182">
      <c r="A182">
        <f>IF($B182="","", "C"&amp;TEXT(ROW()-1,"0000"))</f>
        <v/>
      </c>
      <c r="F182" s="6" t="n"/>
      <c r="I182" s="6" t="n"/>
    </row>
    <row r="183">
      <c r="A183">
        <f>IF($B183="","", "C"&amp;TEXT(ROW()-1,"0000"))</f>
        <v/>
      </c>
      <c r="F183" s="6" t="n"/>
      <c r="I183" s="6" t="n"/>
    </row>
    <row r="184">
      <c r="A184">
        <f>IF($B184="","", "C"&amp;TEXT(ROW()-1,"0000"))</f>
        <v/>
      </c>
      <c r="F184" s="6" t="n"/>
      <c r="I184" s="6" t="n"/>
    </row>
    <row r="185">
      <c r="A185">
        <f>IF($B185="","", "C"&amp;TEXT(ROW()-1,"0000"))</f>
        <v/>
      </c>
      <c r="F185" s="6" t="n"/>
      <c r="I185" s="6" t="n"/>
    </row>
    <row r="186">
      <c r="A186">
        <f>IF($B186="","", "C"&amp;TEXT(ROW()-1,"0000"))</f>
        <v/>
      </c>
      <c r="F186" s="6" t="n"/>
      <c r="I186" s="6" t="n"/>
    </row>
    <row r="187">
      <c r="A187">
        <f>IF($B187="","", "C"&amp;TEXT(ROW()-1,"0000"))</f>
        <v/>
      </c>
      <c r="F187" s="6" t="n"/>
      <c r="I187" s="6" t="n"/>
    </row>
    <row r="188">
      <c r="A188">
        <f>IF($B188="","", "C"&amp;TEXT(ROW()-1,"0000"))</f>
        <v/>
      </c>
      <c r="F188" s="6" t="n"/>
      <c r="I188" s="6" t="n"/>
    </row>
    <row r="189">
      <c r="A189">
        <f>IF($B189="","", "C"&amp;TEXT(ROW()-1,"0000"))</f>
        <v/>
      </c>
      <c r="F189" s="6" t="n"/>
      <c r="I189" s="6" t="n"/>
    </row>
    <row r="190">
      <c r="A190">
        <f>IF($B190="","", "C"&amp;TEXT(ROW()-1,"0000"))</f>
        <v/>
      </c>
      <c r="F190" s="6" t="n"/>
      <c r="I190" s="6" t="n"/>
    </row>
    <row r="191">
      <c r="A191">
        <f>IF($B191="","", "C"&amp;TEXT(ROW()-1,"0000"))</f>
        <v/>
      </c>
      <c r="F191" s="6" t="n"/>
      <c r="I191" s="6" t="n"/>
    </row>
    <row r="192">
      <c r="A192">
        <f>IF($B192="","", "C"&amp;TEXT(ROW()-1,"0000"))</f>
        <v/>
      </c>
      <c r="F192" s="6" t="n"/>
      <c r="I192" s="6" t="n"/>
    </row>
    <row r="193">
      <c r="A193">
        <f>IF($B193="","", "C"&amp;TEXT(ROW()-1,"0000"))</f>
        <v/>
      </c>
      <c r="F193" s="6" t="n"/>
      <c r="I193" s="6" t="n"/>
    </row>
    <row r="194">
      <c r="A194">
        <f>IF($B194="","", "C"&amp;TEXT(ROW()-1,"0000"))</f>
        <v/>
      </c>
      <c r="F194" s="6" t="n"/>
      <c r="I194" s="6" t="n"/>
    </row>
    <row r="195">
      <c r="A195">
        <f>IF($B195="","", "C"&amp;TEXT(ROW()-1,"0000"))</f>
        <v/>
      </c>
      <c r="F195" s="6" t="n"/>
      <c r="I195" s="6" t="n"/>
    </row>
    <row r="196">
      <c r="A196">
        <f>IF($B196="","", "C"&amp;TEXT(ROW()-1,"0000"))</f>
        <v/>
      </c>
      <c r="F196" s="6" t="n"/>
      <c r="I196" s="6" t="n"/>
    </row>
    <row r="197">
      <c r="A197">
        <f>IF($B197="","", "C"&amp;TEXT(ROW()-1,"0000"))</f>
        <v/>
      </c>
      <c r="F197" s="6" t="n"/>
      <c r="I197" s="6" t="n"/>
    </row>
    <row r="198">
      <c r="A198">
        <f>IF($B198="","", "C"&amp;TEXT(ROW()-1,"0000"))</f>
        <v/>
      </c>
      <c r="F198" s="6" t="n"/>
      <c r="I198" s="6" t="n"/>
    </row>
    <row r="199">
      <c r="A199">
        <f>IF($B199="","", "C"&amp;TEXT(ROW()-1,"0000"))</f>
        <v/>
      </c>
      <c r="F199" s="6" t="n"/>
      <c r="I199" s="6" t="n"/>
    </row>
    <row r="200">
      <c r="A200">
        <f>IF($B200="","", "C"&amp;TEXT(ROW()-1,"0000"))</f>
        <v/>
      </c>
      <c r="F200" s="6" t="n"/>
      <c r="I200" s="6" t="n"/>
    </row>
    <row r="201">
      <c r="A201">
        <f>IF($B201="","", "C"&amp;TEXT(ROW()-1,"0000"))</f>
        <v/>
      </c>
      <c r="F201" s="6" t="n"/>
      <c r="I201" s="6" t="n"/>
    </row>
    <row r="202">
      <c r="A202">
        <f>IF($B202="","", "C"&amp;TEXT(ROW()-1,"0000"))</f>
        <v/>
      </c>
      <c r="F202" s="6" t="n"/>
      <c r="I202" s="6" t="n"/>
    </row>
    <row r="203">
      <c r="A203">
        <f>IF($B203="","", "C"&amp;TEXT(ROW()-1,"0000"))</f>
        <v/>
      </c>
      <c r="F203" s="6" t="n"/>
      <c r="I203" s="6" t="n"/>
    </row>
    <row r="204">
      <c r="A204">
        <f>IF($B204="","", "C"&amp;TEXT(ROW()-1,"0000"))</f>
        <v/>
      </c>
      <c r="F204" s="6" t="n"/>
      <c r="I204" s="6" t="n"/>
    </row>
    <row r="205">
      <c r="A205">
        <f>IF($B205="","", "C"&amp;TEXT(ROW()-1,"0000"))</f>
        <v/>
      </c>
      <c r="F205" s="6" t="n"/>
      <c r="I205" s="6" t="n"/>
    </row>
    <row r="206">
      <c r="A206">
        <f>IF($B206="","", "C"&amp;TEXT(ROW()-1,"0000"))</f>
        <v/>
      </c>
      <c r="F206" s="6" t="n"/>
      <c r="I206" s="6" t="n"/>
    </row>
    <row r="207">
      <c r="A207">
        <f>IF($B207="","", "C"&amp;TEXT(ROW()-1,"0000"))</f>
        <v/>
      </c>
      <c r="F207" s="6" t="n"/>
      <c r="I207" s="6" t="n"/>
    </row>
    <row r="208">
      <c r="A208">
        <f>IF($B208="","", "C"&amp;TEXT(ROW()-1,"0000"))</f>
        <v/>
      </c>
      <c r="F208" s="6" t="n"/>
      <c r="I208" s="6" t="n"/>
    </row>
    <row r="209">
      <c r="A209">
        <f>IF($B209="","", "C"&amp;TEXT(ROW()-1,"0000"))</f>
        <v/>
      </c>
      <c r="F209" s="6" t="n"/>
      <c r="I209" s="6" t="n"/>
    </row>
    <row r="210">
      <c r="A210">
        <f>IF($B210="","", "C"&amp;TEXT(ROW()-1,"0000"))</f>
        <v/>
      </c>
      <c r="F210" s="6" t="n"/>
      <c r="I210" s="6" t="n"/>
    </row>
    <row r="211">
      <c r="A211">
        <f>IF($B211="","", "C"&amp;TEXT(ROW()-1,"0000"))</f>
        <v/>
      </c>
      <c r="F211" s="6" t="n"/>
      <c r="I211" s="6" t="n"/>
    </row>
    <row r="212">
      <c r="A212">
        <f>IF($B212="","", "C"&amp;TEXT(ROW()-1,"0000"))</f>
        <v/>
      </c>
      <c r="F212" s="6" t="n"/>
      <c r="I212" s="6" t="n"/>
    </row>
    <row r="213">
      <c r="A213">
        <f>IF($B213="","", "C"&amp;TEXT(ROW()-1,"0000"))</f>
        <v/>
      </c>
      <c r="F213" s="6" t="n"/>
      <c r="I213" s="6" t="n"/>
    </row>
    <row r="214">
      <c r="A214">
        <f>IF($B214="","", "C"&amp;TEXT(ROW()-1,"0000"))</f>
        <v/>
      </c>
      <c r="F214" s="6" t="n"/>
      <c r="I214" s="6" t="n"/>
    </row>
    <row r="215">
      <c r="A215">
        <f>IF($B215="","", "C"&amp;TEXT(ROW()-1,"0000"))</f>
        <v/>
      </c>
      <c r="F215" s="6" t="n"/>
      <c r="I215" s="6" t="n"/>
    </row>
    <row r="216">
      <c r="A216">
        <f>IF($B216="","", "C"&amp;TEXT(ROW()-1,"0000"))</f>
        <v/>
      </c>
      <c r="F216" s="6" t="n"/>
      <c r="I216" s="6" t="n"/>
    </row>
    <row r="217">
      <c r="A217">
        <f>IF($B217="","", "C"&amp;TEXT(ROW()-1,"0000"))</f>
        <v/>
      </c>
      <c r="F217" s="6" t="n"/>
      <c r="I217" s="6" t="n"/>
    </row>
    <row r="218">
      <c r="A218">
        <f>IF($B218="","", "C"&amp;TEXT(ROW()-1,"0000"))</f>
        <v/>
      </c>
      <c r="F218" s="6" t="n"/>
      <c r="I218" s="6" t="n"/>
    </row>
    <row r="219">
      <c r="A219">
        <f>IF($B219="","", "C"&amp;TEXT(ROW()-1,"0000"))</f>
        <v/>
      </c>
      <c r="F219" s="6" t="n"/>
      <c r="I219" s="6" t="n"/>
    </row>
    <row r="220">
      <c r="A220">
        <f>IF($B220="","", "C"&amp;TEXT(ROW()-1,"0000"))</f>
        <v/>
      </c>
      <c r="F220" s="6" t="n"/>
      <c r="I220" s="6" t="n"/>
    </row>
    <row r="221">
      <c r="A221">
        <f>IF($B221="","", "C"&amp;TEXT(ROW()-1,"0000"))</f>
        <v/>
      </c>
      <c r="F221" s="6" t="n"/>
      <c r="I221" s="6" t="n"/>
    </row>
    <row r="222">
      <c r="A222">
        <f>IF($B222="","", "C"&amp;TEXT(ROW()-1,"0000"))</f>
        <v/>
      </c>
      <c r="F222" s="6" t="n"/>
      <c r="I222" s="6" t="n"/>
    </row>
    <row r="223">
      <c r="A223">
        <f>IF($B223="","", "C"&amp;TEXT(ROW()-1,"0000"))</f>
        <v/>
      </c>
      <c r="F223" s="6" t="n"/>
      <c r="I223" s="6" t="n"/>
    </row>
    <row r="224">
      <c r="A224">
        <f>IF($B224="","", "C"&amp;TEXT(ROW()-1,"0000"))</f>
        <v/>
      </c>
      <c r="F224" s="6" t="n"/>
      <c r="I224" s="6" t="n"/>
    </row>
    <row r="225">
      <c r="A225">
        <f>IF($B225="","", "C"&amp;TEXT(ROW()-1,"0000"))</f>
        <v/>
      </c>
      <c r="F225" s="6" t="n"/>
      <c r="I225" s="6" t="n"/>
    </row>
    <row r="226">
      <c r="A226">
        <f>IF($B226="","", "C"&amp;TEXT(ROW()-1,"0000"))</f>
        <v/>
      </c>
      <c r="F226" s="6" t="n"/>
      <c r="I226" s="6" t="n"/>
    </row>
    <row r="227">
      <c r="A227">
        <f>IF($B227="","", "C"&amp;TEXT(ROW()-1,"0000"))</f>
        <v/>
      </c>
      <c r="F227" s="6" t="n"/>
      <c r="I227" s="6" t="n"/>
    </row>
    <row r="228">
      <c r="A228">
        <f>IF($B228="","", "C"&amp;TEXT(ROW()-1,"0000"))</f>
        <v/>
      </c>
      <c r="F228" s="6" t="n"/>
      <c r="I228" s="6" t="n"/>
    </row>
    <row r="229">
      <c r="A229">
        <f>IF($B229="","", "C"&amp;TEXT(ROW()-1,"0000"))</f>
        <v/>
      </c>
      <c r="F229" s="6" t="n"/>
      <c r="I229" s="6" t="n"/>
    </row>
    <row r="230">
      <c r="A230">
        <f>IF($B230="","", "C"&amp;TEXT(ROW()-1,"0000"))</f>
        <v/>
      </c>
      <c r="F230" s="6" t="n"/>
      <c r="I230" s="6" t="n"/>
    </row>
    <row r="231">
      <c r="A231">
        <f>IF($B231="","", "C"&amp;TEXT(ROW()-1,"0000"))</f>
        <v/>
      </c>
      <c r="F231" s="6" t="n"/>
      <c r="I231" s="6" t="n"/>
    </row>
    <row r="232">
      <c r="A232">
        <f>IF($B232="","", "C"&amp;TEXT(ROW()-1,"0000"))</f>
        <v/>
      </c>
      <c r="F232" s="6" t="n"/>
      <c r="I232" s="6" t="n"/>
    </row>
    <row r="233">
      <c r="A233">
        <f>IF($B233="","", "C"&amp;TEXT(ROW()-1,"0000"))</f>
        <v/>
      </c>
      <c r="F233" s="6" t="n"/>
      <c r="I233" s="6" t="n"/>
    </row>
    <row r="234">
      <c r="A234">
        <f>IF($B234="","", "C"&amp;TEXT(ROW()-1,"0000"))</f>
        <v/>
      </c>
      <c r="F234" s="6" t="n"/>
      <c r="I234" s="6" t="n"/>
    </row>
    <row r="235">
      <c r="A235">
        <f>IF($B235="","", "C"&amp;TEXT(ROW()-1,"0000"))</f>
        <v/>
      </c>
      <c r="F235" s="6" t="n"/>
      <c r="I235" s="6" t="n"/>
    </row>
    <row r="236">
      <c r="A236">
        <f>IF($B236="","", "C"&amp;TEXT(ROW()-1,"0000"))</f>
        <v/>
      </c>
      <c r="F236" s="6" t="n"/>
      <c r="I236" s="6" t="n"/>
    </row>
    <row r="237">
      <c r="A237">
        <f>IF($B237="","", "C"&amp;TEXT(ROW()-1,"0000"))</f>
        <v/>
      </c>
      <c r="F237" s="6" t="n"/>
      <c r="I237" s="6" t="n"/>
    </row>
    <row r="238">
      <c r="A238">
        <f>IF($B238="","", "C"&amp;TEXT(ROW()-1,"0000"))</f>
        <v/>
      </c>
      <c r="F238" s="6" t="n"/>
      <c r="I238" s="6" t="n"/>
    </row>
    <row r="239">
      <c r="A239">
        <f>IF($B239="","", "C"&amp;TEXT(ROW()-1,"0000"))</f>
        <v/>
      </c>
      <c r="F239" s="6" t="n"/>
      <c r="I239" s="6" t="n"/>
    </row>
    <row r="240">
      <c r="A240">
        <f>IF($B240="","", "C"&amp;TEXT(ROW()-1,"0000"))</f>
        <v/>
      </c>
      <c r="F240" s="6" t="n"/>
      <c r="I240" s="6" t="n"/>
    </row>
    <row r="241">
      <c r="A241">
        <f>IF($B241="","", "C"&amp;TEXT(ROW()-1,"0000"))</f>
        <v/>
      </c>
      <c r="F241" s="6" t="n"/>
      <c r="I241" s="6" t="n"/>
    </row>
    <row r="242">
      <c r="A242">
        <f>IF($B242="","", "C"&amp;TEXT(ROW()-1,"0000"))</f>
        <v/>
      </c>
      <c r="F242" s="6" t="n"/>
      <c r="I242" s="6" t="n"/>
    </row>
    <row r="243">
      <c r="A243">
        <f>IF($B243="","", "C"&amp;TEXT(ROW()-1,"0000"))</f>
        <v/>
      </c>
      <c r="F243" s="6" t="n"/>
      <c r="I243" s="6" t="n"/>
    </row>
    <row r="244">
      <c r="A244">
        <f>IF($B244="","", "C"&amp;TEXT(ROW()-1,"0000"))</f>
        <v/>
      </c>
      <c r="F244" s="6" t="n"/>
      <c r="I244" s="6" t="n"/>
    </row>
    <row r="245">
      <c r="A245">
        <f>IF($B245="","", "C"&amp;TEXT(ROW()-1,"0000"))</f>
        <v/>
      </c>
      <c r="F245" s="6" t="n"/>
      <c r="I245" s="6" t="n"/>
    </row>
    <row r="246">
      <c r="A246">
        <f>IF($B246="","", "C"&amp;TEXT(ROW()-1,"0000"))</f>
        <v/>
      </c>
      <c r="F246" s="6" t="n"/>
      <c r="I246" s="6" t="n"/>
    </row>
    <row r="247">
      <c r="A247">
        <f>IF($B247="","", "C"&amp;TEXT(ROW()-1,"0000"))</f>
        <v/>
      </c>
      <c r="F247" s="6" t="n"/>
      <c r="I247" s="6" t="n"/>
    </row>
    <row r="248">
      <c r="A248">
        <f>IF($B248="","", "C"&amp;TEXT(ROW()-1,"0000"))</f>
        <v/>
      </c>
      <c r="F248" s="6" t="n"/>
      <c r="I248" s="6" t="n"/>
    </row>
    <row r="249">
      <c r="A249">
        <f>IF($B249="","", "C"&amp;TEXT(ROW()-1,"0000"))</f>
        <v/>
      </c>
      <c r="F249" s="6" t="n"/>
      <c r="I249" s="6" t="n"/>
    </row>
    <row r="250">
      <c r="A250">
        <f>IF($B250="","", "C"&amp;TEXT(ROW()-1,"0000"))</f>
        <v/>
      </c>
      <c r="F250" s="6" t="n"/>
      <c r="I250" s="6" t="n"/>
    </row>
    <row r="251">
      <c r="A251">
        <f>IF($B251="","", "C"&amp;TEXT(ROW()-1,"0000"))</f>
        <v/>
      </c>
      <c r="F251" s="6" t="n"/>
      <c r="I251" s="6" t="n"/>
    </row>
    <row r="252">
      <c r="A252">
        <f>IF($B252="","", "C"&amp;TEXT(ROW()-1,"0000"))</f>
        <v/>
      </c>
      <c r="F252" s="6" t="n"/>
      <c r="I252" s="6" t="n"/>
    </row>
    <row r="253">
      <c r="A253">
        <f>IF($B253="","", "C"&amp;TEXT(ROW()-1,"0000"))</f>
        <v/>
      </c>
      <c r="F253" s="6" t="n"/>
      <c r="I253" s="6" t="n"/>
    </row>
    <row r="254">
      <c r="A254">
        <f>IF($B254="","", "C"&amp;TEXT(ROW()-1,"0000"))</f>
        <v/>
      </c>
      <c r="F254" s="6" t="n"/>
      <c r="I254" s="6" t="n"/>
    </row>
    <row r="255">
      <c r="A255">
        <f>IF($B255="","", "C"&amp;TEXT(ROW()-1,"0000"))</f>
        <v/>
      </c>
      <c r="F255" s="6" t="n"/>
      <c r="I255" s="6" t="n"/>
    </row>
    <row r="256">
      <c r="A256">
        <f>IF($B256="","", "C"&amp;TEXT(ROW()-1,"0000"))</f>
        <v/>
      </c>
      <c r="F256" s="6" t="n"/>
      <c r="I256" s="6" t="n"/>
    </row>
    <row r="257">
      <c r="A257">
        <f>IF($B257="","", "C"&amp;TEXT(ROW()-1,"0000"))</f>
        <v/>
      </c>
      <c r="F257" s="6" t="n"/>
      <c r="I257" s="6" t="n"/>
    </row>
    <row r="258">
      <c r="A258">
        <f>IF($B258="","", "C"&amp;TEXT(ROW()-1,"0000"))</f>
        <v/>
      </c>
      <c r="F258" s="6" t="n"/>
      <c r="I258" s="6" t="n"/>
    </row>
    <row r="259">
      <c r="A259">
        <f>IF($B259="","", "C"&amp;TEXT(ROW()-1,"0000"))</f>
        <v/>
      </c>
      <c r="F259" s="6" t="n"/>
      <c r="I259" s="6" t="n"/>
    </row>
    <row r="260">
      <c r="A260">
        <f>IF($B260="","", "C"&amp;TEXT(ROW()-1,"0000"))</f>
        <v/>
      </c>
      <c r="F260" s="6" t="n"/>
      <c r="I260" s="6" t="n"/>
    </row>
    <row r="261">
      <c r="A261">
        <f>IF($B261="","", "C"&amp;TEXT(ROW()-1,"0000"))</f>
        <v/>
      </c>
      <c r="F261" s="6" t="n"/>
      <c r="I261" s="6" t="n"/>
    </row>
    <row r="262">
      <c r="A262">
        <f>IF($B262="","", "C"&amp;TEXT(ROW()-1,"0000"))</f>
        <v/>
      </c>
      <c r="F262" s="6" t="n"/>
      <c r="I262" s="6" t="n"/>
    </row>
    <row r="263">
      <c r="A263">
        <f>IF($B263="","", "C"&amp;TEXT(ROW()-1,"0000"))</f>
        <v/>
      </c>
      <c r="F263" s="6" t="n"/>
      <c r="I263" s="6" t="n"/>
    </row>
    <row r="264">
      <c r="A264">
        <f>IF($B264="","", "C"&amp;TEXT(ROW()-1,"0000"))</f>
        <v/>
      </c>
      <c r="F264" s="6" t="n"/>
      <c r="I264" s="6" t="n"/>
    </row>
    <row r="265">
      <c r="A265">
        <f>IF($B265="","", "C"&amp;TEXT(ROW()-1,"0000"))</f>
        <v/>
      </c>
      <c r="F265" s="6" t="n"/>
      <c r="I265" s="6" t="n"/>
    </row>
    <row r="266">
      <c r="A266">
        <f>IF($B266="","", "C"&amp;TEXT(ROW()-1,"0000"))</f>
        <v/>
      </c>
      <c r="F266" s="6" t="n"/>
      <c r="I266" s="6" t="n"/>
    </row>
    <row r="267">
      <c r="A267">
        <f>IF($B267="","", "C"&amp;TEXT(ROW()-1,"0000"))</f>
        <v/>
      </c>
      <c r="F267" s="6" t="n"/>
      <c r="I267" s="6" t="n"/>
    </row>
    <row r="268">
      <c r="A268">
        <f>IF($B268="","", "C"&amp;TEXT(ROW()-1,"0000"))</f>
        <v/>
      </c>
      <c r="F268" s="6" t="n"/>
      <c r="I268" s="6" t="n"/>
    </row>
    <row r="269">
      <c r="A269">
        <f>IF($B269="","", "C"&amp;TEXT(ROW()-1,"0000"))</f>
        <v/>
      </c>
      <c r="F269" s="6" t="n"/>
      <c r="I269" s="6" t="n"/>
    </row>
    <row r="270">
      <c r="A270">
        <f>IF($B270="","", "C"&amp;TEXT(ROW()-1,"0000"))</f>
        <v/>
      </c>
      <c r="F270" s="6" t="n"/>
      <c r="I270" s="6" t="n"/>
    </row>
    <row r="271">
      <c r="A271">
        <f>IF($B271="","", "C"&amp;TEXT(ROW()-1,"0000"))</f>
        <v/>
      </c>
      <c r="F271" s="6" t="n"/>
      <c r="I271" s="6" t="n"/>
    </row>
    <row r="272">
      <c r="A272">
        <f>IF($B272="","", "C"&amp;TEXT(ROW()-1,"0000"))</f>
        <v/>
      </c>
      <c r="F272" s="6" t="n"/>
      <c r="I272" s="6" t="n"/>
    </row>
    <row r="273">
      <c r="A273">
        <f>IF($B273="","", "C"&amp;TEXT(ROW()-1,"0000"))</f>
        <v/>
      </c>
      <c r="F273" s="6" t="n"/>
      <c r="I273" s="6" t="n"/>
    </row>
    <row r="274">
      <c r="A274">
        <f>IF($B274="","", "C"&amp;TEXT(ROW()-1,"0000"))</f>
        <v/>
      </c>
      <c r="F274" s="6" t="n"/>
      <c r="I274" s="6" t="n"/>
    </row>
    <row r="275">
      <c r="A275">
        <f>IF($B275="","", "C"&amp;TEXT(ROW()-1,"0000"))</f>
        <v/>
      </c>
      <c r="F275" s="6" t="n"/>
      <c r="I275" s="6" t="n"/>
    </row>
    <row r="276">
      <c r="A276">
        <f>IF($B276="","", "C"&amp;TEXT(ROW()-1,"0000"))</f>
        <v/>
      </c>
      <c r="F276" s="6" t="n"/>
      <c r="I276" s="6" t="n"/>
    </row>
    <row r="277">
      <c r="A277">
        <f>IF($B277="","", "C"&amp;TEXT(ROW()-1,"0000"))</f>
        <v/>
      </c>
      <c r="F277" s="6" t="n"/>
      <c r="I277" s="6" t="n"/>
    </row>
    <row r="278">
      <c r="A278">
        <f>IF($B278="","", "C"&amp;TEXT(ROW()-1,"0000"))</f>
        <v/>
      </c>
      <c r="F278" s="6" t="n"/>
      <c r="I278" s="6" t="n"/>
    </row>
    <row r="279">
      <c r="A279">
        <f>IF($B279="","", "C"&amp;TEXT(ROW()-1,"0000"))</f>
        <v/>
      </c>
      <c r="F279" s="6" t="n"/>
      <c r="I279" s="6" t="n"/>
    </row>
    <row r="280">
      <c r="A280">
        <f>IF($B280="","", "C"&amp;TEXT(ROW()-1,"0000"))</f>
        <v/>
      </c>
      <c r="F280" s="6" t="n"/>
      <c r="I280" s="6" t="n"/>
    </row>
    <row r="281">
      <c r="A281">
        <f>IF($B281="","", "C"&amp;TEXT(ROW()-1,"0000"))</f>
        <v/>
      </c>
      <c r="F281" s="6" t="n"/>
      <c r="I281" s="6" t="n"/>
    </row>
    <row r="282">
      <c r="A282">
        <f>IF($B282="","", "C"&amp;TEXT(ROW()-1,"0000"))</f>
        <v/>
      </c>
      <c r="F282" s="6" t="n"/>
      <c r="I282" s="6" t="n"/>
    </row>
    <row r="283">
      <c r="A283">
        <f>IF($B283="","", "C"&amp;TEXT(ROW()-1,"0000"))</f>
        <v/>
      </c>
      <c r="F283" s="6" t="n"/>
      <c r="I283" s="6" t="n"/>
    </row>
    <row r="284">
      <c r="A284">
        <f>IF($B284="","", "C"&amp;TEXT(ROW()-1,"0000"))</f>
        <v/>
      </c>
      <c r="F284" s="6" t="n"/>
      <c r="I284" s="6" t="n"/>
    </row>
    <row r="285">
      <c r="A285">
        <f>IF($B285="","", "C"&amp;TEXT(ROW()-1,"0000"))</f>
        <v/>
      </c>
      <c r="F285" s="6" t="n"/>
      <c r="I285" s="6" t="n"/>
    </row>
    <row r="286">
      <c r="A286">
        <f>IF($B286="","", "C"&amp;TEXT(ROW()-1,"0000"))</f>
        <v/>
      </c>
      <c r="F286" s="6" t="n"/>
      <c r="I286" s="6" t="n"/>
    </row>
    <row r="287">
      <c r="A287">
        <f>IF($B287="","", "C"&amp;TEXT(ROW()-1,"0000"))</f>
        <v/>
      </c>
      <c r="F287" s="6" t="n"/>
      <c r="I287" s="6" t="n"/>
    </row>
    <row r="288">
      <c r="A288">
        <f>IF($B288="","", "C"&amp;TEXT(ROW()-1,"0000"))</f>
        <v/>
      </c>
      <c r="F288" s="6" t="n"/>
      <c r="I288" s="6" t="n"/>
    </row>
    <row r="289">
      <c r="A289">
        <f>IF($B289="","", "C"&amp;TEXT(ROW()-1,"0000"))</f>
        <v/>
      </c>
      <c r="F289" s="6" t="n"/>
      <c r="I289" s="6" t="n"/>
    </row>
    <row r="290">
      <c r="A290">
        <f>IF($B290="","", "C"&amp;TEXT(ROW()-1,"0000"))</f>
        <v/>
      </c>
      <c r="F290" s="6" t="n"/>
      <c r="I290" s="6" t="n"/>
    </row>
    <row r="291">
      <c r="A291">
        <f>IF($B291="","", "C"&amp;TEXT(ROW()-1,"0000"))</f>
        <v/>
      </c>
      <c r="F291" s="6" t="n"/>
      <c r="I291" s="6" t="n"/>
    </row>
    <row r="292">
      <c r="A292">
        <f>IF($B292="","", "C"&amp;TEXT(ROW()-1,"0000"))</f>
        <v/>
      </c>
      <c r="F292" s="6" t="n"/>
      <c r="I292" s="6" t="n"/>
    </row>
    <row r="293">
      <c r="A293">
        <f>IF($B293="","", "C"&amp;TEXT(ROW()-1,"0000"))</f>
        <v/>
      </c>
      <c r="F293" s="6" t="n"/>
      <c r="I293" s="6" t="n"/>
    </row>
    <row r="294">
      <c r="A294">
        <f>IF($B294="","", "C"&amp;TEXT(ROW()-1,"0000"))</f>
        <v/>
      </c>
      <c r="F294" s="6" t="n"/>
      <c r="I294" s="6" t="n"/>
    </row>
    <row r="295">
      <c r="A295">
        <f>IF($B295="","", "C"&amp;TEXT(ROW()-1,"0000"))</f>
        <v/>
      </c>
      <c r="F295" s="6" t="n"/>
      <c r="I295" s="6" t="n"/>
    </row>
    <row r="296">
      <c r="A296">
        <f>IF($B296="","", "C"&amp;TEXT(ROW()-1,"0000"))</f>
        <v/>
      </c>
      <c r="F296" s="6" t="n"/>
      <c r="I296" s="6" t="n"/>
    </row>
    <row r="297">
      <c r="A297">
        <f>IF($B297="","", "C"&amp;TEXT(ROW()-1,"0000"))</f>
        <v/>
      </c>
      <c r="F297" s="6" t="n"/>
      <c r="I297" s="6" t="n"/>
    </row>
    <row r="298">
      <c r="A298">
        <f>IF($B298="","", "C"&amp;TEXT(ROW()-1,"0000"))</f>
        <v/>
      </c>
      <c r="F298" s="6" t="n"/>
      <c r="I298" s="6" t="n"/>
    </row>
    <row r="299">
      <c r="A299">
        <f>IF($B299="","", "C"&amp;TEXT(ROW()-1,"0000"))</f>
        <v/>
      </c>
      <c r="F299" s="6" t="n"/>
      <c r="I299" s="6" t="n"/>
    </row>
    <row r="300">
      <c r="A300">
        <f>IF($B300="","", "C"&amp;TEXT(ROW()-1,"0000"))</f>
        <v/>
      </c>
      <c r="F300" s="6" t="n"/>
      <c r="I300" s="6" t="n"/>
    </row>
    <row r="301">
      <c r="A301">
        <f>IF($B301="","", "C"&amp;TEXT(ROW()-1,"0000"))</f>
        <v/>
      </c>
      <c r="F301" s="6" t="n"/>
      <c r="I301" s="6" t="n"/>
    </row>
  </sheetData>
  <dataValidations count="1">
    <dataValidation sqref="J2:J301" showDropDown="0" showInputMessage="0" showErrorMessage="0" allowBlank="1" type="list">
      <formula1>=StatusList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4" customWidth="1" min="5" max="5"/>
    <col width="12" customWidth="1" min="6" max="6"/>
    <col width="20" customWidth="1" min="7" max="7"/>
    <col width="18" customWidth="1" min="8" max="8"/>
    <col width="14" customWidth="1" min="9" max="9"/>
    <col width="12" customWidth="1" min="10" max="10"/>
    <col width="24" customWidth="1" min="11" max="11"/>
  </cols>
  <sheetData>
    <row r="1" ht="28" customHeight="1">
      <c r="A1" s="3" t="inlineStr">
        <is>
          <t>Group ID</t>
        </is>
      </c>
      <c r="B1" s="3" t="inlineStr">
        <is>
          <t>Member 1 Client ID</t>
        </is>
      </c>
      <c r="C1" s="3" t="inlineStr">
        <is>
          <t>Member 2 Client ID</t>
        </is>
      </c>
      <c r="D1" s="3" t="inlineStr">
        <is>
          <t>Member 3 Client ID</t>
        </is>
      </c>
      <c r="E1" s="3" t="inlineStr">
        <is>
          <t>Meeting Day</t>
        </is>
      </c>
      <c r="F1" s="3" t="inlineStr">
        <is>
          <t>Meeting Time</t>
        </is>
      </c>
      <c r="G1" s="3" t="inlineStr">
        <is>
          <t>Location</t>
        </is>
      </c>
      <c r="H1" s="3" t="inlineStr">
        <is>
          <t>Loan Officer</t>
        </is>
      </c>
      <c r="I1" s="3" t="inlineStr">
        <is>
          <t>Start Date</t>
        </is>
      </c>
      <c r="J1" s="3" t="inlineStr">
        <is>
          <t>Status</t>
        </is>
      </c>
      <c r="K1" s="3" t="inlineStr">
        <is>
          <t>Notes</t>
        </is>
      </c>
    </row>
    <row r="2">
      <c r="A2" s="4">
        <f>IF($B2="","", "G"&amp;TEXT(ROW()-1,"0000"))</f>
        <v/>
      </c>
      <c r="B2" s="4" t="n"/>
      <c r="C2" s="4" t="n"/>
      <c r="D2" s="4" t="n"/>
      <c r="E2" s="4" t="n"/>
      <c r="F2" s="4" t="n"/>
      <c r="G2" s="4" t="n"/>
      <c r="H2" s="4" t="n"/>
      <c r="I2" s="5" t="n"/>
      <c r="J2" s="4" t="n"/>
      <c r="K2" s="4" t="n"/>
    </row>
    <row r="3">
      <c r="A3" s="4">
        <f>IF($B3="","", "G"&amp;TEXT(ROW()-1,"0000"))</f>
        <v/>
      </c>
      <c r="B3" s="4" t="n"/>
      <c r="C3" s="4" t="n"/>
      <c r="D3" s="4" t="n"/>
      <c r="E3" s="4" t="n"/>
      <c r="F3" s="4" t="n"/>
      <c r="G3" s="4" t="n"/>
      <c r="H3" s="4" t="n"/>
      <c r="I3" s="5" t="n"/>
      <c r="J3" s="4" t="n"/>
      <c r="K3" s="4" t="n"/>
    </row>
    <row r="4">
      <c r="A4" s="4">
        <f>IF($B4="","", "G"&amp;TEXT(ROW()-1,"0000"))</f>
        <v/>
      </c>
      <c r="B4" s="4" t="n"/>
      <c r="C4" s="4" t="n"/>
      <c r="D4" s="4" t="n"/>
      <c r="E4" s="4" t="n"/>
      <c r="F4" s="4" t="n"/>
      <c r="G4" s="4" t="n"/>
      <c r="H4" s="4" t="n"/>
      <c r="I4" s="5" t="n"/>
      <c r="J4" s="4" t="n"/>
      <c r="K4" s="4" t="n"/>
    </row>
    <row r="5">
      <c r="A5" s="4">
        <f>IF($B5="","", "G"&amp;TEXT(ROW()-1,"0000"))</f>
        <v/>
      </c>
      <c r="B5" s="4" t="n"/>
      <c r="C5" s="4" t="n"/>
      <c r="D5" s="4" t="n"/>
      <c r="E5" s="4" t="n"/>
      <c r="F5" s="4" t="n"/>
      <c r="G5" s="4" t="n"/>
      <c r="H5" s="4" t="n"/>
      <c r="I5" s="5" t="n"/>
      <c r="J5" s="4" t="n"/>
      <c r="K5" s="4" t="n"/>
    </row>
    <row r="6">
      <c r="A6" s="4">
        <f>IF($B6="","", "G"&amp;TEXT(ROW()-1,"0000"))</f>
        <v/>
      </c>
      <c r="B6" s="4" t="n"/>
      <c r="C6" s="4" t="n"/>
      <c r="D6" s="4" t="n"/>
      <c r="E6" s="4" t="n"/>
      <c r="F6" s="4" t="n"/>
      <c r="G6" s="4" t="n"/>
      <c r="H6" s="4" t="n"/>
      <c r="I6" s="5" t="n"/>
      <c r="J6" s="4" t="n"/>
      <c r="K6" s="4" t="n"/>
    </row>
    <row r="7">
      <c r="A7" s="4">
        <f>IF($B7="","", "G"&amp;TEXT(ROW()-1,"0000"))</f>
        <v/>
      </c>
      <c r="B7" s="4" t="n"/>
      <c r="C7" s="4" t="n"/>
      <c r="D7" s="4" t="n"/>
      <c r="E7" s="4" t="n"/>
      <c r="F7" s="4" t="n"/>
      <c r="G7" s="4" t="n"/>
      <c r="H7" s="4" t="n"/>
      <c r="I7" s="5" t="n"/>
      <c r="J7" s="4" t="n"/>
      <c r="K7" s="4" t="n"/>
    </row>
    <row r="8">
      <c r="A8" s="4">
        <f>IF($B8="","", "G"&amp;TEXT(ROW()-1,"0000"))</f>
        <v/>
      </c>
      <c r="B8" s="4" t="n"/>
      <c r="C8" s="4" t="n"/>
      <c r="D8" s="4" t="n"/>
      <c r="E8" s="4" t="n"/>
      <c r="F8" s="4" t="n"/>
      <c r="G8" s="4" t="n"/>
      <c r="H8" s="4" t="n"/>
      <c r="I8" s="5" t="n"/>
      <c r="J8" s="4" t="n"/>
      <c r="K8" s="4" t="n"/>
    </row>
    <row r="9">
      <c r="A9" s="4">
        <f>IF($B9="","", "G"&amp;TEXT(ROW()-1,"0000"))</f>
        <v/>
      </c>
      <c r="B9" s="4" t="n"/>
      <c r="C9" s="4" t="n"/>
      <c r="D9" s="4" t="n"/>
      <c r="E9" s="4" t="n"/>
      <c r="F9" s="4" t="n"/>
      <c r="G9" s="4" t="n"/>
      <c r="H9" s="4" t="n"/>
      <c r="I9" s="5" t="n"/>
      <c r="J9" s="4" t="n"/>
      <c r="K9" s="4" t="n"/>
    </row>
    <row r="10">
      <c r="A10" s="4">
        <f>IF($B10="","", "G"&amp;TEXT(ROW()-1,"0000"))</f>
        <v/>
      </c>
      <c r="B10" s="4" t="n"/>
      <c r="C10" s="4" t="n"/>
      <c r="D10" s="4" t="n"/>
      <c r="E10" s="4" t="n"/>
      <c r="F10" s="4" t="n"/>
      <c r="G10" s="4" t="n"/>
      <c r="H10" s="4" t="n"/>
      <c r="I10" s="5" t="n"/>
      <c r="J10" s="4" t="n"/>
      <c r="K10" s="4" t="n"/>
    </row>
    <row r="11">
      <c r="A11" s="4">
        <f>IF($B11="","", "G"&amp;TEXT(ROW()-1,"0000"))</f>
        <v/>
      </c>
      <c r="B11" s="4" t="n"/>
      <c r="C11" s="4" t="n"/>
      <c r="D11" s="4" t="n"/>
      <c r="E11" s="4" t="n"/>
      <c r="F11" s="4" t="n"/>
      <c r="G11" s="4" t="n"/>
      <c r="H11" s="4" t="n"/>
      <c r="I11" s="5" t="n"/>
      <c r="J11" s="4" t="n"/>
      <c r="K11" s="4" t="n"/>
    </row>
    <row r="12">
      <c r="A12" s="4">
        <f>IF($B12="","", "G"&amp;TEXT(ROW()-1,"0000"))</f>
        <v/>
      </c>
      <c r="B12" s="4" t="n"/>
      <c r="C12" s="4" t="n"/>
      <c r="D12" s="4" t="n"/>
      <c r="E12" s="4" t="n"/>
      <c r="F12" s="4" t="n"/>
      <c r="G12" s="4" t="n"/>
      <c r="H12" s="4" t="n"/>
      <c r="I12" s="5" t="n"/>
      <c r="J12" s="4" t="n"/>
      <c r="K12" s="4" t="n"/>
    </row>
    <row r="13">
      <c r="A13" s="4">
        <f>IF($B13="","", "G"&amp;TEXT(ROW()-1,"0000"))</f>
        <v/>
      </c>
      <c r="B13" s="4" t="n"/>
      <c r="C13" s="4" t="n"/>
      <c r="D13" s="4" t="n"/>
      <c r="E13" s="4" t="n"/>
      <c r="F13" s="4" t="n"/>
      <c r="G13" s="4" t="n"/>
      <c r="H13" s="4" t="n"/>
      <c r="I13" s="5" t="n"/>
      <c r="J13" s="4" t="n"/>
      <c r="K13" s="4" t="n"/>
    </row>
    <row r="14">
      <c r="A14" s="4">
        <f>IF($B14="","", "G"&amp;TEXT(ROW()-1,"0000"))</f>
        <v/>
      </c>
      <c r="B14" s="4" t="n"/>
      <c r="C14" s="4" t="n"/>
      <c r="D14" s="4" t="n"/>
      <c r="E14" s="4" t="n"/>
      <c r="F14" s="4" t="n"/>
      <c r="G14" s="4" t="n"/>
      <c r="H14" s="4" t="n"/>
      <c r="I14" s="5" t="n"/>
      <c r="J14" s="4" t="n"/>
      <c r="K14" s="4" t="n"/>
    </row>
    <row r="15">
      <c r="A15" s="4">
        <f>IF($B15="","", "G"&amp;TEXT(ROW()-1,"0000"))</f>
        <v/>
      </c>
      <c r="B15" s="4" t="n"/>
      <c r="C15" s="4" t="n"/>
      <c r="D15" s="4" t="n"/>
      <c r="E15" s="4" t="n"/>
      <c r="F15" s="4" t="n"/>
      <c r="G15" s="4" t="n"/>
      <c r="H15" s="4" t="n"/>
      <c r="I15" s="5" t="n"/>
      <c r="J15" s="4" t="n"/>
      <c r="K15" s="4" t="n"/>
    </row>
    <row r="16">
      <c r="A16" s="4">
        <f>IF($B16="","", "G"&amp;TEXT(ROW()-1,"0000"))</f>
        <v/>
      </c>
      <c r="B16" s="4" t="n"/>
      <c r="C16" s="4" t="n"/>
      <c r="D16" s="4" t="n"/>
      <c r="E16" s="4" t="n"/>
      <c r="F16" s="4" t="n"/>
      <c r="G16" s="4" t="n"/>
      <c r="H16" s="4" t="n"/>
      <c r="I16" s="5" t="n"/>
      <c r="J16" s="4" t="n"/>
      <c r="K16" s="4" t="n"/>
    </row>
    <row r="17">
      <c r="A17" s="4">
        <f>IF($B17="","", "G"&amp;TEXT(ROW()-1,"0000"))</f>
        <v/>
      </c>
      <c r="B17" s="4" t="n"/>
      <c r="C17" s="4" t="n"/>
      <c r="D17" s="4" t="n"/>
      <c r="E17" s="4" t="n"/>
      <c r="F17" s="4" t="n"/>
      <c r="G17" s="4" t="n"/>
      <c r="H17" s="4" t="n"/>
      <c r="I17" s="5" t="n"/>
      <c r="J17" s="4" t="n"/>
      <c r="K17" s="4" t="n"/>
    </row>
    <row r="18">
      <c r="A18" s="4">
        <f>IF($B18="","", "G"&amp;TEXT(ROW()-1,"0000"))</f>
        <v/>
      </c>
      <c r="B18" s="4" t="n"/>
      <c r="C18" s="4" t="n"/>
      <c r="D18" s="4" t="n"/>
      <c r="E18" s="4" t="n"/>
      <c r="F18" s="4" t="n"/>
      <c r="G18" s="4" t="n"/>
      <c r="H18" s="4" t="n"/>
      <c r="I18" s="5" t="n"/>
      <c r="J18" s="4" t="n"/>
      <c r="K18" s="4" t="n"/>
    </row>
    <row r="19">
      <c r="A19" s="4">
        <f>IF($B19="","", "G"&amp;TEXT(ROW()-1,"0000"))</f>
        <v/>
      </c>
      <c r="B19" s="4" t="n"/>
      <c r="C19" s="4" t="n"/>
      <c r="D19" s="4" t="n"/>
      <c r="E19" s="4" t="n"/>
      <c r="F19" s="4" t="n"/>
      <c r="G19" s="4" t="n"/>
      <c r="H19" s="4" t="n"/>
      <c r="I19" s="5" t="n"/>
      <c r="J19" s="4" t="n"/>
      <c r="K19" s="4" t="n"/>
    </row>
    <row r="20">
      <c r="A20" s="4">
        <f>IF($B20="","", "G"&amp;TEXT(ROW()-1,"0000"))</f>
        <v/>
      </c>
      <c r="B20" s="4" t="n"/>
      <c r="C20" s="4" t="n"/>
      <c r="D20" s="4" t="n"/>
      <c r="E20" s="4" t="n"/>
      <c r="F20" s="4" t="n"/>
      <c r="G20" s="4" t="n"/>
      <c r="H20" s="4" t="n"/>
      <c r="I20" s="5" t="n"/>
      <c r="J20" s="4" t="n"/>
      <c r="K20" s="4" t="n"/>
    </row>
    <row r="21">
      <c r="A21" s="4">
        <f>IF($B21="","", "G"&amp;TEXT(ROW()-1,"0000"))</f>
        <v/>
      </c>
      <c r="B21" s="4" t="n"/>
      <c r="C21" s="4" t="n"/>
      <c r="D21" s="4" t="n"/>
      <c r="E21" s="4" t="n"/>
      <c r="F21" s="4" t="n"/>
      <c r="G21" s="4" t="n"/>
      <c r="H21" s="4" t="n"/>
      <c r="I21" s="5" t="n"/>
      <c r="J21" s="4" t="n"/>
      <c r="K21" s="4" t="n"/>
    </row>
    <row r="22">
      <c r="A22" s="4">
        <f>IF($B22="","", "G"&amp;TEXT(ROW()-1,"0000"))</f>
        <v/>
      </c>
      <c r="B22" s="4" t="n"/>
      <c r="C22" s="4" t="n"/>
      <c r="D22" s="4" t="n"/>
      <c r="E22" s="4" t="n"/>
      <c r="F22" s="4" t="n"/>
      <c r="G22" s="4" t="n"/>
      <c r="H22" s="4" t="n"/>
      <c r="I22" s="5" t="n"/>
      <c r="J22" s="4" t="n"/>
      <c r="K22" s="4" t="n"/>
    </row>
    <row r="23">
      <c r="A23" s="4">
        <f>IF($B23="","", "G"&amp;TEXT(ROW()-1,"0000"))</f>
        <v/>
      </c>
      <c r="B23" s="4" t="n"/>
      <c r="C23" s="4" t="n"/>
      <c r="D23" s="4" t="n"/>
      <c r="E23" s="4" t="n"/>
      <c r="F23" s="4" t="n"/>
      <c r="G23" s="4" t="n"/>
      <c r="H23" s="4" t="n"/>
      <c r="I23" s="5" t="n"/>
      <c r="J23" s="4" t="n"/>
      <c r="K23" s="4" t="n"/>
    </row>
    <row r="24">
      <c r="A24" s="4">
        <f>IF($B24="","", "G"&amp;TEXT(ROW()-1,"0000"))</f>
        <v/>
      </c>
      <c r="B24" s="4" t="n"/>
      <c r="C24" s="4" t="n"/>
      <c r="D24" s="4" t="n"/>
      <c r="E24" s="4" t="n"/>
      <c r="F24" s="4" t="n"/>
      <c r="G24" s="4" t="n"/>
      <c r="H24" s="4" t="n"/>
      <c r="I24" s="5" t="n"/>
      <c r="J24" s="4" t="n"/>
      <c r="K24" s="4" t="n"/>
    </row>
    <row r="25">
      <c r="A25" s="4">
        <f>IF($B25="","", "G"&amp;TEXT(ROW()-1,"0000"))</f>
        <v/>
      </c>
      <c r="B25" s="4" t="n"/>
      <c r="C25" s="4" t="n"/>
      <c r="D25" s="4" t="n"/>
      <c r="E25" s="4" t="n"/>
      <c r="F25" s="4" t="n"/>
      <c r="G25" s="4" t="n"/>
      <c r="H25" s="4" t="n"/>
      <c r="I25" s="5" t="n"/>
      <c r="J25" s="4" t="n"/>
      <c r="K25" s="4" t="n"/>
    </row>
    <row r="26">
      <c r="A26" s="4">
        <f>IF($B26="","", "G"&amp;TEXT(ROW()-1,"0000"))</f>
        <v/>
      </c>
      <c r="B26" s="4" t="n"/>
      <c r="C26" s="4" t="n"/>
      <c r="D26" s="4" t="n"/>
      <c r="E26" s="4" t="n"/>
      <c r="F26" s="4" t="n"/>
      <c r="G26" s="4" t="n"/>
      <c r="H26" s="4" t="n"/>
      <c r="I26" s="5" t="n"/>
      <c r="J26" s="4" t="n"/>
      <c r="K26" s="4" t="n"/>
    </row>
    <row r="27">
      <c r="A27" s="4">
        <f>IF($B27="","", "G"&amp;TEXT(ROW()-1,"0000"))</f>
        <v/>
      </c>
      <c r="B27" s="4" t="n"/>
      <c r="C27" s="4" t="n"/>
      <c r="D27" s="4" t="n"/>
      <c r="E27" s="4" t="n"/>
      <c r="F27" s="4" t="n"/>
      <c r="G27" s="4" t="n"/>
      <c r="H27" s="4" t="n"/>
      <c r="I27" s="5" t="n"/>
      <c r="J27" s="4" t="n"/>
      <c r="K27" s="4" t="n"/>
    </row>
    <row r="28">
      <c r="A28" s="4">
        <f>IF($B28="","", "G"&amp;TEXT(ROW()-1,"0000"))</f>
        <v/>
      </c>
      <c r="B28" s="4" t="n"/>
      <c r="C28" s="4" t="n"/>
      <c r="D28" s="4" t="n"/>
      <c r="E28" s="4" t="n"/>
      <c r="F28" s="4" t="n"/>
      <c r="G28" s="4" t="n"/>
      <c r="H28" s="4" t="n"/>
      <c r="I28" s="5" t="n"/>
      <c r="J28" s="4" t="n"/>
      <c r="K28" s="4" t="n"/>
    </row>
    <row r="29">
      <c r="A29" s="4">
        <f>IF($B29="","", "G"&amp;TEXT(ROW()-1,"0000"))</f>
        <v/>
      </c>
      <c r="B29" s="4" t="n"/>
      <c r="C29" s="4" t="n"/>
      <c r="D29" s="4" t="n"/>
      <c r="E29" s="4" t="n"/>
      <c r="F29" s="4" t="n"/>
      <c r="G29" s="4" t="n"/>
      <c r="H29" s="4" t="n"/>
      <c r="I29" s="5" t="n"/>
      <c r="J29" s="4" t="n"/>
      <c r="K29" s="4" t="n"/>
    </row>
    <row r="30">
      <c r="A30" s="4">
        <f>IF($B30="","", "G"&amp;TEXT(ROW()-1,"0000"))</f>
        <v/>
      </c>
      <c r="B30" s="4" t="n"/>
      <c r="C30" s="4" t="n"/>
      <c r="D30" s="4" t="n"/>
      <c r="E30" s="4" t="n"/>
      <c r="F30" s="4" t="n"/>
      <c r="G30" s="4" t="n"/>
      <c r="H30" s="4" t="n"/>
      <c r="I30" s="5" t="n"/>
      <c r="J30" s="4" t="n"/>
      <c r="K30" s="4" t="n"/>
    </row>
    <row r="31">
      <c r="A31" s="4">
        <f>IF($B31="","", "G"&amp;TEXT(ROW()-1,"0000"))</f>
        <v/>
      </c>
      <c r="B31" s="4" t="n"/>
      <c r="C31" s="4" t="n"/>
      <c r="D31" s="4" t="n"/>
      <c r="E31" s="4" t="n"/>
      <c r="F31" s="4" t="n"/>
      <c r="G31" s="4" t="n"/>
      <c r="H31" s="4" t="n"/>
      <c r="I31" s="5" t="n"/>
      <c r="J31" s="4" t="n"/>
      <c r="K31" s="4" t="n"/>
    </row>
    <row r="32">
      <c r="A32" s="4">
        <f>IF($B32="","", "G"&amp;TEXT(ROW()-1,"0000"))</f>
        <v/>
      </c>
      <c r="B32" s="4" t="n"/>
      <c r="C32" s="4" t="n"/>
      <c r="D32" s="4" t="n"/>
      <c r="E32" s="4" t="n"/>
      <c r="F32" s="4" t="n"/>
      <c r="G32" s="4" t="n"/>
      <c r="H32" s="4" t="n"/>
      <c r="I32" s="5" t="n"/>
      <c r="J32" s="4" t="n"/>
      <c r="K32" s="4" t="n"/>
    </row>
    <row r="33">
      <c r="A33" s="4">
        <f>IF($B33="","", "G"&amp;TEXT(ROW()-1,"0000"))</f>
        <v/>
      </c>
      <c r="B33" s="4" t="n"/>
      <c r="C33" s="4" t="n"/>
      <c r="D33" s="4" t="n"/>
      <c r="E33" s="4" t="n"/>
      <c r="F33" s="4" t="n"/>
      <c r="G33" s="4" t="n"/>
      <c r="H33" s="4" t="n"/>
      <c r="I33" s="5" t="n"/>
      <c r="J33" s="4" t="n"/>
      <c r="K33" s="4" t="n"/>
    </row>
    <row r="34">
      <c r="A34" s="4">
        <f>IF($B34="","", "G"&amp;TEXT(ROW()-1,"0000"))</f>
        <v/>
      </c>
      <c r="B34" s="4" t="n"/>
      <c r="C34" s="4" t="n"/>
      <c r="D34" s="4" t="n"/>
      <c r="E34" s="4" t="n"/>
      <c r="F34" s="4" t="n"/>
      <c r="G34" s="4" t="n"/>
      <c r="H34" s="4" t="n"/>
      <c r="I34" s="5" t="n"/>
      <c r="J34" s="4" t="n"/>
      <c r="K34" s="4" t="n"/>
    </row>
    <row r="35">
      <c r="A35" s="4">
        <f>IF($B35="","", "G"&amp;TEXT(ROW()-1,"0000"))</f>
        <v/>
      </c>
      <c r="B35" s="4" t="n"/>
      <c r="C35" s="4" t="n"/>
      <c r="D35" s="4" t="n"/>
      <c r="E35" s="4" t="n"/>
      <c r="F35" s="4" t="n"/>
      <c r="G35" s="4" t="n"/>
      <c r="H35" s="4" t="n"/>
      <c r="I35" s="5" t="n"/>
      <c r="J35" s="4" t="n"/>
      <c r="K35" s="4" t="n"/>
    </row>
    <row r="36">
      <c r="A36" s="4">
        <f>IF($B36="","", "G"&amp;TEXT(ROW()-1,"0000"))</f>
        <v/>
      </c>
      <c r="B36" s="4" t="n"/>
      <c r="C36" s="4" t="n"/>
      <c r="D36" s="4" t="n"/>
      <c r="E36" s="4" t="n"/>
      <c r="F36" s="4" t="n"/>
      <c r="G36" s="4" t="n"/>
      <c r="H36" s="4" t="n"/>
      <c r="I36" s="5" t="n"/>
      <c r="J36" s="4" t="n"/>
      <c r="K36" s="4" t="n"/>
    </row>
    <row r="37">
      <c r="A37" s="4">
        <f>IF($B37="","", "G"&amp;TEXT(ROW()-1,"0000"))</f>
        <v/>
      </c>
      <c r="B37" s="4" t="n"/>
      <c r="C37" s="4" t="n"/>
      <c r="D37" s="4" t="n"/>
      <c r="E37" s="4" t="n"/>
      <c r="F37" s="4" t="n"/>
      <c r="G37" s="4" t="n"/>
      <c r="H37" s="4" t="n"/>
      <c r="I37" s="5" t="n"/>
      <c r="J37" s="4" t="n"/>
      <c r="K37" s="4" t="n"/>
    </row>
    <row r="38">
      <c r="A38" s="4">
        <f>IF($B38="","", "G"&amp;TEXT(ROW()-1,"0000"))</f>
        <v/>
      </c>
      <c r="B38" s="4" t="n"/>
      <c r="C38" s="4" t="n"/>
      <c r="D38" s="4" t="n"/>
      <c r="E38" s="4" t="n"/>
      <c r="F38" s="4" t="n"/>
      <c r="G38" s="4" t="n"/>
      <c r="H38" s="4" t="n"/>
      <c r="I38" s="5" t="n"/>
      <c r="J38" s="4" t="n"/>
      <c r="K38" s="4" t="n"/>
    </row>
    <row r="39">
      <c r="A39" s="4">
        <f>IF($B39="","", "G"&amp;TEXT(ROW()-1,"0000"))</f>
        <v/>
      </c>
      <c r="B39" s="4" t="n"/>
      <c r="C39" s="4" t="n"/>
      <c r="D39" s="4" t="n"/>
      <c r="E39" s="4" t="n"/>
      <c r="F39" s="4" t="n"/>
      <c r="G39" s="4" t="n"/>
      <c r="H39" s="4" t="n"/>
      <c r="I39" s="5" t="n"/>
      <c r="J39" s="4" t="n"/>
      <c r="K39" s="4" t="n"/>
    </row>
    <row r="40">
      <c r="A40" s="4">
        <f>IF($B40="","", "G"&amp;TEXT(ROW()-1,"0000"))</f>
        <v/>
      </c>
      <c r="B40" s="4" t="n"/>
      <c r="C40" s="4" t="n"/>
      <c r="D40" s="4" t="n"/>
      <c r="E40" s="4" t="n"/>
      <c r="F40" s="4" t="n"/>
      <c r="G40" s="4" t="n"/>
      <c r="H40" s="4" t="n"/>
      <c r="I40" s="5" t="n"/>
      <c r="J40" s="4" t="n"/>
      <c r="K40" s="4" t="n"/>
    </row>
    <row r="41">
      <c r="A41" s="4">
        <f>IF($B41="","", "G"&amp;TEXT(ROW()-1,"0000"))</f>
        <v/>
      </c>
      <c r="B41" s="4" t="n"/>
      <c r="C41" s="4" t="n"/>
      <c r="D41" s="4" t="n"/>
      <c r="E41" s="4" t="n"/>
      <c r="F41" s="4" t="n"/>
      <c r="G41" s="4" t="n"/>
      <c r="H41" s="4" t="n"/>
      <c r="I41" s="5" t="n"/>
      <c r="J41" s="4" t="n"/>
      <c r="K41" s="4" t="n"/>
    </row>
    <row r="42">
      <c r="A42" s="4">
        <f>IF($B42="","", "G"&amp;TEXT(ROW()-1,"0000"))</f>
        <v/>
      </c>
      <c r="B42" s="4" t="n"/>
      <c r="C42" s="4" t="n"/>
      <c r="D42" s="4" t="n"/>
      <c r="E42" s="4" t="n"/>
      <c r="F42" s="4" t="n"/>
      <c r="G42" s="4" t="n"/>
      <c r="H42" s="4" t="n"/>
      <c r="I42" s="5" t="n"/>
      <c r="J42" s="4" t="n"/>
      <c r="K42" s="4" t="n"/>
    </row>
    <row r="43">
      <c r="A43" s="4">
        <f>IF($B43="","", "G"&amp;TEXT(ROW()-1,"0000"))</f>
        <v/>
      </c>
      <c r="B43" s="4" t="n"/>
      <c r="C43" s="4" t="n"/>
      <c r="D43" s="4" t="n"/>
      <c r="E43" s="4" t="n"/>
      <c r="F43" s="4" t="n"/>
      <c r="G43" s="4" t="n"/>
      <c r="H43" s="4" t="n"/>
      <c r="I43" s="5" t="n"/>
      <c r="J43" s="4" t="n"/>
      <c r="K43" s="4" t="n"/>
    </row>
    <row r="44">
      <c r="A44" s="4">
        <f>IF($B44="","", "G"&amp;TEXT(ROW()-1,"0000"))</f>
        <v/>
      </c>
      <c r="B44" s="4" t="n"/>
      <c r="C44" s="4" t="n"/>
      <c r="D44" s="4" t="n"/>
      <c r="E44" s="4" t="n"/>
      <c r="F44" s="4" t="n"/>
      <c r="G44" s="4" t="n"/>
      <c r="H44" s="4" t="n"/>
      <c r="I44" s="5" t="n"/>
      <c r="J44" s="4" t="n"/>
      <c r="K44" s="4" t="n"/>
    </row>
    <row r="45">
      <c r="A45" s="4">
        <f>IF($B45="","", "G"&amp;TEXT(ROW()-1,"0000"))</f>
        <v/>
      </c>
      <c r="B45" s="4" t="n"/>
      <c r="C45" s="4" t="n"/>
      <c r="D45" s="4" t="n"/>
      <c r="E45" s="4" t="n"/>
      <c r="F45" s="4" t="n"/>
      <c r="G45" s="4" t="n"/>
      <c r="H45" s="4" t="n"/>
      <c r="I45" s="5" t="n"/>
      <c r="J45" s="4" t="n"/>
      <c r="K45" s="4" t="n"/>
    </row>
    <row r="46">
      <c r="A46" s="4">
        <f>IF($B46="","", "G"&amp;TEXT(ROW()-1,"0000"))</f>
        <v/>
      </c>
      <c r="B46" s="4" t="n"/>
      <c r="C46" s="4" t="n"/>
      <c r="D46" s="4" t="n"/>
      <c r="E46" s="4" t="n"/>
      <c r="F46" s="4" t="n"/>
      <c r="G46" s="4" t="n"/>
      <c r="H46" s="4" t="n"/>
      <c r="I46" s="5" t="n"/>
      <c r="J46" s="4" t="n"/>
      <c r="K46" s="4" t="n"/>
    </row>
    <row r="47">
      <c r="A47" s="4">
        <f>IF($B47="","", "G"&amp;TEXT(ROW()-1,"0000"))</f>
        <v/>
      </c>
      <c r="B47" s="4" t="n"/>
      <c r="C47" s="4" t="n"/>
      <c r="D47" s="4" t="n"/>
      <c r="E47" s="4" t="n"/>
      <c r="F47" s="4" t="n"/>
      <c r="G47" s="4" t="n"/>
      <c r="H47" s="4" t="n"/>
      <c r="I47" s="5" t="n"/>
      <c r="J47" s="4" t="n"/>
      <c r="K47" s="4" t="n"/>
    </row>
    <row r="48">
      <c r="A48" s="4">
        <f>IF($B48="","", "G"&amp;TEXT(ROW()-1,"0000"))</f>
        <v/>
      </c>
      <c r="B48" s="4" t="n"/>
      <c r="C48" s="4" t="n"/>
      <c r="D48" s="4" t="n"/>
      <c r="E48" s="4" t="n"/>
      <c r="F48" s="4" t="n"/>
      <c r="G48" s="4" t="n"/>
      <c r="H48" s="4" t="n"/>
      <c r="I48" s="5" t="n"/>
      <c r="J48" s="4" t="n"/>
      <c r="K48" s="4" t="n"/>
    </row>
    <row r="49">
      <c r="A49" s="4">
        <f>IF($B49="","", "G"&amp;TEXT(ROW()-1,"0000"))</f>
        <v/>
      </c>
      <c r="B49" s="4" t="n"/>
      <c r="C49" s="4" t="n"/>
      <c r="D49" s="4" t="n"/>
      <c r="E49" s="4" t="n"/>
      <c r="F49" s="4" t="n"/>
      <c r="G49" s="4" t="n"/>
      <c r="H49" s="4" t="n"/>
      <c r="I49" s="5" t="n"/>
      <c r="J49" s="4" t="n"/>
      <c r="K49" s="4" t="n"/>
    </row>
    <row r="50">
      <c r="A50" s="4">
        <f>IF($B50="","", "G"&amp;TEXT(ROW()-1,"0000"))</f>
        <v/>
      </c>
      <c r="B50" s="4" t="n"/>
      <c r="C50" s="4" t="n"/>
      <c r="D50" s="4" t="n"/>
      <c r="E50" s="4" t="n"/>
      <c r="F50" s="4" t="n"/>
      <c r="G50" s="4" t="n"/>
      <c r="H50" s="4" t="n"/>
      <c r="I50" s="5" t="n"/>
      <c r="J50" s="4" t="n"/>
      <c r="K50" s="4" t="n"/>
    </row>
    <row r="51">
      <c r="A51" s="4">
        <f>IF($B51="","", "G"&amp;TEXT(ROW()-1,"0000"))</f>
        <v/>
      </c>
      <c r="B51" s="4" t="n"/>
      <c r="C51" s="4" t="n"/>
      <c r="D51" s="4" t="n"/>
      <c r="E51" s="4" t="n"/>
      <c r="F51" s="4" t="n"/>
      <c r="G51" s="4" t="n"/>
      <c r="H51" s="4" t="n"/>
      <c r="I51" s="5" t="n"/>
      <c r="J51" s="4" t="n"/>
      <c r="K51" s="4" t="n"/>
    </row>
    <row r="52">
      <c r="A52" s="4">
        <f>IF($B52="","", "G"&amp;TEXT(ROW()-1,"0000"))</f>
        <v/>
      </c>
      <c r="B52" s="4" t="n"/>
      <c r="C52" s="4" t="n"/>
      <c r="D52" s="4" t="n"/>
      <c r="E52" s="4" t="n"/>
      <c r="F52" s="4" t="n"/>
      <c r="G52" s="4" t="n"/>
      <c r="H52" s="4" t="n"/>
      <c r="I52" s="5" t="n"/>
      <c r="J52" s="4" t="n"/>
      <c r="K52" s="4" t="n"/>
    </row>
    <row r="53">
      <c r="A53" s="4">
        <f>IF($B53="","", "G"&amp;TEXT(ROW()-1,"0000"))</f>
        <v/>
      </c>
      <c r="B53" s="4" t="n"/>
      <c r="C53" s="4" t="n"/>
      <c r="D53" s="4" t="n"/>
      <c r="E53" s="4" t="n"/>
      <c r="F53" s="4" t="n"/>
      <c r="G53" s="4" t="n"/>
      <c r="H53" s="4" t="n"/>
      <c r="I53" s="5" t="n"/>
      <c r="J53" s="4" t="n"/>
      <c r="K53" s="4" t="n"/>
    </row>
    <row r="54">
      <c r="A54" s="4">
        <f>IF($B54="","", "G"&amp;TEXT(ROW()-1,"0000"))</f>
        <v/>
      </c>
      <c r="B54" s="4" t="n"/>
      <c r="C54" s="4" t="n"/>
      <c r="D54" s="4" t="n"/>
      <c r="E54" s="4" t="n"/>
      <c r="F54" s="4" t="n"/>
      <c r="G54" s="4" t="n"/>
      <c r="H54" s="4" t="n"/>
      <c r="I54" s="5" t="n"/>
      <c r="J54" s="4" t="n"/>
      <c r="K54" s="4" t="n"/>
    </row>
    <row r="55">
      <c r="A55" s="4">
        <f>IF($B55="","", "G"&amp;TEXT(ROW()-1,"0000"))</f>
        <v/>
      </c>
      <c r="B55" s="4" t="n"/>
      <c r="C55" s="4" t="n"/>
      <c r="D55" s="4" t="n"/>
      <c r="E55" s="4" t="n"/>
      <c r="F55" s="4" t="n"/>
      <c r="G55" s="4" t="n"/>
      <c r="H55" s="4" t="n"/>
      <c r="I55" s="5" t="n"/>
      <c r="J55" s="4" t="n"/>
      <c r="K55" s="4" t="n"/>
    </row>
    <row r="56">
      <c r="A56" s="4">
        <f>IF($B56="","", "G"&amp;TEXT(ROW()-1,"0000"))</f>
        <v/>
      </c>
      <c r="B56" s="4" t="n"/>
      <c r="C56" s="4" t="n"/>
      <c r="D56" s="4" t="n"/>
      <c r="E56" s="4" t="n"/>
      <c r="F56" s="4" t="n"/>
      <c r="G56" s="4" t="n"/>
      <c r="H56" s="4" t="n"/>
      <c r="I56" s="5" t="n"/>
      <c r="J56" s="4" t="n"/>
      <c r="K56" s="4" t="n"/>
    </row>
    <row r="57">
      <c r="A57" s="4">
        <f>IF($B57="","", "G"&amp;TEXT(ROW()-1,"0000"))</f>
        <v/>
      </c>
      <c r="B57" s="4" t="n"/>
      <c r="C57" s="4" t="n"/>
      <c r="D57" s="4" t="n"/>
      <c r="E57" s="4" t="n"/>
      <c r="F57" s="4" t="n"/>
      <c r="G57" s="4" t="n"/>
      <c r="H57" s="4" t="n"/>
      <c r="I57" s="5" t="n"/>
      <c r="J57" s="4" t="n"/>
      <c r="K57" s="4" t="n"/>
    </row>
    <row r="58">
      <c r="A58" s="4">
        <f>IF($B58="","", "G"&amp;TEXT(ROW()-1,"0000"))</f>
        <v/>
      </c>
      <c r="B58" s="4" t="n"/>
      <c r="C58" s="4" t="n"/>
      <c r="D58" s="4" t="n"/>
      <c r="E58" s="4" t="n"/>
      <c r="F58" s="4" t="n"/>
      <c r="G58" s="4" t="n"/>
      <c r="H58" s="4" t="n"/>
      <c r="I58" s="5" t="n"/>
      <c r="J58" s="4" t="n"/>
      <c r="K58" s="4" t="n"/>
    </row>
    <row r="59">
      <c r="A59" s="4">
        <f>IF($B59="","", "G"&amp;TEXT(ROW()-1,"0000"))</f>
        <v/>
      </c>
      <c r="B59" s="4" t="n"/>
      <c r="C59" s="4" t="n"/>
      <c r="D59" s="4" t="n"/>
      <c r="E59" s="4" t="n"/>
      <c r="F59" s="4" t="n"/>
      <c r="G59" s="4" t="n"/>
      <c r="H59" s="4" t="n"/>
      <c r="I59" s="5" t="n"/>
      <c r="J59" s="4" t="n"/>
      <c r="K59" s="4" t="n"/>
    </row>
    <row r="60">
      <c r="A60" s="4">
        <f>IF($B60="","", "G"&amp;TEXT(ROW()-1,"0000"))</f>
        <v/>
      </c>
      <c r="B60" s="4" t="n"/>
      <c r="C60" s="4" t="n"/>
      <c r="D60" s="4" t="n"/>
      <c r="E60" s="4" t="n"/>
      <c r="F60" s="4" t="n"/>
      <c r="G60" s="4" t="n"/>
      <c r="H60" s="4" t="n"/>
      <c r="I60" s="5" t="n"/>
      <c r="J60" s="4" t="n"/>
      <c r="K60" s="4" t="n"/>
    </row>
    <row r="61">
      <c r="A61" s="4">
        <f>IF($B61="","", "G"&amp;TEXT(ROW()-1,"0000"))</f>
        <v/>
      </c>
      <c r="B61" s="4" t="n"/>
      <c r="C61" s="4" t="n"/>
      <c r="D61" s="4" t="n"/>
      <c r="E61" s="4" t="n"/>
      <c r="F61" s="4" t="n"/>
      <c r="G61" s="4" t="n"/>
      <c r="H61" s="4" t="n"/>
      <c r="I61" s="5" t="n"/>
      <c r="J61" s="4" t="n"/>
      <c r="K61" s="4" t="n"/>
    </row>
    <row r="62">
      <c r="A62" s="4">
        <f>IF($B62="","", "G"&amp;TEXT(ROW()-1,"0000"))</f>
        <v/>
      </c>
      <c r="B62" s="4" t="n"/>
      <c r="C62" s="4" t="n"/>
      <c r="D62" s="4" t="n"/>
      <c r="E62" s="4" t="n"/>
      <c r="F62" s="4" t="n"/>
      <c r="G62" s="4" t="n"/>
      <c r="H62" s="4" t="n"/>
      <c r="I62" s="5" t="n"/>
      <c r="J62" s="4" t="n"/>
      <c r="K62" s="4" t="n"/>
    </row>
    <row r="63">
      <c r="A63" s="4">
        <f>IF($B63="","", "G"&amp;TEXT(ROW()-1,"0000"))</f>
        <v/>
      </c>
      <c r="B63" s="4" t="n"/>
      <c r="C63" s="4" t="n"/>
      <c r="D63" s="4" t="n"/>
      <c r="E63" s="4" t="n"/>
      <c r="F63" s="4" t="n"/>
      <c r="G63" s="4" t="n"/>
      <c r="H63" s="4" t="n"/>
      <c r="I63" s="5" t="n"/>
      <c r="J63" s="4" t="n"/>
      <c r="K63" s="4" t="n"/>
    </row>
    <row r="64">
      <c r="A64" s="4">
        <f>IF($B64="","", "G"&amp;TEXT(ROW()-1,"0000"))</f>
        <v/>
      </c>
      <c r="B64" s="4" t="n"/>
      <c r="C64" s="4" t="n"/>
      <c r="D64" s="4" t="n"/>
      <c r="E64" s="4" t="n"/>
      <c r="F64" s="4" t="n"/>
      <c r="G64" s="4" t="n"/>
      <c r="H64" s="4" t="n"/>
      <c r="I64" s="5" t="n"/>
      <c r="J64" s="4" t="n"/>
      <c r="K64" s="4" t="n"/>
    </row>
    <row r="65">
      <c r="A65" s="4">
        <f>IF($B65="","", "G"&amp;TEXT(ROW()-1,"0000"))</f>
        <v/>
      </c>
      <c r="B65" s="4" t="n"/>
      <c r="C65" s="4" t="n"/>
      <c r="D65" s="4" t="n"/>
      <c r="E65" s="4" t="n"/>
      <c r="F65" s="4" t="n"/>
      <c r="G65" s="4" t="n"/>
      <c r="H65" s="4" t="n"/>
      <c r="I65" s="5" t="n"/>
      <c r="J65" s="4" t="n"/>
      <c r="K65" s="4" t="n"/>
    </row>
    <row r="66">
      <c r="A66" s="4">
        <f>IF($B66="","", "G"&amp;TEXT(ROW()-1,"0000"))</f>
        <v/>
      </c>
      <c r="B66" s="4" t="n"/>
      <c r="C66" s="4" t="n"/>
      <c r="D66" s="4" t="n"/>
      <c r="E66" s="4" t="n"/>
      <c r="F66" s="4" t="n"/>
      <c r="G66" s="4" t="n"/>
      <c r="H66" s="4" t="n"/>
      <c r="I66" s="5" t="n"/>
      <c r="J66" s="4" t="n"/>
      <c r="K66" s="4" t="n"/>
    </row>
    <row r="67">
      <c r="A67" s="4">
        <f>IF($B67="","", "G"&amp;TEXT(ROW()-1,"0000"))</f>
        <v/>
      </c>
      <c r="B67" s="4" t="n"/>
      <c r="C67" s="4" t="n"/>
      <c r="D67" s="4" t="n"/>
      <c r="E67" s="4" t="n"/>
      <c r="F67" s="4" t="n"/>
      <c r="G67" s="4" t="n"/>
      <c r="H67" s="4" t="n"/>
      <c r="I67" s="5" t="n"/>
      <c r="J67" s="4" t="n"/>
      <c r="K67" s="4" t="n"/>
    </row>
    <row r="68">
      <c r="A68" s="4">
        <f>IF($B68="","", "G"&amp;TEXT(ROW()-1,"0000"))</f>
        <v/>
      </c>
      <c r="B68" s="4" t="n"/>
      <c r="C68" s="4" t="n"/>
      <c r="D68" s="4" t="n"/>
      <c r="E68" s="4" t="n"/>
      <c r="F68" s="4" t="n"/>
      <c r="G68" s="4" t="n"/>
      <c r="H68" s="4" t="n"/>
      <c r="I68" s="5" t="n"/>
      <c r="J68" s="4" t="n"/>
      <c r="K68" s="4" t="n"/>
    </row>
    <row r="69">
      <c r="A69" s="4">
        <f>IF($B69="","", "G"&amp;TEXT(ROW()-1,"0000"))</f>
        <v/>
      </c>
      <c r="B69" s="4" t="n"/>
      <c r="C69" s="4" t="n"/>
      <c r="D69" s="4" t="n"/>
      <c r="E69" s="4" t="n"/>
      <c r="F69" s="4" t="n"/>
      <c r="G69" s="4" t="n"/>
      <c r="H69" s="4" t="n"/>
      <c r="I69" s="5" t="n"/>
      <c r="J69" s="4" t="n"/>
      <c r="K69" s="4" t="n"/>
    </row>
    <row r="70">
      <c r="A70" s="4">
        <f>IF($B70="","", "G"&amp;TEXT(ROW()-1,"0000"))</f>
        <v/>
      </c>
      <c r="B70" s="4" t="n"/>
      <c r="C70" s="4" t="n"/>
      <c r="D70" s="4" t="n"/>
      <c r="E70" s="4" t="n"/>
      <c r="F70" s="4" t="n"/>
      <c r="G70" s="4" t="n"/>
      <c r="H70" s="4" t="n"/>
      <c r="I70" s="5" t="n"/>
      <c r="J70" s="4" t="n"/>
      <c r="K70" s="4" t="n"/>
    </row>
    <row r="71">
      <c r="A71" s="4">
        <f>IF($B71="","", "G"&amp;TEXT(ROW()-1,"0000"))</f>
        <v/>
      </c>
      <c r="B71" s="4" t="n"/>
      <c r="C71" s="4" t="n"/>
      <c r="D71" s="4" t="n"/>
      <c r="E71" s="4" t="n"/>
      <c r="F71" s="4" t="n"/>
      <c r="G71" s="4" t="n"/>
      <c r="H71" s="4" t="n"/>
      <c r="I71" s="5" t="n"/>
      <c r="J71" s="4" t="n"/>
      <c r="K71" s="4" t="n"/>
    </row>
    <row r="72">
      <c r="A72" s="4">
        <f>IF($B72="","", "G"&amp;TEXT(ROW()-1,"0000"))</f>
        <v/>
      </c>
      <c r="B72" s="4" t="n"/>
      <c r="C72" s="4" t="n"/>
      <c r="D72" s="4" t="n"/>
      <c r="E72" s="4" t="n"/>
      <c r="F72" s="4" t="n"/>
      <c r="G72" s="4" t="n"/>
      <c r="H72" s="4" t="n"/>
      <c r="I72" s="5" t="n"/>
      <c r="J72" s="4" t="n"/>
      <c r="K72" s="4" t="n"/>
    </row>
    <row r="73">
      <c r="A73" s="4">
        <f>IF($B73="","", "G"&amp;TEXT(ROW()-1,"0000"))</f>
        <v/>
      </c>
      <c r="B73" s="4" t="n"/>
      <c r="C73" s="4" t="n"/>
      <c r="D73" s="4" t="n"/>
      <c r="E73" s="4" t="n"/>
      <c r="F73" s="4" t="n"/>
      <c r="G73" s="4" t="n"/>
      <c r="H73" s="4" t="n"/>
      <c r="I73" s="5" t="n"/>
      <c r="J73" s="4" t="n"/>
      <c r="K73" s="4" t="n"/>
    </row>
    <row r="74">
      <c r="A74" s="4">
        <f>IF($B74="","", "G"&amp;TEXT(ROW()-1,"0000"))</f>
        <v/>
      </c>
      <c r="B74" s="4" t="n"/>
      <c r="C74" s="4" t="n"/>
      <c r="D74" s="4" t="n"/>
      <c r="E74" s="4" t="n"/>
      <c r="F74" s="4" t="n"/>
      <c r="G74" s="4" t="n"/>
      <c r="H74" s="4" t="n"/>
      <c r="I74" s="5" t="n"/>
      <c r="J74" s="4" t="n"/>
      <c r="K74" s="4" t="n"/>
    </row>
    <row r="75">
      <c r="A75" s="4">
        <f>IF($B75="","", "G"&amp;TEXT(ROW()-1,"0000"))</f>
        <v/>
      </c>
      <c r="B75" s="4" t="n"/>
      <c r="C75" s="4" t="n"/>
      <c r="D75" s="4" t="n"/>
      <c r="E75" s="4" t="n"/>
      <c r="F75" s="4" t="n"/>
      <c r="G75" s="4" t="n"/>
      <c r="H75" s="4" t="n"/>
      <c r="I75" s="5" t="n"/>
      <c r="J75" s="4" t="n"/>
      <c r="K75" s="4" t="n"/>
    </row>
    <row r="76">
      <c r="A76" s="4">
        <f>IF($B76="","", "G"&amp;TEXT(ROW()-1,"0000"))</f>
        <v/>
      </c>
      <c r="B76" s="4" t="n"/>
      <c r="C76" s="4" t="n"/>
      <c r="D76" s="4" t="n"/>
      <c r="E76" s="4" t="n"/>
      <c r="F76" s="4" t="n"/>
      <c r="G76" s="4" t="n"/>
      <c r="H76" s="4" t="n"/>
      <c r="I76" s="5" t="n"/>
      <c r="J76" s="4" t="n"/>
      <c r="K76" s="4" t="n"/>
    </row>
    <row r="77">
      <c r="A77" s="4">
        <f>IF($B77="","", "G"&amp;TEXT(ROW()-1,"0000"))</f>
        <v/>
      </c>
      <c r="B77" s="4" t="n"/>
      <c r="C77" s="4" t="n"/>
      <c r="D77" s="4" t="n"/>
      <c r="E77" s="4" t="n"/>
      <c r="F77" s="4" t="n"/>
      <c r="G77" s="4" t="n"/>
      <c r="H77" s="4" t="n"/>
      <c r="I77" s="5" t="n"/>
      <c r="J77" s="4" t="n"/>
      <c r="K77" s="4" t="n"/>
    </row>
    <row r="78">
      <c r="A78" s="4">
        <f>IF($B78="","", "G"&amp;TEXT(ROW()-1,"0000"))</f>
        <v/>
      </c>
      <c r="B78" s="4" t="n"/>
      <c r="C78" s="4" t="n"/>
      <c r="D78" s="4" t="n"/>
      <c r="E78" s="4" t="n"/>
      <c r="F78" s="4" t="n"/>
      <c r="G78" s="4" t="n"/>
      <c r="H78" s="4" t="n"/>
      <c r="I78" s="5" t="n"/>
      <c r="J78" s="4" t="n"/>
      <c r="K78" s="4" t="n"/>
    </row>
    <row r="79">
      <c r="A79" s="4">
        <f>IF($B79="","", "G"&amp;TEXT(ROW()-1,"0000"))</f>
        <v/>
      </c>
      <c r="B79" s="4" t="n"/>
      <c r="C79" s="4" t="n"/>
      <c r="D79" s="4" t="n"/>
      <c r="E79" s="4" t="n"/>
      <c r="F79" s="4" t="n"/>
      <c r="G79" s="4" t="n"/>
      <c r="H79" s="4" t="n"/>
      <c r="I79" s="5" t="n"/>
      <c r="J79" s="4" t="n"/>
      <c r="K79" s="4" t="n"/>
    </row>
    <row r="80">
      <c r="A80" s="4">
        <f>IF($B80="","", "G"&amp;TEXT(ROW()-1,"0000"))</f>
        <v/>
      </c>
      <c r="B80" s="4" t="n"/>
      <c r="C80" s="4" t="n"/>
      <c r="D80" s="4" t="n"/>
      <c r="E80" s="4" t="n"/>
      <c r="F80" s="4" t="n"/>
      <c r="G80" s="4" t="n"/>
      <c r="H80" s="4" t="n"/>
      <c r="I80" s="5" t="n"/>
      <c r="J80" s="4" t="n"/>
      <c r="K80" s="4" t="n"/>
    </row>
    <row r="81">
      <c r="A81" s="4">
        <f>IF($B81="","", "G"&amp;TEXT(ROW()-1,"0000"))</f>
        <v/>
      </c>
      <c r="B81" s="4" t="n"/>
      <c r="C81" s="4" t="n"/>
      <c r="D81" s="4" t="n"/>
      <c r="E81" s="4" t="n"/>
      <c r="F81" s="4" t="n"/>
      <c r="G81" s="4" t="n"/>
      <c r="H81" s="4" t="n"/>
      <c r="I81" s="5" t="n"/>
      <c r="J81" s="4" t="n"/>
      <c r="K81" s="4" t="n"/>
    </row>
    <row r="82">
      <c r="A82" s="4">
        <f>IF($B82="","", "G"&amp;TEXT(ROW()-1,"0000"))</f>
        <v/>
      </c>
      <c r="B82" s="4" t="n"/>
      <c r="C82" s="4" t="n"/>
      <c r="D82" s="4" t="n"/>
      <c r="E82" s="4" t="n"/>
      <c r="F82" s="4" t="n"/>
      <c r="G82" s="4" t="n"/>
      <c r="H82" s="4" t="n"/>
      <c r="I82" s="5" t="n"/>
      <c r="J82" s="4" t="n"/>
      <c r="K82" s="4" t="n"/>
    </row>
    <row r="83">
      <c r="A83" s="4">
        <f>IF($B83="","", "G"&amp;TEXT(ROW()-1,"0000"))</f>
        <v/>
      </c>
      <c r="B83" s="4" t="n"/>
      <c r="C83" s="4" t="n"/>
      <c r="D83" s="4" t="n"/>
      <c r="E83" s="4" t="n"/>
      <c r="F83" s="4" t="n"/>
      <c r="G83" s="4" t="n"/>
      <c r="H83" s="4" t="n"/>
      <c r="I83" s="5" t="n"/>
      <c r="J83" s="4" t="n"/>
      <c r="K83" s="4" t="n"/>
    </row>
    <row r="84">
      <c r="A84" s="4">
        <f>IF($B84="","", "G"&amp;TEXT(ROW()-1,"0000"))</f>
        <v/>
      </c>
      <c r="B84" s="4" t="n"/>
      <c r="C84" s="4" t="n"/>
      <c r="D84" s="4" t="n"/>
      <c r="E84" s="4" t="n"/>
      <c r="F84" s="4" t="n"/>
      <c r="G84" s="4" t="n"/>
      <c r="H84" s="4" t="n"/>
      <c r="I84" s="5" t="n"/>
      <c r="J84" s="4" t="n"/>
      <c r="K84" s="4" t="n"/>
    </row>
    <row r="85">
      <c r="A85" s="4">
        <f>IF($B85="","", "G"&amp;TEXT(ROW()-1,"0000"))</f>
        <v/>
      </c>
      <c r="B85" s="4" t="n"/>
      <c r="C85" s="4" t="n"/>
      <c r="D85" s="4" t="n"/>
      <c r="E85" s="4" t="n"/>
      <c r="F85" s="4" t="n"/>
      <c r="G85" s="4" t="n"/>
      <c r="H85" s="4" t="n"/>
      <c r="I85" s="5" t="n"/>
      <c r="J85" s="4" t="n"/>
      <c r="K85" s="4" t="n"/>
    </row>
    <row r="86">
      <c r="A86" s="4">
        <f>IF($B86="","", "G"&amp;TEXT(ROW()-1,"0000"))</f>
        <v/>
      </c>
      <c r="B86" s="4" t="n"/>
      <c r="C86" s="4" t="n"/>
      <c r="D86" s="4" t="n"/>
      <c r="E86" s="4" t="n"/>
      <c r="F86" s="4" t="n"/>
      <c r="G86" s="4" t="n"/>
      <c r="H86" s="4" t="n"/>
      <c r="I86" s="5" t="n"/>
      <c r="J86" s="4" t="n"/>
      <c r="K86" s="4" t="n"/>
    </row>
    <row r="87">
      <c r="A87" s="4">
        <f>IF($B87="","", "G"&amp;TEXT(ROW()-1,"0000"))</f>
        <v/>
      </c>
      <c r="B87" s="4" t="n"/>
      <c r="C87" s="4" t="n"/>
      <c r="D87" s="4" t="n"/>
      <c r="E87" s="4" t="n"/>
      <c r="F87" s="4" t="n"/>
      <c r="G87" s="4" t="n"/>
      <c r="H87" s="4" t="n"/>
      <c r="I87" s="5" t="n"/>
      <c r="J87" s="4" t="n"/>
      <c r="K87" s="4" t="n"/>
    </row>
    <row r="88">
      <c r="A88" s="4">
        <f>IF($B88="","", "G"&amp;TEXT(ROW()-1,"0000"))</f>
        <v/>
      </c>
      <c r="B88" s="4" t="n"/>
      <c r="C88" s="4" t="n"/>
      <c r="D88" s="4" t="n"/>
      <c r="E88" s="4" t="n"/>
      <c r="F88" s="4" t="n"/>
      <c r="G88" s="4" t="n"/>
      <c r="H88" s="4" t="n"/>
      <c r="I88" s="5" t="n"/>
      <c r="J88" s="4" t="n"/>
      <c r="K88" s="4" t="n"/>
    </row>
    <row r="89">
      <c r="A89" s="4">
        <f>IF($B89="","", "G"&amp;TEXT(ROW()-1,"0000"))</f>
        <v/>
      </c>
      <c r="B89" s="4" t="n"/>
      <c r="C89" s="4" t="n"/>
      <c r="D89" s="4" t="n"/>
      <c r="E89" s="4" t="n"/>
      <c r="F89" s="4" t="n"/>
      <c r="G89" s="4" t="n"/>
      <c r="H89" s="4" t="n"/>
      <c r="I89" s="5" t="n"/>
      <c r="J89" s="4" t="n"/>
      <c r="K89" s="4" t="n"/>
    </row>
    <row r="90">
      <c r="A90" s="4">
        <f>IF($B90="","", "G"&amp;TEXT(ROW()-1,"0000"))</f>
        <v/>
      </c>
      <c r="B90" s="4" t="n"/>
      <c r="C90" s="4" t="n"/>
      <c r="D90" s="4" t="n"/>
      <c r="E90" s="4" t="n"/>
      <c r="F90" s="4" t="n"/>
      <c r="G90" s="4" t="n"/>
      <c r="H90" s="4" t="n"/>
      <c r="I90" s="5" t="n"/>
      <c r="J90" s="4" t="n"/>
      <c r="K90" s="4" t="n"/>
    </row>
    <row r="91">
      <c r="A91" s="4">
        <f>IF($B91="","", "G"&amp;TEXT(ROW()-1,"0000"))</f>
        <v/>
      </c>
      <c r="B91" s="4" t="n"/>
      <c r="C91" s="4" t="n"/>
      <c r="D91" s="4" t="n"/>
      <c r="E91" s="4" t="n"/>
      <c r="F91" s="4" t="n"/>
      <c r="G91" s="4" t="n"/>
      <c r="H91" s="4" t="n"/>
      <c r="I91" s="5" t="n"/>
      <c r="J91" s="4" t="n"/>
      <c r="K91" s="4" t="n"/>
    </row>
    <row r="92">
      <c r="A92" s="4">
        <f>IF($B92="","", "G"&amp;TEXT(ROW()-1,"0000"))</f>
        <v/>
      </c>
      <c r="B92" s="4" t="n"/>
      <c r="C92" s="4" t="n"/>
      <c r="D92" s="4" t="n"/>
      <c r="E92" s="4" t="n"/>
      <c r="F92" s="4" t="n"/>
      <c r="G92" s="4" t="n"/>
      <c r="H92" s="4" t="n"/>
      <c r="I92" s="5" t="n"/>
      <c r="J92" s="4" t="n"/>
      <c r="K92" s="4" t="n"/>
    </row>
    <row r="93">
      <c r="A93" s="4">
        <f>IF($B93="","", "G"&amp;TEXT(ROW()-1,"0000"))</f>
        <v/>
      </c>
      <c r="B93" s="4" t="n"/>
      <c r="C93" s="4" t="n"/>
      <c r="D93" s="4" t="n"/>
      <c r="E93" s="4" t="n"/>
      <c r="F93" s="4" t="n"/>
      <c r="G93" s="4" t="n"/>
      <c r="H93" s="4" t="n"/>
      <c r="I93" s="5" t="n"/>
      <c r="J93" s="4" t="n"/>
      <c r="K93" s="4" t="n"/>
    </row>
    <row r="94">
      <c r="A94" s="4">
        <f>IF($B94="","", "G"&amp;TEXT(ROW()-1,"0000"))</f>
        <v/>
      </c>
      <c r="B94" s="4" t="n"/>
      <c r="C94" s="4" t="n"/>
      <c r="D94" s="4" t="n"/>
      <c r="E94" s="4" t="n"/>
      <c r="F94" s="4" t="n"/>
      <c r="G94" s="4" t="n"/>
      <c r="H94" s="4" t="n"/>
      <c r="I94" s="5" t="n"/>
      <c r="J94" s="4" t="n"/>
      <c r="K94" s="4" t="n"/>
    </row>
    <row r="95">
      <c r="A95" s="4">
        <f>IF($B95="","", "G"&amp;TEXT(ROW()-1,"0000"))</f>
        <v/>
      </c>
      <c r="B95" s="4" t="n"/>
      <c r="C95" s="4" t="n"/>
      <c r="D95" s="4" t="n"/>
      <c r="E95" s="4" t="n"/>
      <c r="F95" s="4" t="n"/>
      <c r="G95" s="4" t="n"/>
      <c r="H95" s="4" t="n"/>
      <c r="I95" s="5" t="n"/>
      <c r="J95" s="4" t="n"/>
      <c r="K95" s="4" t="n"/>
    </row>
    <row r="96">
      <c r="A96" s="4">
        <f>IF($B96="","", "G"&amp;TEXT(ROW()-1,"0000"))</f>
        <v/>
      </c>
      <c r="B96" s="4" t="n"/>
      <c r="C96" s="4" t="n"/>
      <c r="D96" s="4" t="n"/>
      <c r="E96" s="4" t="n"/>
      <c r="F96" s="4" t="n"/>
      <c r="G96" s="4" t="n"/>
      <c r="H96" s="4" t="n"/>
      <c r="I96" s="5" t="n"/>
      <c r="J96" s="4" t="n"/>
      <c r="K96" s="4" t="n"/>
    </row>
    <row r="97">
      <c r="A97" s="4">
        <f>IF($B97="","", "G"&amp;TEXT(ROW()-1,"0000"))</f>
        <v/>
      </c>
      <c r="B97" s="4" t="n"/>
      <c r="C97" s="4" t="n"/>
      <c r="D97" s="4" t="n"/>
      <c r="E97" s="4" t="n"/>
      <c r="F97" s="4" t="n"/>
      <c r="G97" s="4" t="n"/>
      <c r="H97" s="4" t="n"/>
      <c r="I97" s="5" t="n"/>
      <c r="J97" s="4" t="n"/>
      <c r="K97" s="4" t="n"/>
    </row>
    <row r="98">
      <c r="A98" s="4">
        <f>IF($B98="","", "G"&amp;TEXT(ROW()-1,"0000"))</f>
        <v/>
      </c>
      <c r="B98" s="4" t="n"/>
      <c r="C98" s="4" t="n"/>
      <c r="D98" s="4" t="n"/>
      <c r="E98" s="4" t="n"/>
      <c r="F98" s="4" t="n"/>
      <c r="G98" s="4" t="n"/>
      <c r="H98" s="4" t="n"/>
      <c r="I98" s="5" t="n"/>
      <c r="J98" s="4" t="n"/>
      <c r="K98" s="4" t="n"/>
    </row>
    <row r="99">
      <c r="A99" s="4">
        <f>IF($B99="","", "G"&amp;TEXT(ROW()-1,"0000"))</f>
        <v/>
      </c>
      <c r="B99" s="4" t="n"/>
      <c r="C99" s="4" t="n"/>
      <c r="D99" s="4" t="n"/>
      <c r="E99" s="4" t="n"/>
      <c r="F99" s="4" t="n"/>
      <c r="G99" s="4" t="n"/>
      <c r="H99" s="4" t="n"/>
      <c r="I99" s="5" t="n"/>
      <c r="J99" s="4" t="n"/>
      <c r="K99" s="4" t="n"/>
    </row>
    <row r="100">
      <c r="A100" s="4">
        <f>IF($B100="","", "G"&amp;TEXT(ROW()-1,"0000"))</f>
        <v/>
      </c>
      <c r="B100" s="4" t="n"/>
      <c r="C100" s="4" t="n"/>
      <c r="D100" s="4" t="n"/>
      <c r="E100" s="4" t="n"/>
      <c r="F100" s="4" t="n"/>
      <c r="G100" s="4" t="n"/>
      <c r="H100" s="4" t="n"/>
      <c r="I100" s="5" t="n"/>
      <c r="J100" s="4" t="n"/>
      <c r="K100" s="4" t="n"/>
    </row>
    <row r="101">
      <c r="A101">
        <f>IF($B101="","", "G"&amp;TEXT(ROW()-1,"0000"))</f>
        <v/>
      </c>
      <c r="I101" s="6" t="n"/>
    </row>
    <row r="102">
      <c r="A102">
        <f>IF($B102="","", "G"&amp;TEXT(ROW()-1,"0000"))</f>
        <v/>
      </c>
      <c r="I102" s="6" t="n"/>
    </row>
    <row r="103">
      <c r="A103">
        <f>IF($B103="","", "G"&amp;TEXT(ROW()-1,"0000"))</f>
        <v/>
      </c>
      <c r="I103" s="6" t="n"/>
    </row>
    <row r="104">
      <c r="A104">
        <f>IF($B104="","", "G"&amp;TEXT(ROW()-1,"0000"))</f>
        <v/>
      </c>
      <c r="I104" s="6" t="n"/>
    </row>
    <row r="105">
      <c r="A105">
        <f>IF($B105="","", "G"&amp;TEXT(ROW()-1,"0000"))</f>
        <v/>
      </c>
      <c r="I105" s="6" t="n"/>
    </row>
    <row r="106">
      <c r="A106">
        <f>IF($B106="","", "G"&amp;TEXT(ROW()-1,"0000"))</f>
        <v/>
      </c>
      <c r="I106" s="6" t="n"/>
    </row>
    <row r="107">
      <c r="A107">
        <f>IF($B107="","", "G"&amp;TEXT(ROW()-1,"0000"))</f>
        <v/>
      </c>
      <c r="I107" s="6" t="n"/>
    </row>
    <row r="108">
      <c r="A108">
        <f>IF($B108="","", "G"&amp;TEXT(ROW()-1,"0000"))</f>
        <v/>
      </c>
      <c r="I108" s="6" t="n"/>
    </row>
    <row r="109">
      <c r="A109">
        <f>IF($B109="","", "G"&amp;TEXT(ROW()-1,"0000"))</f>
        <v/>
      </c>
      <c r="I109" s="6" t="n"/>
    </row>
    <row r="110">
      <c r="A110">
        <f>IF($B110="","", "G"&amp;TEXT(ROW()-1,"0000"))</f>
        <v/>
      </c>
      <c r="I110" s="6" t="n"/>
    </row>
    <row r="111">
      <c r="A111">
        <f>IF($B111="","", "G"&amp;TEXT(ROW()-1,"0000"))</f>
        <v/>
      </c>
      <c r="I111" s="6" t="n"/>
    </row>
    <row r="112">
      <c r="A112">
        <f>IF($B112="","", "G"&amp;TEXT(ROW()-1,"0000"))</f>
        <v/>
      </c>
      <c r="I112" s="6" t="n"/>
    </row>
    <row r="113">
      <c r="A113">
        <f>IF($B113="","", "G"&amp;TEXT(ROW()-1,"0000"))</f>
        <v/>
      </c>
      <c r="I113" s="6" t="n"/>
    </row>
    <row r="114">
      <c r="A114">
        <f>IF($B114="","", "G"&amp;TEXT(ROW()-1,"0000"))</f>
        <v/>
      </c>
      <c r="I114" s="6" t="n"/>
    </row>
    <row r="115">
      <c r="A115">
        <f>IF($B115="","", "G"&amp;TEXT(ROW()-1,"0000"))</f>
        <v/>
      </c>
      <c r="I115" s="6" t="n"/>
    </row>
    <row r="116">
      <c r="A116">
        <f>IF($B116="","", "G"&amp;TEXT(ROW()-1,"0000"))</f>
        <v/>
      </c>
      <c r="I116" s="6" t="n"/>
    </row>
    <row r="117">
      <c r="A117">
        <f>IF($B117="","", "G"&amp;TEXT(ROW()-1,"0000"))</f>
        <v/>
      </c>
      <c r="I117" s="6" t="n"/>
    </row>
    <row r="118">
      <c r="A118">
        <f>IF($B118="","", "G"&amp;TEXT(ROW()-1,"0000"))</f>
        <v/>
      </c>
      <c r="I118" s="6" t="n"/>
    </row>
    <row r="119">
      <c r="A119">
        <f>IF($B119="","", "G"&amp;TEXT(ROW()-1,"0000"))</f>
        <v/>
      </c>
      <c r="I119" s="6" t="n"/>
    </row>
    <row r="120">
      <c r="A120">
        <f>IF($B120="","", "G"&amp;TEXT(ROW()-1,"0000"))</f>
        <v/>
      </c>
      <c r="I120" s="6" t="n"/>
    </row>
    <row r="121">
      <c r="A121">
        <f>IF($B121="","", "G"&amp;TEXT(ROW()-1,"0000"))</f>
        <v/>
      </c>
      <c r="I121" s="6" t="n"/>
    </row>
    <row r="122">
      <c r="A122">
        <f>IF($B122="","", "G"&amp;TEXT(ROW()-1,"0000"))</f>
        <v/>
      </c>
      <c r="I122" s="6" t="n"/>
    </row>
    <row r="123">
      <c r="A123">
        <f>IF($B123="","", "G"&amp;TEXT(ROW()-1,"0000"))</f>
        <v/>
      </c>
      <c r="I123" s="6" t="n"/>
    </row>
    <row r="124">
      <c r="A124">
        <f>IF($B124="","", "G"&amp;TEXT(ROW()-1,"0000"))</f>
        <v/>
      </c>
      <c r="I124" s="6" t="n"/>
    </row>
    <row r="125">
      <c r="A125">
        <f>IF($B125="","", "G"&amp;TEXT(ROW()-1,"0000"))</f>
        <v/>
      </c>
      <c r="I125" s="6" t="n"/>
    </row>
    <row r="126">
      <c r="A126">
        <f>IF($B126="","", "G"&amp;TEXT(ROW()-1,"0000"))</f>
        <v/>
      </c>
      <c r="I126" s="6" t="n"/>
    </row>
    <row r="127">
      <c r="A127">
        <f>IF($B127="","", "G"&amp;TEXT(ROW()-1,"0000"))</f>
        <v/>
      </c>
      <c r="I127" s="6" t="n"/>
    </row>
    <row r="128">
      <c r="A128">
        <f>IF($B128="","", "G"&amp;TEXT(ROW()-1,"0000"))</f>
        <v/>
      </c>
      <c r="I128" s="6" t="n"/>
    </row>
    <row r="129">
      <c r="A129">
        <f>IF($B129="","", "G"&amp;TEXT(ROW()-1,"0000"))</f>
        <v/>
      </c>
      <c r="I129" s="6" t="n"/>
    </row>
    <row r="130">
      <c r="A130">
        <f>IF($B130="","", "G"&amp;TEXT(ROW()-1,"0000"))</f>
        <v/>
      </c>
      <c r="I130" s="6" t="n"/>
    </row>
    <row r="131">
      <c r="A131">
        <f>IF($B131="","", "G"&amp;TEXT(ROW()-1,"0000"))</f>
        <v/>
      </c>
      <c r="I131" s="6" t="n"/>
    </row>
    <row r="132">
      <c r="A132">
        <f>IF($B132="","", "G"&amp;TEXT(ROW()-1,"0000"))</f>
        <v/>
      </c>
      <c r="I132" s="6" t="n"/>
    </row>
    <row r="133">
      <c r="A133">
        <f>IF($B133="","", "G"&amp;TEXT(ROW()-1,"0000"))</f>
        <v/>
      </c>
      <c r="I133" s="6" t="n"/>
    </row>
    <row r="134">
      <c r="A134">
        <f>IF($B134="","", "G"&amp;TEXT(ROW()-1,"0000"))</f>
        <v/>
      </c>
      <c r="I134" s="6" t="n"/>
    </row>
    <row r="135">
      <c r="A135">
        <f>IF($B135="","", "G"&amp;TEXT(ROW()-1,"0000"))</f>
        <v/>
      </c>
      <c r="I135" s="6" t="n"/>
    </row>
    <row r="136">
      <c r="A136">
        <f>IF($B136="","", "G"&amp;TEXT(ROW()-1,"0000"))</f>
        <v/>
      </c>
      <c r="I136" s="6" t="n"/>
    </row>
    <row r="137">
      <c r="A137">
        <f>IF($B137="","", "G"&amp;TEXT(ROW()-1,"0000"))</f>
        <v/>
      </c>
      <c r="I137" s="6" t="n"/>
    </row>
    <row r="138">
      <c r="A138">
        <f>IF($B138="","", "G"&amp;TEXT(ROW()-1,"0000"))</f>
        <v/>
      </c>
      <c r="I138" s="6" t="n"/>
    </row>
    <row r="139">
      <c r="A139">
        <f>IF($B139="","", "G"&amp;TEXT(ROW()-1,"0000"))</f>
        <v/>
      </c>
      <c r="I139" s="6" t="n"/>
    </row>
    <row r="140">
      <c r="A140">
        <f>IF($B140="","", "G"&amp;TEXT(ROW()-1,"0000"))</f>
        <v/>
      </c>
      <c r="I140" s="6" t="n"/>
    </row>
    <row r="141">
      <c r="A141">
        <f>IF($B141="","", "G"&amp;TEXT(ROW()-1,"0000"))</f>
        <v/>
      </c>
      <c r="I141" s="6" t="n"/>
    </row>
    <row r="142">
      <c r="A142">
        <f>IF($B142="","", "G"&amp;TEXT(ROW()-1,"0000"))</f>
        <v/>
      </c>
      <c r="I142" s="6" t="n"/>
    </row>
    <row r="143">
      <c r="A143">
        <f>IF($B143="","", "G"&amp;TEXT(ROW()-1,"0000"))</f>
        <v/>
      </c>
      <c r="I143" s="6" t="n"/>
    </row>
    <row r="144">
      <c r="A144">
        <f>IF($B144="","", "G"&amp;TEXT(ROW()-1,"0000"))</f>
        <v/>
      </c>
      <c r="I144" s="6" t="n"/>
    </row>
    <row r="145">
      <c r="A145">
        <f>IF($B145="","", "G"&amp;TEXT(ROW()-1,"0000"))</f>
        <v/>
      </c>
      <c r="I145" s="6" t="n"/>
    </row>
    <row r="146">
      <c r="A146">
        <f>IF($B146="","", "G"&amp;TEXT(ROW()-1,"0000"))</f>
        <v/>
      </c>
      <c r="I146" s="6" t="n"/>
    </row>
    <row r="147">
      <c r="A147">
        <f>IF($B147="","", "G"&amp;TEXT(ROW()-1,"0000"))</f>
        <v/>
      </c>
      <c r="I147" s="6" t="n"/>
    </row>
    <row r="148">
      <c r="A148">
        <f>IF($B148="","", "G"&amp;TEXT(ROW()-1,"0000"))</f>
        <v/>
      </c>
      <c r="I148" s="6" t="n"/>
    </row>
    <row r="149">
      <c r="A149">
        <f>IF($B149="","", "G"&amp;TEXT(ROW()-1,"0000"))</f>
        <v/>
      </c>
      <c r="I149" s="6" t="n"/>
    </row>
    <row r="150">
      <c r="A150">
        <f>IF($B150="","", "G"&amp;TEXT(ROW()-1,"0000"))</f>
        <v/>
      </c>
      <c r="I150" s="6" t="n"/>
    </row>
    <row r="151">
      <c r="A151">
        <f>IF($B151="","", "G"&amp;TEXT(ROW()-1,"0000"))</f>
        <v/>
      </c>
      <c r="I151" s="6" t="n"/>
    </row>
    <row r="152">
      <c r="A152">
        <f>IF($B152="","", "G"&amp;TEXT(ROW()-1,"0000"))</f>
        <v/>
      </c>
      <c r="I152" s="6" t="n"/>
    </row>
    <row r="153">
      <c r="A153">
        <f>IF($B153="","", "G"&amp;TEXT(ROW()-1,"0000"))</f>
        <v/>
      </c>
      <c r="I153" s="6" t="n"/>
    </row>
    <row r="154">
      <c r="A154">
        <f>IF($B154="","", "G"&amp;TEXT(ROW()-1,"0000"))</f>
        <v/>
      </c>
      <c r="I154" s="6" t="n"/>
    </row>
    <row r="155">
      <c r="A155">
        <f>IF($B155="","", "G"&amp;TEXT(ROW()-1,"0000"))</f>
        <v/>
      </c>
      <c r="I155" s="6" t="n"/>
    </row>
    <row r="156">
      <c r="A156">
        <f>IF($B156="","", "G"&amp;TEXT(ROW()-1,"0000"))</f>
        <v/>
      </c>
      <c r="I156" s="6" t="n"/>
    </row>
    <row r="157">
      <c r="A157">
        <f>IF($B157="","", "G"&amp;TEXT(ROW()-1,"0000"))</f>
        <v/>
      </c>
      <c r="I157" s="6" t="n"/>
    </row>
    <row r="158">
      <c r="A158">
        <f>IF($B158="","", "G"&amp;TEXT(ROW()-1,"0000"))</f>
        <v/>
      </c>
      <c r="I158" s="6" t="n"/>
    </row>
    <row r="159">
      <c r="A159">
        <f>IF($B159="","", "G"&amp;TEXT(ROW()-1,"0000"))</f>
        <v/>
      </c>
      <c r="I159" s="6" t="n"/>
    </row>
    <row r="160">
      <c r="A160">
        <f>IF($B160="","", "G"&amp;TEXT(ROW()-1,"0000"))</f>
        <v/>
      </c>
      <c r="I160" s="6" t="n"/>
    </row>
    <row r="161">
      <c r="A161">
        <f>IF($B161="","", "G"&amp;TEXT(ROW()-1,"0000"))</f>
        <v/>
      </c>
      <c r="I161" s="6" t="n"/>
    </row>
    <row r="162">
      <c r="A162">
        <f>IF($B162="","", "G"&amp;TEXT(ROW()-1,"0000"))</f>
        <v/>
      </c>
      <c r="I162" s="6" t="n"/>
    </row>
    <row r="163">
      <c r="A163">
        <f>IF($B163="","", "G"&amp;TEXT(ROW()-1,"0000"))</f>
        <v/>
      </c>
      <c r="I163" s="6" t="n"/>
    </row>
    <row r="164">
      <c r="A164">
        <f>IF($B164="","", "G"&amp;TEXT(ROW()-1,"0000"))</f>
        <v/>
      </c>
      <c r="I164" s="6" t="n"/>
    </row>
    <row r="165">
      <c r="A165">
        <f>IF($B165="","", "G"&amp;TEXT(ROW()-1,"0000"))</f>
        <v/>
      </c>
      <c r="I165" s="6" t="n"/>
    </row>
    <row r="166">
      <c r="A166">
        <f>IF($B166="","", "G"&amp;TEXT(ROW()-1,"0000"))</f>
        <v/>
      </c>
      <c r="I166" s="6" t="n"/>
    </row>
    <row r="167">
      <c r="A167">
        <f>IF($B167="","", "G"&amp;TEXT(ROW()-1,"0000"))</f>
        <v/>
      </c>
      <c r="I167" s="6" t="n"/>
    </row>
    <row r="168">
      <c r="A168">
        <f>IF($B168="","", "G"&amp;TEXT(ROW()-1,"0000"))</f>
        <v/>
      </c>
      <c r="I168" s="6" t="n"/>
    </row>
    <row r="169">
      <c r="A169">
        <f>IF($B169="","", "G"&amp;TEXT(ROW()-1,"0000"))</f>
        <v/>
      </c>
      <c r="I169" s="6" t="n"/>
    </row>
    <row r="170">
      <c r="A170">
        <f>IF($B170="","", "G"&amp;TEXT(ROW()-1,"0000"))</f>
        <v/>
      </c>
      <c r="I170" s="6" t="n"/>
    </row>
    <row r="171">
      <c r="A171">
        <f>IF($B171="","", "G"&amp;TEXT(ROW()-1,"0000"))</f>
        <v/>
      </c>
      <c r="I171" s="6" t="n"/>
    </row>
    <row r="172">
      <c r="A172">
        <f>IF($B172="","", "G"&amp;TEXT(ROW()-1,"0000"))</f>
        <v/>
      </c>
      <c r="I172" s="6" t="n"/>
    </row>
    <row r="173">
      <c r="A173">
        <f>IF($B173="","", "G"&amp;TEXT(ROW()-1,"0000"))</f>
        <v/>
      </c>
      <c r="I173" s="6" t="n"/>
    </row>
    <row r="174">
      <c r="A174">
        <f>IF($B174="","", "G"&amp;TEXT(ROW()-1,"0000"))</f>
        <v/>
      </c>
      <c r="I174" s="6" t="n"/>
    </row>
    <row r="175">
      <c r="A175">
        <f>IF($B175="","", "G"&amp;TEXT(ROW()-1,"0000"))</f>
        <v/>
      </c>
      <c r="I175" s="6" t="n"/>
    </row>
    <row r="176">
      <c r="A176">
        <f>IF($B176="","", "G"&amp;TEXT(ROW()-1,"0000"))</f>
        <v/>
      </c>
      <c r="I176" s="6" t="n"/>
    </row>
    <row r="177">
      <c r="A177">
        <f>IF($B177="","", "G"&amp;TEXT(ROW()-1,"0000"))</f>
        <v/>
      </c>
      <c r="I177" s="6" t="n"/>
    </row>
    <row r="178">
      <c r="A178">
        <f>IF($B178="","", "G"&amp;TEXT(ROW()-1,"0000"))</f>
        <v/>
      </c>
      <c r="I178" s="6" t="n"/>
    </row>
    <row r="179">
      <c r="A179">
        <f>IF($B179="","", "G"&amp;TEXT(ROW()-1,"0000"))</f>
        <v/>
      </c>
      <c r="I179" s="6" t="n"/>
    </row>
    <row r="180">
      <c r="A180">
        <f>IF($B180="","", "G"&amp;TEXT(ROW()-1,"0000"))</f>
        <v/>
      </c>
      <c r="I180" s="6" t="n"/>
    </row>
    <row r="181">
      <c r="A181">
        <f>IF($B181="","", "G"&amp;TEXT(ROW()-1,"0000"))</f>
        <v/>
      </c>
      <c r="I181" s="6" t="n"/>
    </row>
    <row r="182">
      <c r="A182">
        <f>IF($B182="","", "G"&amp;TEXT(ROW()-1,"0000"))</f>
        <v/>
      </c>
      <c r="I182" s="6" t="n"/>
    </row>
    <row r="183">
      <c r="A183">
        <f>IF($B183="","", "G"&amp;TEXT(ROW()-1,"0000"))</f>
        <v/>
      </c>
      <c r="I183" s="6" t="n"/>
    </row>
    <row r="184">
      <c r="A184">
        <f>IF($B184="","", "G"&amp;TEXT(ROW()-1,"0000"))</f>
        <v/>
      </c>
      <c r="I184" s="6" t="n"/>
    </row>
    <row r="185">
      <c r="A185">
        <f>IF($B185="","", "G"&amp;TEXT(ROW()-1,"0000"))</f>
        <v/>
      </c>
      <c r="I185" s="6" t="n"/>
    </row>
    <row r="186">
      <c r="A186">
        <f>IF($B186="","", "G"&amp;TEXT(ROW()-1,"0000"))</f>
        <v/>
      </c>
      <c r="I186" s="6" t="n"/>
    </row>
    <row r="187">
      <c r="A187">
        <f>IF($B187="","", "G"&amp;TEXT(ROW()-1,"0000"))</f>
        <v/>
      </c>
      <c r="I187" s="6" t="n"/>
    </row>
    <row r="188">
      <c r="A188">
        <f>IF($B188="","", "G"&amp;TEXT(ROW()-1,"0000"))</f>
        <v/>
      </c>
      <c r="I188" s="6" t="n"/>
    </row>
    <row r="189">
      <c r="A189">
        <f>IF($B189="","", "G"&amp;TEXT(ROW()-1,"0000"))</f>
        <v/>
      </c>
      <c r="I189" s="6" t="n"/>
    </row>
    <row r="190">
      <c r="A190">
        <f>IF($B190="","", "G"&amp;TEXT(ROW()-1,"0000"))</f>
        <v/>
      </c>
      <c r="I190" s="6" t="n"/>
    </row>
    <row r="191">
      <c r="A191">
        <f>IF($B191="","", "G"&amp;TEXT(ROW()-1,"0000"))</f>
        <v/>
      </c>
      <c r="I191" s="6" t="n"/>
    </row>
    <row r="192">
      <c r="A192">
        <f>IF($B192="","", "G"&amp;TEXT(ROW()-1,"0000"))</f>
        <v/>
      </c>
      <c r="I192" s="6" t="n"/>
    </row>
    <row r="193">
      <c r="A193">
        <f>IF($B193="","", "G"&amp;TEXT(ROW()-1,"0000"))</f>
        <v/>
      </c>
      <c r="I193" s="6" t="n"/>
    </row>
    <row r="194">
      <c r="A194">
        <f>IF($B194="","", "G"&amp;TEXT(ROW()-1,"0000"))</f>
        <v/>
      </c>
      <c r="I194" s="6" t="n"/>
    </row>
    <row r="195">
      <c r="A195">
        <f>IF($B195="","", "G"&amp;TEXT(ROW()-1,"0000"))</f>
        <v/>
      </c>
      <c r="I195" s="6" t="n"/>
    </row>
    <row r="196">
      <c r="A196">
        <f>IF($B196="","", "G"&amp;TEXT(ROW()-1,"0000"))</f>
        <v/>
      </c>
      <c r="I196" s="6" t="n"/>
    </row>
    <row r="197">
      <c r="A197">
        <f>IF($B197="","", "G"&amp;TEXT(ROW()-1,"0000"))</f>
        <v/>
      </c>
      <c r="I197" s="6" t="n"/>
    </row>
    <row r="198">
      <c r="A198">
        <f>IF($B198="","", "G"&amp;TEXT(ROW()-1,"0000"))</f>
        <v/>
      </c>
      <c r="I198" s="6" t="n"/>
    </row>
    <row r="199">
      <c r="A199">
        <f>IF($B199="","", "G"&amp;TEXT(ROW()-1,"0000"))</f>
        <v/>
      </c>
      <c r="I199" s="6" t="n"/>
    </row>
    <row r="200">
      <c r="A200">
        <f>IF($B200="","", "G"&amp;TEXT(ROW()-1,"0000"))</f>
        <v/>
      </c>
      <c r="I200" s="6" t="n"/>
    </row>
    <row r="201">
      <c r="A201">
        <f>IF($B201="","", "G"&amp;TEXT(ROW()-1,"0000"))</f>
        <v/>
      </c>
      <c r="I201" s="6" t="n"/>
    </row>
  </sheetData>
  <dataValidations count="4">
    <dataValidation sqref="B2:D201" showDropDown="0" showInputMessage="0" showErrorMessage="0" allowBlank="1" type="list">
      <formula1>=ClientIDs</formula1>
    </dataValidation>
    <dataValidation sqref="E2:E201" showDropDown="0" showInputMessage="0" showErrorMessage="0" allowBlank="1" type="list">
      <formula1>=MeetingDays</formula1>
    </dataValidation>
    <dataValidation sqref="H2:H201" showDropDown="0" showInputMessage="0" showErrorMessage="0" allowBlank="1" type="list">
      <formula1>=StaffNames</formula1>
    </dataValidation>
    <dataValidation sqref="J2:J201" showDropDown="0" showInputMessage="0" showErrorMessage="0" allowBlank="1" type="list">
      <formula1>=StatusList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6" customWidth="1" min="4" max="4"/>
    <col width="18" customWidth="1" min="5" max="5"/>
    <col width="16" customWidth="1" min="6" max="6"/>
    <col width="12" customWidth="1" min="7" max="7"/>
    <col width="18" customWidth="1" min="8" max="8"/>
    <col width="18" customWidth="1" min="9" max="9"/>
    <col width="12" customWidth="1" min="10" max="10"/>
    <col width="14" customWidth="1" min="11" max="11"/>
    <col width="14" customWidth="1" min="12" max="12"/>
    <col width="16" customWidth="1" min="13" max="13"/>
    <col width="16" customWidth="1" min="14" max="14"/>
    <col width="24" customWidth="1" min="15" max="15"/>
  </cols>
  <sheetData>
    <row r="1" ht="28" customHeight="1">
      <c r="A1" s="3" t="inlineStr">
        <is>
          <t>Application ID</t>
        </is>
      </c>
      <c r="B1" s="3" t="inlineStr">
        <is>
          <t>Application Date</t>
        </is>
      </c>
      <c r="C1" s="3" t="inlineStr">
        <is>
          <t>Applicant Type</t>
        </is>
      </c>
      <c r="D1" s="3" t="inlineStr">
        <is>
          <t>Client/Group ID</t>
        </is>
      </c>
      <c r="E1" s="3" t="inlineStr">
        <is>
          <t>Product</t>
        </is>
      </c>
      <c r="F1" s="3" t="inlineStr">
        <is>
          <t>Requested Amount</t>
        </is>
      </c>
      <c r="G1" s="3" t="inlineStr">
        <is>
          <t>Term (Weeks)</t>
        </is>
      </c>
      <c r="H1" s="3" t="inlineStr">
        <is>
          <t>Proposed Installment</t>
        </is>
      </c>
      <c r="I1" s="3" t="inlineStr">
        <is>
          <t>Loan Officer</t>
        </is>
      </c>
      <c r="J1" s="3" t="inlineStr">
        <is>
          <t>Risk Grade</t>
        </is>
      </c>
      <c r="K1" s="3" t="inlineStr">
        <is>
          <t>Status</t>
        </is>
      </c>
      <c r="L1" s="3" t="inlineStr">
        <is>
          <t>Decision Date</t>
        </is>
      </c>
      <c r="M1" s="3" t="inlineStr">
        <is>
          <t>Approved Amount</t>
        </is>
      </c>
      <c r="N1" s="3" t="inlineStr">
        <is>
          <t>Approved By</t>
        </is>
      </c>
      <c r="O1" s="3" t="inlineStr">
        <is>
          <t>Notes</t>
        </is>
      </c>
    </row>
    <row r="2">
      <c r="A2" s="4">
        <f>IF($D2="","", "APP"&amp;TEXT(ROW()-1,"0000"))</f>
        <v/>
      </c>
      <c r="B2" s="5" t="n"/>
      <c r="C2" s="4" t="n"/>
      <c r="D2" s="4" t="n"/>
      <c r="E2" s="4" t="n"/>
      <c r="F2" s="7" t="n"/>
      <c r="G2" s="4" t="n"/>
      <c r="H2" s="7" t="n"/>
      <c r="I2" s="4" t="n"/>
      <c r="J2" s="4" t="n"/>
      <c r="K2" s="4" t="n"/>
      <c r="L2" s="5" t="n"/>
      <c r="M2" s="7" t="n"/>
      <c r="N2" s="4" t="n"/>
      <c r="O2" s="4" t="n"/>
    </row>
    <row r="3">
      <c r="A3" s="4">
        <f>IF($D3="","", "APP"&amp;TEXT(ROW()-1,"0000"))</f>
        <v/>
      </c>
      <c r="B3" s="5" t="n"/>
      <c r="C3" s="4" t="n"/>
      <c r="D3" s="4" t="n"/>
      <c r="E3" s="4" t="n"/>
      <c r="F3" s="7" t="n"/>
      <c r="G3" s="4" t="n"/>
      <c r="H3" s="7" t="n"/>
      <c r="I3" s="4" t="n"/>
      <c r="J3" s="4" t="n"/>
      <c r="K3" s="4" t="n"/>
      <c r="L3" s="5" t="n"/>
      <c r="M3" s="7" t="n"/>
      <c r="N3" s="4" t="n"/>
      <c r="O3" s="4" t="n"/>
    </row>
    <row r="4">
      <c r="A4" s="4">
        <f>IF($D4="","", "APP"&amp;TEXT(ROW()-1,"0000"))</f>
        <v/>
      </c>
      <c r="B4" s="5" t="n"/>
      <c r="C4" s="4" t="n"/>
      <c r="D4" s="4" t="n"/>
      <c r="E4" s="4" t="n"/>
      <c r="F4" s="7" t="n"/>
      <c r="G4" s="4" t="n"/>
      <c r="H4" s="7" t="n"/>
      <c r="I4" s="4" t="n"/>
      <c r="J4" s="4" t="n"/>
      <c r="K4" s="4" t="n"/>
      <c r="L4" s="5" t="n"/>
      <c r="M4" s="7" t="n"/>
      <c r="N4" s="4" t="n"/>
      <c r="O4" s="4" t="n"/>
    </row>
    <row r="5">
      <c r="A5" s="4">
        <f>IF($D5="","", "APP"&amp;TEXT(ROW()-1,"0000"))</f>
        <v/>
      </c>
      <c r="B5" s="5" t="n"/>
      <c r="C5" s="4" t="n"/>
      <c r="D5" s="4" t="n"/>
      <c r="E5" s="4" t="n"/>
      <c r="F5" s="7" t="n"/>
      <c r="G5" s="4" t="n"/>
      <c r="H5" s="7" t="n"/>
      <c r="I5" s="4" t="n"/>
      <c r="J5" s="4" t="n"/>
      <c r="K5" s="4" t="n"/>
      <c r="L5" s="5" t="n"/>
      <c r="M5" s="7" t="n"/>
      <c r="N5" s="4" t="n"/>
      <c r="O5" s="4" t="n"/>
    </row>
    <row r="6">
      <c r="A6" s="4">
        <f>IF($D6="","", "APP"&amp;TEXT(ROW()-1,"0000"))</f>
        <v/>
      </c>
      <c r="B6" s="5" t="n"/>
      <c r="C6" s="4" t="n"/>
      <c r="D6" s="4" t="n"/>
      <c r="E6" s="4" t="n"/>
      <c r="F6" s="7" t="n"/>
      <c r="G6" s="4" t="n"/>
      <c r="H6" s="7" t="n"/>
      <c r="I6" s="4" t="n"/>
      <c r="J6" s="4" t="n"/>
      <c r="K6" s="4" t="n"/>
      <c r="L6" s="5" t="n"/>
      <c r="M6" s="7" t="n"/>
      <c r="N6" s="4" t="n"/>
      <c r="O6" s="4" t="n"/>
    </row>
    <row r="7">
      <c r="A7" s="4">
        <f>IF($D7="","", "APP"&amp;TEXT(ROW()-1,"0000"))</f>
        <v/>
      </c>
      <c r="B7" s="5" t="n"/>
      <c r="C7" s="4" t="n"/>
      <c r="D7" s="4" t="n"/>
      <c r="E7" s="4" t="n"/>
      <c r="F7" s="7" t="n"/>
      <c r="G7" s="4" t="n"/>
      <c r="H7" s="7" t="n"/>
      <c r="I7" s="4" t="n"/>
      <c r="J7" s="4" t="n"/>
      <c r="K7" s="4" t="n"/>
      <c r="L7" s="5" t="n"/>
      <c r="M7" s="7" t="n"/>
      <c r="N7" s="4" t="n"/>
      <c r="O7" s="4" t="n"/>
    </row>
    <row r="8">
      <c r="A8" s="4">
        <f>IF($D8="","", "APP"&amp;TEXT(ROW()-1,"0000"))</f>
        <v/>
      </c>
      <c r="B8" s="5" t="n"/>
      <c r="C8" s="4" t="n"/>
      <c r="D8" s="4" t="n"/>
      <c r="E8" s="4" t="n"/>
      <c r="F8" s="7" t="n"/>
      <c r="G8" s="4" t="n"/>
      <c r="H8" s="7" t="n"/>
      <c r="I8" s="4" t="n"/>
      <c r="J8" s="4" t="n"/>
      <c r="K8" s="4" t="n"/>
      <c r="L8" s="5" t="n"/>
      <c r="M8" s="7" t="n"/>
      <c r="N8" s="4" t="n"/>
      <c r="O8" s="4" t="n"/>
    </row>
    <row r="9">
      <c r="A9" s="4">
        <f>IF($D9="","", "APP"&amp;TEXT(ROW()-1,"0000"))</f>
        <v/>
      </c>
      <c r="B9" s="5" t="n"/>
      <c r="C9" s="4" t="n"/>
      <c r="D9" s="4" t="n"/>
      <c r="E9" s="4" t="n"/>
      <c r="F9" s="7" t="n"/>
      <c r="G9" s="4" t="n"/>
      <c r="H9" s="7" t="n"/>
      <c r="I9" s="4" t="n"/>
      <c r="J9" s="4" t="n"/>
      <c r="K9" s="4" t="n"/>
      <c r="L9" s="5" t="n"/>
      <c r="M9" s="7" t="n"/>
      <c r="N9" s="4" t="n"/>
      <c r="O9" s="4" t="n"/>
    </row>
    <row r="10">
      <c r="A10" s="4">
        <f>IF($D10="","", "APP"&amp;TEXT(ROW()-1,"0000"))</f>
        <v/>
      </c>
      <c r="B10" s="5" t="n"/>
      <c r="C10" s="4" t="n"/>
      <c r="D10" s="4" t="n"/>
      <c r="E10" s="4" t="n"/>
      <c r="F10" s="7" t="n"/>
      <c r="G10" s="4" t="n"/>
      <c r="H10" s="7" t="n"/>
      <c r="I10" s="4" t="n"/>
      <c r="J10" s="4" t="n"/>
      <c r="K10" s="4" t="n"/>
      <c r="L10" s="5" t="n"/>
      <c r="M10" s="7" t="n"/>
      <c r="N10" s="4" t="n"/>
      <c r="O10" s="4" t="n"/>
    </row>
    <row r="11">
      <c r="A11" s="4">
        <f>IF($D11="","", "APP"&amp;TEXT(ROW()-1,"0000"))</f>
        <v/>
      </c>
      <c r="B11" s="5" t="n"/>
      <c r="C11" s="4" t="n"/>
      <c r="D11" s="4" t="n"/>
      <c r="E11" s="4" t="n"/>
      <c r="F11" s="7" t="n"/>
      <c r="G11" s="4" t="n"/>
      <c r="H11" s="7" t="n"/>
      <c r="I11" s="4" t="n"/>
      <c r="J11" s="4" t="n"/>
      <c r="K11" s="4" t="n"/>
      <c r="L11" s="5" t="n"/>
      <c r="M11" s="7" t="n"/>
      <c r="N11" s="4" t="n"/>
      <c r="O11" s="4" t="n"/>
    </row>
    <row r="12">
      <c r="A12" s="4">
        <f>IF($D12="","", "APP"&amp;TEXT(ROW()-1,"0000"))</f>
        <v/>
      </c>
      <c r="B12" s="5" t="n"/>
      <c r="C12" s="4" t="n"/>
      <c r="D12" s="4" t="n"/>
      <c r="E12" s="4" t="n"/>
      <c r="F12" s="7" t="n"/>
      <c r="G12" s="4" t="n"/>
      <c r="H12" s="7" t="n"/>
      <c r="I12" s="4" t="n"/>
      <c r="J12" s="4" t="n"/>
      <c r="K12" s="4" t="n"/>
      <c r="L12" s="5" t="n"/>
      <c r="M12" s="7" t="n"/>
      <c r="N12" s="4" t="n"/>
      <c r="O12" s="4" t="n"/>
    </row>
    <row r="13">
      <c r="A13" s="4">
        <f>IF($D13="","", "APP"&amp;TEXT(ROW()-1,"0000"))</f>
        <v/>
      </c>
      <c r="B13" s="5" t="n"/>
      <c r="C13" s="4" t="n"/>
      <c r="D13" s="4" t="n"/>
      <c r="E13" s="4" t="n"/>
      <c r="F13" s="7" t="n"/>
      <c r="G13" s="4" t="n"/>
      <c r="H13" s="7" t="n"/>
      <c r="I13" s="4" t="n"/>
      <c r="J13" s="4" t="n"/>
      <c r="K13" s="4" t="n"/>
      <c r="L13" s="5" t="n"/>
      <c r="M13" s="7" t="n"/>
      <c r="N13" s="4" t="n"/>
      <c r="O13" s="4" t="n"/>
    </row>
    <row r="14">
      <c r="A14" s="4">
        <f>IF($D14="","", "APP"&amp;TEXT(ROW()-1,"0000"))</f>
        <v/>
      </c>
      <c r="B14" s="5" t="n"/>
      <c r="C14" s="4" t="n"/>
      <c r="D14" s="4" t="n"/>
      <c r="E14" s="4" t="n"/>
      <c r="F14" s="7" t="n"/>
      <c r="G14" s="4" t="n"/>
      <c r="H14" s="7" t="n"/>
      <c r="I14" s="4" t="n"/>
      <c r="J14" s="4" t="n"/>
      <c r="K14" s="4" t="n"/>
      <c r="L14" s="5" t="n"/>
      <c r="M14" s="7" t="n"/>
      <c r="N14" s="4" t="n"/>
      <c r="O14" s="4" t="n"/>
    </row>
    <row r="15">
      <c r="A15" s="4">
        <f>IF($D15="","", "APP"&amp;TEXT(ROW()-1,"0000"))</f>
        <v/>
      </c>
      <c r="B15" s="5" t="n"/>
      <c r="C15" s="4" t="n"/>
      <c r="D15" s="4" t="n"/>
      <c r="E15" s="4" t="n"/>
      <c r="F15" s="7" t="n"/>
      <c r="G15" s="4" t="n"/>
      <c r="H15" s="7" t="n"/>
      <c r="I15" s="4" t="n"/>
      <c r="J15" s="4" t="n"/>
      <c r="K15" s="4" t="n"/>
      <c r="L15" s="5" t="n"/>
      <c r="M15" s="7" t="n"/>
      <c r="N15" s="4" t="n"/>
      <c r="O15" s="4" t="n"/>
    </row>
    <row r="16">
      <c r="A16" s="4">
        <f>IF($D16="","", "APP"&amp;TEXT(ROW()-1,"0000"))</f>
        <v/>
      </c>
      <c r="B16" s="5" t="n"/>
      <c r="C16" s="4" t="n"/>
      <c r="D16" s="4" t="n"/>
      <c r="E16" s="4" t="n"/>
      <c r="F16" s="7" t="n"/>
      <c r="G16" s="4" t="n"/>
      <c r="H16" s="7" t="n"/>
      <c r="I16" s="4" t="n"/>
      <c r="J16" s="4" t="n"/>
      <c r="K16" s="4" t="n"/>
      <c r="L16" s="5" t="n"/>
      <c r="M16" s="7" t="n"/>
      <c r="N16" s="4" t="n"/>
      <c r="O16" s="4" t="n"/>
    </row>
    <row r="17">
      <c r="A17" s="4">
        <f>IF($D17="","", "APP"&amp;TEXT(ROW()-1,"0000"))</f>
        <v/>
      </c>
      <c r="B17" s="5" t="n"/>
      <c r="C17" s="4" t="n"/>
      <c r="D17" s="4" t="n"/>
      <c r="E17" s="4" t="n"/>
      <c r="F17" s="7" t="n"/>
      <c r="G17" s="4" t="n"/>
      <c r="H17" s="7" t="n"/>
      <c r="I17" s="4" t="n"/>
      <c r="J17" s="4" t="n"/>
      <c r="K17" s="4" t="n"/>
      <c r="L17" s="5" t="n"/>
      <c r="M17" s="7" t="n"/>
      <c r="N17" s="4" t="n"/>
      <c r="O17" s="4" t="n"/>
    </row>
    <row r="18">
      <c r="A18" s="4">
        <f>IF($D18="","", "APP"&amp;TEXT(ROW()-1,"0000"))</f>
        <v/>
      </c>
      <c r="B18" s="5" t="n"/>
      <c r="C18" s="4" t="n"/>
      <c r="D18" s="4" t="n"/>
      <c r="E18" s="4" t="n"/>
      <c r="F18" s="7" t="n"/>
      <c r="G18" s="4" t="n"/>
      <c r="H18" s="7" t="n"/>
      <c r="I18" s="4" t="n"/>
      <c r="J18" s="4" t="n"/>
      <c r="K18" s="4" t="n"/>
      <c r="L18" s="5" t="n"/>
      <c r="M18" s="7" t="n"/>
      <c r="N18" s="4" t="n"/>
      <c r="O18" s="4" t="n"/>
    </row>
    <row r="19">
      <c r="A19" s="4">
        <f>IF($D19="","", "APP"&amp;TEXT(ROW()-1,"0000"))</f>
        <v/>
      </c>
      <c r="B19" s="5" t="n"/>
      <c r="C19" s="4" t="n"/>
      <c r="D19" s="4" t="n"/>
      <c r="E19" s="4" t="n"/>
      <c r="F19" s="7" t="n"/>
      <c r="G19" s="4" t="n"/>
      <c r="H19" s="7" t="n"/>
      <c r="I19" s="4" t="n"/>
      <c r="J19" s="4" t="n"/>
      <c r="K19" s="4" t="n"/>
      <c r="L19" s="5" t="n"/>
      <c r="M19" s="7" t="n"/>
      <c r="N19" s="4" t="n"/>
      <c r="O19" s="4" t="n"/>
    </row>
    <row r="20">
      <c r="A20" s="4">
        <f>IF($D20="","", "APP"&amp;TEXT(ROW()-1,"0000"))</f>
        <v/>
      </c>
      <c r="B20" s="5" t="n"/>
      <c r="C20" s="4" t="n"/>
      <c r="D20" s="4" t="n"/>
      <c r="E20" s="4" t="n"/>
      <c r="F20" s="7" t="n"/>
      <c r="G20" s="4" t="n"/>
      <c r="H20" s="7" t="n"/>
      <c r="I20" s="4" t="n"/>
      <c r="J20" s="4" t="n"/>
      <c r="K20" s="4" t="n"/>
      <c r="L20" s="5" t="n"/>
      <c r="M20" s="7" t="n"/>
      <c r="N20" s="4" t="n"/>
      <c r="O20" s="4" t="n"/>
    </row>
    <row r="21">
      <c r="A21" s="4">
        <f>IF($D21="","", "APP"&amp;TEXT(ROW()-1,"0000"))</f>
        <v/>
      </c>
      <c r="B21" s="5" t="n"/>
      <c r="C21" s="4" t="n"/>
      <c r="D21" s="4" t="n"/>
      <c r="E21" s="4" t="n"/>
      <c r="F21" s="7" t="n"/>
      <c r="G21" s="4" t="n"/>
      <c r="H21" s="7" t="n"/>
      <c r="I21" s="4" t="n"/>
      <c r="J21" s="4" t="n"/>
      <c r="K21" s="4" t="n"/>
      <c r="L21" s="5" t="n"/>
      <c r="M21" s="7" t="n"/>
      <c r="N21" s="4" t="n"/>
      <c r="O21" s="4" t="n"/>
    </row>
    <row r="22">
      <c r="A22" s="4">
        <f>IF($D22="","", "APP"&amp;TEXT(ROW()-1,"0000"))</f>
        <v/>
      </c>
      <c r="B22" s="5" t="n"/>
      <c r="C22" s="4" t="n"/>
      <c r="D22" s="4" t="n"/>
      <c r="E22" s="4" t="n"/>
      <c r="F22" s="7" t="n"/>
      <c r="G22" s="4" t="n"/>
      <c r="H22" s="7" t="n"/>
      <c r="I22" s="4" t="n"/>
      <c r="J22" s="4" t="n"/>
      <c r="K22" s="4" t="n"/>
      <c r="L22" s="5" t="n"/>
      <c r="M22" s="7" t="n"/>
      <c r="N22" s="4" t="n"/>
      <c r="O22" s="4" t="n"/>
    </row>
    <row r="23">
      <c r="A23" s="4">
        <f>IF($D23="","", "APP"&amp;TEXT(ROW()-1,"0000"))</f>
        <v/>
      </c>
      <c r="B23" s="5" t="n"/>
      <c r="C23" s="4" t="n"/>
      <c r="D23" s="4" t="n"/>
      <c r="E23" s="4" t="n"/>
      <c r="F23" s="7" t="n"/>
      <c r="G23" s="4" t="n"/>
      <c r="H23" s="7" t="n"/>
      <c r="I23" s="4" t="n"/>
      <c r="J23" s="4" t="n"/>
      <c r="K23" s="4" t="n"/>
      <c r="L23" s="5" t="n"/>
      <c r="M23" s="7" t="n"/>
      <c r="N23" s="4" t="n"/>
      <c r="O23" s="4" t="n"/>
    </row>
    <row r="24">
      <c r="A24" s="4">
        <f>IF($D24="","", "APP"&amp;TEXT(ROW()-1,"0000"))</f>
        <v/>
      </c>
      <c r="B24" s="5" t="n"/>
      <c r="C24" s="4" t="n"/>
      <c r="D24" s="4" t="n"/>
      <c r="E24" s="4" t="n"/>
      <c r="F24" s="7" t="n"/>
      <c r="G24" s="4" t="n"/>
      <c r="H24" s="7" t="n"/>
      <c r="I24" s="4" t="n"/>
      <c r="J24" s="4" t="n"/>
      <c r="K24" s="4" t="n"/>
      <c r="L24" s="5" t="n"/>
      <c r="M24" s="7" t="n"/>
      <c r="N24" s="4" t="n"/>
      <c r="O24" s="4" t="n"/>
    </row>
    <row r="25">
      <c r="A25" s="4">
        <f>IF($D25="","", "APP"&amp;TEXT(ROW()-1,"0000"))</f>
        <v/>
      </c>
      <c r="B25" s="5" t="n"/>
      <c r="C25" s="4" t="n"/>
      <c r="D25" s="4" t="n"/>
      <c r="E25" s="4" t="n"/>
      <c r="F25" s="7" t="n"/>
      <c r="G25" s="4" t="n"/>
      <c r="H25" s="7" t="n"/>
      <c r="I25" s="4" t="n"/>
      <c r="J25" s="4" t="n"/>
      <c r="K25" s="4" t="n"/>
      <c r="L25" s="5" t="n"/>
      <c r="M25" s="7" t="n"/>
      <c r="N25" s="4" t="n"/>
      <c r="O25" s="4" t="n"/>
    </row>
    <row r="26">
      <c r="A26" s="4">
        <f>IF($D26="","", "APP"&amp;TEXT(ROW()-1,"0000"))</f>
        <v/>
      </c>
      <c r="B26" s="5" t="n"/>
      <c r="C26" s="4" t="n"/>
      <c r="D26" s="4" t="n"/>
      <c r="E26" s="4" t="n"/>
      <c r="F26" s="7" t="n"/>
      <c r="G26" s="4" t="n"/>
      <c r="H26" s="7" t="n"/>
      <c r="I26" s="4" t="n"/>
      <c r="J26" s="4" t="n"/>
      <c r="K26" s="4" t="n"/>
      <c r="L26" s="5" t="n"/>
      <c r="M26" s="7" t="n"/>
      <c r="N26" s="4" t="n"/>
      <c r="O26" s="4" t="n"/>
    </row>
    <row r="27">
      <c r="A27" s="4">
        <f>IF($D27="","", "APP"&amp;TEXT(ROW()-1,"0000"))</f>
        <v/>
      </c>
      <c r="B27" s="5" t="n"/>
      <c r="C27" s="4" t="n"/>
      <c r="D27" s="4" t="n"/>
      <c r="E27" s="4" t="n"/>
      <c r="F27" s="7" t="n"/>
      <c r="G27" s="4" t="n"/>
      <c r="H27" s="7" t="n"/>
      <c r="I27" s="4" t="n"/>
      <c r="J27" s="4" t="n"/>
      <c r="K27" s="4" t="n"/>
      <c r="L27" s="5" t="n"/>
      <c r="M27" s="7" t="n"/>
      <c r="N27" s="4" t="n"/>
      <c r="O27" s="4" t="n"/>
    </row>
    <row r="28">
      <c r="A28" s="4">
        <f>IF($D28="","", "APP"&amp;TEXT(ROW()-1,"0000"))</f>
        <v/>
      </c>
      <c r="B28" s="5" t="n"/>
      <c r="C28" s="4" t="n"/>
      <c r="D28" s="4" t="n"/>
      <c r="E28" s="4" t="n"/>
      <c r="F28" s="7" t="n"/>
      <c r="G28" s="4" t="n"/>
      <c r="H28" s="7" t="n"/>
      <c r="I28" s="4" t="n"/>
      <c r="J28" s="4" t="n"/>
      <c r="K28" s="4" t="n"/>
      <c r="L28" s="5" t="n"/>
      <c r="M28" s="7" t="n"/>
      <c r="N28" s="4" t="n"/>
      <c r="O28" s="4" t="n"/>
    </row>
    <row r="29">
      <c r="A29" s="4">
        <f>IF($D29="","", "APP"&amp;TEXT(ROW()-1,"0000"))</f>
        <v/>
      </c>
      <c r="B29" s="5" t="n"/>
      <c r="C29" s="4" t="n"/>
      <c r="D29" s="4" t="n"/>
      <c r="E29" s="4" t="n"/>
      <c r="F29" s="7" t="n"/>
      <c r="G29" s="4" t="n"/>
      <c r="H29" s="7" t="n"/>
      <c r="I29" s="4" t="n"/>
      <c r="J29" s="4" t="n"/>
      <c r="K29" s="4" t="n"/>
      <c r="L29" s="5" t="n"/>
      <c r="M29" s="7" t="n"/>
      <c r="N29" s="4" t="n"/>
      <c r="O29" s="4" t="n"/>
    </row>
    <row r="30">
      <c r="A30" s="4">
        <f>IF($D30="","", "APP"&amp;TEXT(ROW()-1,"0000"))</f>
        <v/>
      </c>
      <c r="B30" s="5" t="n"/>
      <c r="C30" s="4" t="n"/>
      <c r="D30" s="4" t="n"/>
      <c r="E30" s="4" t="n"/>
      <c r="F30" s="7" t="n"/>
      <c r="G30" s="4" t="n"/>
      <c r="H30" s="7" t="n"/>
      <c r="I30" s="4" t="n"/>
      <c r="J30" s="4" t="n"/>
      <c r="K30" s="4" t="n"/>
      <c r="L30" s="5" t="n"/>
      <c r="M30" s="7" t="n"/>
      <c r="N30" s="4" t="n"/>
      <c r="O30" s="4" t="n"/>
    </row>
    <row r="31">
      <c r="A31" s="4">
        <f>IF($D31="","", "APP"&amp;TEXT(ROW()-1,"0000"))</f>
        <v/>
      </c>
      <c r="B31" s="5" t="n"/>
      <c r="C31" s="4" t="n"/>
      <c r="D31" s="4" t="n"/>
      <c r="E31" s="4" t="n"/>
      <c r="F31" s="7" t="n"/>
      <c r="G31" s="4" t="n"/>
      <c r="H31" s="7" t="n"/>
      <c r="I31" s="4" t="n"/>
      <c r="J31" s="4" t="n"/>
      <c r="K31" s="4" t="n"/>
      <c r="L31" s="5" t="n"/>
      <c r="M31" s="7" t="n"/>
      <c r="N31" s="4" t="n"/>
      <c r="O31" s="4" t="n"/>
    </row>
    <row r="32">
      <c r="A32" s="4">
        <f>IF($D32="","", "APP"&amp;TEXT(ROW()-1,"0000"))</f>
        <v/>
      </c>
      <c r="B32" s="5" t="n"/>
      <c r="C32" s="4" t="n"/>
      <c r="D32" s="4" t="n"/>
      <c r="E32" s="4" t="n"/>
      <c r="F32" s="7" t="n"/>
      <c r="G32" s="4" t="n"/>
      <c r="H32" s="7" t="n"/>
      <c r="I32" s="4" t="n"/>
      <c r="J32" s="4" t="n"/>
      <c r="K32" s="4" t="n"/>
      <c r="L32" s="5" t="n"/>
      <c r="M32" s="7" t="n"/>
      <c r="N32" s="4" t="n"/>
      <c r="O32" s="4" t="n"/>
    </row>
    <row r="33">
      <c r="A33" s="4">
        <f>IF($D33="","", "APP"&amp;TEXT(ROW()-1,"0000"))</f>
        <v/>
      </c>
      <c r="B33" s="5" t="n"/>
      <c r="C33" s="4" t="n"/>
      <c r="D33" s="4" t="n"/>
      <c r="E33" s="4" t="n"/>
      <c r="F33" s="7" t="n"/>
      <c r="G33" s="4" t="n"/>
      <c r="H33" s="7" t="n"/>
      <c r="I33" s="4" t="n"/>
      <c r="J33" s="4" t="n"/>
      <c r="K33" s="4" t="n"/>
      <c r="L33" s="5" t="n"/>
      <c r="M33" s="7" t="n"/>
      <c r="N33" s="4" t="n"/>
      <c r="O33" s="4" t="n"/>
    </row>
    <row r="34">
      <c r="A34" s="4">
        <f>IF($D34="","", "APP"&amp;TEXT(ROW()-1,"0000"))</f>
        <v/>
      </c>
      <c r="B34" s="5" t="n"/>
      <c r="C34" s="4" t="n"/>
      <c r="D34" s="4" t="n"/>
      <c r="E34" s="4" t="n"/>
      <c r="F34" s="7" t="n"/>
      <c r="G34" s="4" t="n"/>
      <c r="H34" s="7" t="n"/>
      <c r="I34" s="4" t="n"/>
      <c r="J34" s="4" t="n"/>
      <c r="K34" s="4" t="n"/>
      <c r="L34" s="5" t="n"/>
      <c r="M34" s="7" t="n"/>
      <c r="N34" s="4" t="n"/>
      <c r="O34" s="4" t="n"/>
    </row>
    <row r="35">
      <c r="A35" s="4">
        <f>IF($D35="","", "APP"&amp;TEXT(ROW()-1,"0000"))</f>
        <v/>
      </c>
      <c r="B35" s="5" t="n"/>
      <c r="C35" s="4" t="n"/>
      <c r="D35" s="4" t="n"/>
      <c r="E35" s="4" t="n"/>
      <c r="F35" s="7" t="n"/>
      <c r="G35" s="4" t="n"/>
      <c r="H35" s="7" t="n"/>
      <c r="I35" s="4" t="n"/>
      <c r="J35" s="4" t="n"/>
      <c r="K35" s="4" t="n"/>
      <c r="L35" s="5" t="n"/>
      <c r="M35" s="7" t="n"/>
      <c r="N35" s="4" t="n"/>
      <c r="O35" s="4" t="n"/>
    </row>
    <row r="36">
      <c r="A36" s="4">
        <f>IF($D36="","", "APP"&amp;TEXT(ROW()-1,"0000"))</f>
        <v/>
      </c>
      <c r="B36" s="5" t="n"/>
      <c r="C36" s="4" t="n"/>
      <c r="D36" s="4" t="n"/>
      <c r="E36" s="4" t="n"/>
      <c r="F36" s="7" t="n"/>
      <c r="G36" s="4" t="n"/>
      <c r="H36" s="7" t="n"/>
      <c r="I36" s="4" t="n"/>
      <c r="J36" s="4" t="n"/>
      <c r="K36" s="4" t="n"/>
      <c r="L36" s="5" t="n"/>
      <c r="M36" s="7" t="n"/>
      <c r="N36" s="4" t="n"/>
      <c r="O36" s="4" t="n"/>
    </row>
    <row r="37">
      <c r="A37" s="4">
        <f>IF($D37="","", "APP"&amp;TEXT(ROW()-1,"0000"))</f>
        <v/>
      </c>
      <c r="B37" s="5" t="n"/>
      <c r="C37" s="4" t="n"/>
      <c r="D37" s="4" t="n"/>
      <c r="E37" s="4" t="n"/>
      <c r="F37" s="7" t="n"/>
      <c r="G37" s="4" t="n"/>
      <c r="H37" s="7" t="n"/>
      <c r="I37" s="4" t="n"/>
      <c r="J37" s="4" t="n"/>
      <c r="K37" s="4" t="n"/>
      <c r="L37" s="5" t="n"/>
      <c r="M37" s="7" t="n"/>
      <c r="N37" s="4" t="n"/>
      <c r="O37" s="4" t="n"/>
    </row>
    <row r="38">
      <c r="A38" s="4">
        <f>IF($D38="","", "APP"&amp;TEXT(ROW()-1,"0000"))</f>
        <v/>
      </c>
      <c r="B38" s="5" t="n"/>
      <c r="C38" s="4" t="n"/>
      <c r="D38" s="4" t="n"/>
      <c r="E38" s="4" t="n"/>
      <c r="F38" s="7" t="n"/>
      <c r="G38" s="4" t="n"/>
      <c r="H38" s="7" t="n"/>
      <c r="I38" s="4" t="n"/>
      <c r="J38" s="4" t="n"/>
      <c r="K38" s="4" t="n"/>
      <c r="L38" s="5" t="n"/>
      <c r="M38" s="7" t="n"/>
      <c r="N38" s="4" t="n"/>
      <c r="O38" s="4" t="n"/>
    </row>
    <row r="39">
      <c r="A39" s="4">
        <f>IF($D39="","", "APP"&amp;TEXT(ROW()-1,"0000"))</f>
        <v/>
      </c>
      <c r="B39" s="5" t="n"/>
      <c r="C39" s="4" t="n"/>
      <c r="D39" s="4" t="n"/>
      <c r="E39" s="4" t="n"/>
      <c r="F39" s="7" t="n"/>
      <c r="G39" s="4" t="n"/>
      <c r="H39" s="7" t="n"/>
      <c r="I39" s="4" t="n"/>
      <c r="J39" s="4" t="n"/>
      <c r="K39" s="4" t="n"/>
      <c r="L39" s="5" t="n"/>
      <c r="M39" s="7" t="n"/>
      <c r="N39" s="4" t="n"/>
      <c r="O39" s="4" t="n"/>
    </row>
    <row r="40">
      <c r="A40" s="4">
        <f>IF($D40="","", "APP"&amp;TEXT(ROW()-1,"0000"))</f>
        <v/>
      </c>
      <c r="B40" s="5" t="n"/>
      <c r="C40" s="4" t="n"/>
      <c r="D40" s="4" t="n"/>
      <c r="E40" s="4" t="n"/>
      <c r="F40" s="7" t="n"/>
      <c r="G40" s="4" t="n"/>
      <c r="H40" s="7" t="n"/>
      <c r="I40" s="4" t="n"/>
      <c r="J40" s="4" t="n"/>
      <c r="K40" s="4" t="n"/>
      <c r="L40" s="5" t="n"/>
      <c r="M40" s="7" t="n"/>
      <c r="N40" s="4" t="n"/>
      <c r="O40" s="4" t="n"/>
    </row>
    <row r="41">
      <c r="A41" s="4">
        <f>IF($D41="","", "APP"&amp;TEXT(ROW()-1,"0000"))</f>
        <v/>
      </c>
      <c r="B41" s="5" t="n"/>
      <c r="C41" s="4" t="n"/>
      <c r="D41" s="4" t="n"/>
      <c r="E41" s="4" t="n"/>
      <c r="F41" s="7" t="n"/>
      <c r="G41" s="4" t="n"/>
      <c r="H41" s="7" t="n"/>
      <c r="I41" s="4" t="n"/>
      <c r="J41" s="4" t="n"/>
      <c r="K41" s="4" t="n"/>
      <c r="L41" s="5" t="n"/>
      <c r="M41" s="7" t="n"/>
      <c r="N41" s="4" t="n"/>
      <c r="O41" s="4" t="n"/>
    </row>
    <row r="42">
      <c r="A42" s="4">
        <f>IF($D42="","", "APP"&amp;TEXT(ROW()-1,"0000"))</f>
        <v/>
      </c>
      <c r="B42" s="5" t="n"/>
      <c r="C42" s="4" t="n"/>
      <c r="D42" s="4" t="n"/>
      <c r="E42" s="4" t="n"/>
      <c r="F42" s="7" t="n"/>
      <c r="G42" s="4" t="n"/>
      <c r="H42" s="7" t="n"/>
      <c r="I42" s="4" t="n"/>
      <c r="J42" s="4" t="n"/>
      <c r="K42" s="4" t="n"/>
      <c r="L42" s="5" t="n"/>
      <c r="M42" s="7" t="n"/>
      <c r="N42" s="4" t="n"/>
      <c r="O42" s="4" t="n"/>
    </row>
    <row r="43">
      <c r="A43" s="4">
        <f>IF($D43="","", "APP"&amp;TEXT(ROW()-1,"0000"))</f>
        <v/>
      </c>
      <c r="B43" s="5" t="n"/>
      <c r="C43" s="4" t="n"/>
      <c r="D43" s="4" t="n"/>
      <c r="E43" s="4" t="n"/>
      <c r="F43" s="7" t="n"/>
      <c r="G43" s="4" t="n"/>
      <c r="H43" s="7" t="n"/>
      <c r="I43" s="4" t="n"/>
      <c r="J43" s="4" t="n"/>
      <c r="K43" s="4" t="n"/>
      <c r="L43" s="5" t="n"/>
      <c r="M43" s="7" t="n"/>
      <c r="N43" s="4" t="n"/>
      <c r="O43" s="4" t="n"/>
    </row>
    <row r="44">
      <c r="A44" s="4">
        <f>IF($D44="","", "APP"&amp;TEXT(ROW()-1,"0000"))</f>
        <v/>
      </c>
      <c r="B44" s="5" t="n"/>
      <c r="C44" s="4" t="n"/>
      <c r="D44" s="4" t="n"/>
      <c r="E44" s="4" t="n"/>
      <c r="F44" s="7" t="n"/>
      <c r="G44" s="4" t="n"/>
      <c r="H44" s="7" t="n"/>
      <c r="I44" s="4" t="n"/>
      <c r="J44" s="4" t="n"/>
      <c r="K44" s="4" t="n"/>
      <c r="L44" s="5" t="n"/>
      <c r="M44" s="7" t="n"/>
      <c r="N44" s="4" t="n"/>
      <c r="O44" s="4" t="n"/>
    </row>
    <row r="45">
      <c r="A45" s="4">
        <f>IF($D45="","", "APP"&amp;TEXT(ROW()-1,"0000"))</f>
        <v/>
      </c>
      <c r="B45" s="5" t="n"/>
      <c r="C45" s="4" t="n"/>
      <c r="D45" s="4" t="n"/>
      <c r="E45" s="4" t="n"/>
      <c r="F45" s="7" t="n"/>
      <c r="G45" s="4" t="n"/>
      <c r="H45" s="7" t="n"/>
      <c r="I45" s="4" t="n"/>
      <c r="J45" s="4" t="n"/>
      <c r="K45" s="4" t="n"/>
      <c r="L45" s="5" t="n"/>
      <c r="M45" s="7" t="n"/>
      <c r="N45" s="4" t="n"/>
      <c r="O45" s="4" t="n"/>
    </row>
    <row r="46">
      <c r="A46" s="4">
        <f>IF($D46="","", "APP"&amp;TEXT(ROW()-1,"0000"))</f>
        <v/>
      </c>
      <c r="B46" s="5" t="n"/>
      <c r="C46" s="4" t="n"/>
      <c r="D46" s="4" t="n"/>
      <c r="E46" s="4" t="n"/>
      <c r="F46" s="7" t="n"/>
      <c r="G46" s="4" t="n"/>
      <c r="H46" s="7" t="n"/>
      <c r="I46" s="4" t="n"/>
      <c r="J46" s="4" t="n"/>
      <c r="K46" s="4" t="n"/>
      <c r="L46" s="5" t="n"/>
      <c r="M46" s="7" t="n"/>
      <c r="N46" s="4" t="n"/>
      <c r="O46" s="4" t="n"/>
    </row>
    <row r="47">
      <c r="A47" s="4">
        <f>IF($D47="","", "APP"&amp;TEXT(ROW()-1,"0000"))</f>
        <v/>
      </c>
      <c r="B47" s="5" t="n"/>
      <c r="C47" s="4" t="n"/>
      <c r="D47" s="4" t="n"/>
      <c r="E47" s="4" t="n"/>
      <c r="F47" s="7" t="n"/>
      <c r="G47" s="4" t="n"/>
      <c r="H47" s="7" t="n"/>
      <c r="I47" s="4" t="n"/>
      <c r="J47" s="4" t="n"/>
      <c r="K47" s="4" t="n"/>
      <c r="L47" s="5" t="n"/>
      <c r="M47" s="7" t="n"/>
      <c r="N47" s="4" t="n"/>
      <c r="O47" s="4" t="n"/>
    </row>
    <row r="48">
      <c r="A48" s="4">
        <f>IF($D48="","", "APP"&amp;TEXT(ROW()-1,"0000"))</f>
        <v/>
      </c>
      <c r="B48" s="5" t="n"/>
      <c r="C48" s="4" t="n"/>
      <c r="D48" s="4" t="n"/>
      <c r="E48" s="4" t="n"/>
      <c r="F48" s="7" t="n"/>
      <c r="G48" s="4" t="n"/>
      <c r="H48" s="7" t="n"/>
      <c r="I48" s="4" t="n"/>
      <c r="J48" s="4" t="n"/>
      <c r="K48" s="4" t="n"/>
      <c r="L48" s="5" t="n"/>
      <c r="M48" s="7" t="n"/>
      <c r="N48" s="4" t="n"/>
      <c r="O48" s="4" t="n"/>
    </row>
    <row r="49">
      <c r="A49" s="4">
        <f>IF($D49="","", "APP"&amp;TEXT(ROW()-1,"0000"))</f>
        <v/>
      </c>
      <c r="B49" s="5" t="n"/>
      <c r="C49" s="4" t="n"/>
      <c r="D49" s="4" t="n"/>
      <c r="E49" s="4" t="n"/>
      <c r="F49" s="7" t="n"/>
      <c r="G49" s="4" t="n"/>
      <c r="H49" s="7" t="n"/>
      <c r="I49" s="4" t="n"/>
      <c r="J49" s="4" t="n"/>
      <c r="K49" s="4" t="n"/>
      <c r="L49" s="5" t="n"/>
      <c r="M49" s="7" t="n"/>
      <c r="N49" s="4" t="n"/>
      <c r="O49" s="4" t="n"/>
    </row>
    <row r="50">
      <c r="A50" s="4">
        <f>IF($D50="","", "APP"&amp;TEXT(ROW()-1,"0000"))</f>
        <v/>
      </c>
      <c r="B50" s="5" t="n"/>
      <c r="C50" s="4" t="n"/>
      <c r="D50" s="4" t="n"/>
      <c r="E50" s="4" t="n"/>
      <c r="F50" s="7" t="n"/>
      <c r="G50" s="4" t="n"/>
      <c r="H50" s="7" t="n"/>
      <c r="I50" s="4" t="n"/>
      <c r="J50" s="4" t="n"/>
      <c r="K50" s="4" t="n"/>
      <c r="L50" s="5" t="n"/>
      <c r="M50" s="7" t="n"/>
      <c r="N50" s="4" t="n"/>
      <c r="O50" s="4" t="n"/>
    </row>
    <row r="51">
      <c r="A51" s="4">
        <f>IF($D51="","", "APP"&amp;TEXT(ROW()-1,"0000"))</f>
        <v/>
      </c>
      <c r="B51" s="5" t="n"/>
      <c r="C51" s="4" t="n"/>
      <c r="D51" s="4" t="n"/>
      <c r="E51" s="4" t="n"/>
      <c r="F51" s="7" t="n"/>
      <c r="G51" s="4" t="n"/>
      <c r="H51" s="7" t="n"/>
      <c r="I51" s="4" t="n"/>
      <c r="J51" s="4" t="n"/>
      <c r="K51" s="4" t="n"/>
      <c r="L51" s="5" t="n"/>
      <c r="M51" s="7" t="n"/>
      <c r="N51" s="4" t="n"/>
      <c r="O51" s="4" t="n"/>
    </row>
    <row r="52">
      <c r="A52" s="4">
        <f>IF($D52="","", "APP"&amp;TEXT(ROW()-1,"0000"))</f>
        <v/>
      </c>
      <c r="B52" s="5" t="n"/>
      <c r="C52" s="4" t="n"/>
      <c r="D52" s="4" t="n"/>
      <c r="E52" s="4" t="n"/>
      <c r="F52" s="7" t="n"/>
      <c r="G52" s="4" t="n"/>
      <c r="H52" s="7" t="n"/>
      <c r="I52" s="4" t="n"/>
      <c r="J52" s="4" t="n"/>
      <c r="K52" s="4" t="n"/>
      <c r="L52" s="5" t="n"/>
      <c r="M52" s="7" t="n"/>
      <c r="N52" s="4" t="n"/>
      <c r="O52" s="4" t="n"/>
    </row>
    <row r="53">
      <c r="A53" s="4">
        <f>IF($D53="","", "APP"&amp;TEXT(ROW()-1,"0000"))</f>
        <v/>
      </c>
      <c r="B53" s="5" t="n"/>
      <c r="C53" s="4" t="n"/>
      <c r="D53" s="4" t="n"/>
      <c r="E53" s="4" t="n"/>
      <c r="F53" s="7" t="n"/>
      <c r="G53" s="4" t="n"/>
      <c r="H53" s="7" t="n"/>
      <c r="I53" s="4" t="n"/>
      <c r="J53" s="4" t="n"/>
      <c r="K53" s="4" t="n"/>
      <c r="L53" s="5" t="n"/>
      <c r="M53" s="7" t="n"/>
      <c r="N53" s="4" t="n"/>
      <c r="O53" s="4" t="n"/>
    </row>
    <row r="54">
      <c r="A54" s="4">
        <f>IF($D54="","", "APP"&amp;TEXT(ROW()-1,"0000"))</f>
        <v/>
      </c>
      <c r="B54" s="5" t="n"/>
      <c r="C54" s="4" t="n"/>
      <c r="D54" s="4" t="n"/>
      <c r="E54" s="4" t="n"/>
      <c r="F54" s="7" t="n"/>
      <c r="G54" s="4" t="n"/>
      <c r="H54" s="7" t="n"/>
      <c r="I54" s="4" t="n"/>
      <c r="J54" s="4" t="n"/>
      <c r="K54" s="4" t="n"/>
      <c r="L54" s="5" t="n"/>
      <c r="M54" s="7" t="n"/>
      <c r="N54" s="4" t="n"/>
      <c r="O54" s="4" t="n"/>
    </row>
    <row r="55">
      <c r="A55" s="4">
        <f>IF($D55="","", "APP"&amp;TEXT(ROW()-1,"0000"))</f>
        <v/>
      </c>
      <c r="B55" s="5" t="n"/>
      <c r="C55" s="4" t="n"/>
      <c r="D55" s="4" t="n"/>
      <c r="E55" s="4" t="n"/>
      <c r="F55" s="7" t="n"/>
      <c r="G55" s="4" t="n"/>
      <c r="H55" s="7" t="n"/>
      <c r="I55" s="4" t="n"/>
      <c r="J55" s="4" t="n"/>
      <c r="K55" s="4" t="n"/>
      <c r="L55" s="5" t="n"/>
      <c r="M55" s="7" t="n"/>
      <c r="N55" s="4" t="n"/>
      <c r="O55" s="4" t="n"/>
    </row>
    <row r="56">
      <c r="A56" s="4">
        <f>IF($D56="","", "APP"&amp;TEXT(ROW()-1,"0000"))</f>
        <v/>
      </c>
      <c r="B56" s="5" t="n"/>
      <c r="C56" s="4" t="n"/>
      <c r="D56" s="4" t="n"/>
      <c r="E56" s="4" t="n"/>
      <c r="F56" s="7" t="n"/>
      <c r="G56" s="4" t="n"/>
      <c r="H56" s="7" t="n"/>
      <c r="I56" s="4" t="n"/>
      <c r="J56" s="4" t="n"/>
      <c r="K56" s="4" t="n"/>
      <c r="L56" s="5" t="n"/>
      <c r="M56" s="7" t="n"/>
      <c r="N56" s="4" t="n"/>
      <c r="O56" s="4" t="n"/>
    </row>
    <row r="57">
      <c r="A57" s="4">
        <f>IF($D57="","", "APP"&amp;TEXT(ROW()-1,"0000"))</f>
        <v/>
      </c>
      <c r="B57" s="5" t="n"/>
      <c r="C57" s="4" t="n"/>
      <c r="D57" s="4" t="n"/>
      <c r="E57" s="4" t="n"/>
      <c r="F57" s="7" t="n"/>
      <c r="G57" s="4" t="n"/>
      <c r="H57" s="7" t="n"/>
      <c r="I57" s="4" t="n"/>
      <c r="J57" s="4" t="n"/>
      <c r="K57" s="4" t="n"/>
      <c r="L57" s="5" t="n"/>
      <c r="M57" s="7" t="n"/>
      <c r="N57" s="4" t="n"/>
      <c r="O57" s="4" t="n"/>
    </row>
    <row r="58">
      <c r="A58" s="4">
        <f>IF($D58="","", "APP"&amp;TEXT(ROW()-1,"0000"))</f>
        <v/>
      </c>
      <c r="B58" s="5" t="n"/>
      <c r="C58" s="4" t="n"/>
      <c r="D58" s="4" t="n"/>
      <c r="E58" s="4" t="n"/>
      <c r="F58" s="7" t="n"/>
      <c r="G58" s="4" t="n"/>
      <c r="H58" s="7" t="n"/>
      <c r="I58" s="4" t="n"/>
      <c r="J58" s="4" t="n"/>
      <c r="K58" s="4" t="n"/>
      <c r="L58" s="5" t="n"/>
      <c r="M58" s="7" t="n"/>
      <c r="N58" s="4" t="n"/>
      <c r="O58" s="4" t="n"/>
    </row>
    <row r="59">
      <c r="A59" s="4">
        <f>IF($D59="","", "APP"&amp;TEXT(ROW()-1,"0000"))</f>
        <v/>
      </c>
      <c r="B59" s="5" t="n"/>
      <c r="C59" s="4" t="n"/>
      <c r="D59" s="4" t="n"/>
      <c r="E59" s="4" t="n"/>
      <c r="F59" s="7" t="n"/>
      <c r="G59" s="4" t="n"/>
      <c r="H59" s="7" t="n"/>
      <c r="I59" s="4" t="n"/>
      <c r="J59" s="4" t="n"/>
      <c r="K59" s="4" t="n"/>
      <c r="L59" s="5" t="n"/>
      <c r="M59" s="7" t="n"/>
      <c r="N59" s="4" t="n"/>
      <c r="O59" s="4" t="n"/>
    </row>
    <row r="60">
      <c r="A60" s="4">
        <f>IF($D60="","", "APP"&amp;TEXT(ROW()-1,"0000"))</f>
        <v/>
      </c>
      <c r="B60" s="5" t="n"/>
      <c r="C60" s="4" t="n"/>
      <c r="D60" s="4" t="n"/>
      <c r="E60" s="4" t="n"/>
      <c r="F60" s="7" t="n"/>
      <c r="G60" s="4" t="n"/>
      <c r="H60" s="7" t="n"/>
      <c r="I60" s="4" t="n"/>
      <c r="J60" s="4" t="n"/>
      <c r="K60" s="4" t="n"/>
      <c r="L60" s="5" t="n"/>
      <c r="M60" s="7" t="n"/>
      <c r="N60" s="4" t="n"/>
      <c r="O60" s="4" t="n"/>
    </row>
    <row r="61">
      <c r="A61" s="4">
        <f>IF($D61="","", "APP"&amp;TEXT(ROW()-1,"0000"))</f>
        <v/>
      </c>
      <c r="B61" s="5" t="n"/>
      <c r="C61" s="4" t="n"/>
      <c r="D61" s="4" t="n"/>
      <c r="E61" s="4" t="n"/>
      <c r="F61" s="7" t="n"/>
      <c r="G61" s="4" t="n"/>
      <c r="H61" s="7" t="n"/>
      <c r="I61" s="4" t="n"/>
      <c r="J61" s="4" t="n"/>
      <c r="K61" s="4" t="n"/>
      <c r="L61" s="5" t="n"/>
      <c r="M61" s="7" t="n"/>
      <c r="N61" s="4" t="n"/>
      <c r="O61" s="4" t="n"/>
    </row>
    <row r="62">
      <c r="A62" s="4">
        <f>IF($D62="","", "APP"&amp;TEXT(ROW()-1,"0000"))</f>
        <v/>
      </c>
      <c r="B62" s="5" t="n"/>
      <c r="C62" s="4" t="n"/>
      <c r="D62" s="4" t="n"/>
      <c r="E62" s="4" t="n"/>
      <c r="F62" s="7" t="n"/>
      <c r="G62" s="4" t="n"/>
      <c r="H62" s="7" t="n"/>
      <c r="I62" s="4" t="n"/>
      <c r="J62" s="4" t="n"/>
      <c r="K62" s="4" t="n"/>
      <c r="L62" s="5" t="n"/>
      <c r="M62" s="7" t="n"/>
      <c r="N62" s="4" t="n"/>
      <c r="O62" s="4" t="n"/>
    </row>
    <row r="63">
      <c r="A63" s="4">
        <f>IF($D63="","", "APP"&amp;TEXT(ROW()-1,"0000"))</f>
        <v/>
      </c>
      <c r="B63" s="5" t="n"/>
      <c r="C63" s="4" t="n"/>
      <c r="D63" s="4" t="n"/>
      <c r="E63" s="4" t="n"/>
      <c r="F63" s="7" t="n"/>
      <c r="G63" s="4" t="n"/>
      <c r="H63" s="7" t="n"/>
      <c r="I63" s="4" t="n"/>
      <c r="J63" s="4" t="n"/>
      <c r="K63" s="4" t="n"/>
      <c r="L63" s="5" t="n"/>
      <c r="M63" s="7" t="n"/>
      <c r="N63" s="4" t="n"/>
      <c r="O63" s="4" t="n"/>
    </row>
    <row r="64">
      <c r="A64" s="4">
        <f>IF($D64="","", "APP"&amp;TEXT(ROW()-1,"0000"))</f>
        <v/>
      </c>
      <c r="B64" s="5" t="n"/>
      <c r="C64" s="4" t="n"/>
      <c r="D64" s="4" t="n"/>
      <c r="E64" s="4" t="n"/>
      <c r="F64" s="7" t="n"/>
      <c r="G64" s="4" t="n"/>
      <c r="H64" s="7" t="n"/>
      <c r="I64" s="4" t="n"/>
      <c r="J64" s="4" t="n"/>
      <c r="K64" s="4" t="n"/>
      <c r="L64" s="5" t="n"/>
      <c r="M64" s="7" t="n"/>
      <c r="N64" s="4" t="n"/>
      <c r="O64" s="4" t="n"/>
    </row>
    <row r="65">
      <c r="A65" s="4">
        <f>IF($D65="","", "APP"&amp;TEXT(ROW()-1,"0000"))</f>
        <v/>
      </c>
      <c r="B65" s="5" t="n"/>
      <c r="C65" s="4" t="n"/>
      <c r="D65" s="4" t="n"/>
      <c r="E65" s="4" t="n"/>
      <c r="F65" s="7" t="n"/>
      <c r="G65" s="4" t="n"/>
      <c r="H65" s="7" t="n"/>
      <c r="I65" s="4" t="n"/>
      <c r="J65" s="4" t="n"/>
      <c r="K65" s="4" t="n"/>
      <c r="L65" s="5" t="n"/>
      <c r="M65" s="7" t="n"/>
      <c r="N65" s="4" t="n"/>
      <c r="O65" s="4" t="n"/>
    </row>
    <row r="66">
      <c r="A66" s="4">
        <f>IF($D66="","", "APP"&amp;TEXT(ROW()-1,"0000"))</f>
        <v/>
      </c>
      <c r="B66" s="5" t="n"/>
      <c r="C66" s="4" t="n"/>
      <c r="D66" s="4" t="n"/>
      <c r="E66" s="4" t="n"/>
      <c r="F66" s="7" t="n"/>
      <c r="G66" s="4" t="n"/>
      <c r="H66" s="7" t="n"/>
      <c r="I66" s="4" t="n"/>
      <c r="J66" s="4" t="n"/>
      <c r="K66" s="4" t="n"/>
      <c r="L66" s="5" t="n"/>
      <c r="M66" s="7" t="n"/>
      <c r="N66" s="4" t="n"/>
      <c r="O66" s="4" t="n"/>
    </row>
    <row r="67">
      <c r="A67" s="4">
        <f>IF($D67="","", "APP"&amp;TEXT(ROW()-1,"0000"))</f>
        <v/>
      </c>
      <c r="B67" s="5" t="n"/>
      <c r="C67" s="4" t="n"/>
      <c r="D67" s="4" t="n"/>
      <c r="E67" s="4" t="n"/>
      <c r="F67" s="7" t="n"/>
      <c r="G67" s="4" t="n"/>
      <c r="H67" s="7" t="n"/>
      <c r="I67" s="4" t="n"/>
      <c r="J67" s="4" t="n"/>
      <c r="K67" s="4" t="n"/>
      <c r="L67" s="5" t="n"/>
      <c r="M67" s="7" t="n"/>
      <c r="N67" s="4" t="n"/>
      <c r="O67" s="4" t="n"/>
    </row>
    <row r="68">
      <c r="A68" s="4">
        <f>IF($D68="","", "APP"&amp;TEXT(ROW()-1,"0000"))</f>
        <v/>
      </c>
      <c r="B68" s="5" t="n"/>
      <c r="C68" s="4" t="n"/>
      <c r="D68" s="4" t="n"/>
      <c r="E68" s="4" t="n"/>
      <c r="F68" s="7" t="n"/>
      <c r="G68" s="4" t="n"/>
      <c r="H68" s="7" t="n"/>
      <c r="I68" s="4" t="n"/>
      <c r="J68" s="4" t="n"/>
      <c r="K68" s="4" t="n"/>
      <c r="L68" s="5" t="n"/>
      <c r="M68" s="7" t="n"/>
      <c r="N68" s="4" t="n"/>
      <c r="O68" s="4" t="n"/>
    </row>
    <row r="69">
      <c r="A69" s="4">
        <f>IF($D69="","", "APP"&amp;TEXT(ROW()-1,"0000"))</f>
        <v/>
      </c>
      <c r="B69" s="5" t="n"/>
      <c r="C69" s="4" t="n"/>
      <c r="D69" s="4" t="n"/>
      <c r="E69" s="4" t="n"/>
      <c r="F69" s="7" t="n"/>
      <c r="G69" s="4" t="n"/>
      <c r="H69" s="7" t="n"/>
      <c r="I69" s="4" t="n"/>
      <c r="J69" s="4" t="n"/>
      <c r="K69" s="4" t="n"/>
      <c r="L69" s="5" t="n"/>
      <c r="M69" s="7" t="n"/>
      <c r="N69" s="4" t="n"/>
      <c r="O69" s="4" t="n"/>
    </row>
    <row r="70">
      <c r="A70" s="4">
        <f>IF($D70="","", "APP"&amp;TEXT(ROW()-1,"0000"))</f>
        <v/>
      </c>
      <c r="B70" s="5" t="n"/>
      <c r="C70" s="4" t="n"/>
      <c r="D70" s="4" t="n"/>
      <c r="E70" s="4" t="n"/>
      <c r="F70" s="7" t="n"/>
      <c r="G70" s="4" t="n"/>
      <c r="H70" s="7" t="n"/>
      <c r="I70" s="4" t="n"/>
      <c r="J70" s="4" t="n"/>
      <c r="K70" s="4" t="n"/>
      <c r="L70" s="5" t="n"/>
      <c r="M70" s="7" t="n"/>
      <c r="N70" s="4" t="n"/>
      <c r="O70" s="4" t="n"/>
    </row>
    <row r="71">
      <c r="A71" s="4">
        <f>IF($D71="","", "APP"&amp;TEXT(ROW()-1,"0000"))</f>
        <v/>
      </c>
      <c r="B71" s="5" t="n"/>
      <c r="C71" s="4" t="n"/>
      <c r="D71" s="4" t="n"/>
      <c r="E71" s="4" t="n"/>
      <c r="F71" s="7" t="n"/>
      <c r="G71" s="4" t="n"/>
      <c r="H71" s="7" t="n"/>
      <c r="I71" s="4" t="n"/>
      <c r="J71" s="4" t="n"/>
      <c r="K71" s="4" t="n"/>
      <c r="L71" s="5" t="n"/>
      <c r="M71" s="7" t="n"/>
      <c r="N71" s="4" t="n"/>
      <c r="O71" s="4" t="n"/>
    </row>
    <row r="72">
      <c r="A72" s="4">
        <f>IF($D72="","", "APP"&amp;TEXT(ROW()-1,"0000"))</f>
        <v/>
      </c>
      <c r="B72" s="5" t="n"/>
      <c r="C72" s="4" t="n"/>
      <c r="D72" s="4" t="n"/>
      <c r="E72" s="4" t="n"/>
      <c r="F72" s="7" t="n"/>
      <c r="G72" s="4" t="n"/>
      <c r="H72" s="7" t="n"/>
      <c r="I72" s="4" t="n"/>
      <c r="J72" s="4" t="n"/>
      <c r="K72" s="4" t="n"/>
      <c r="L72" s="5" t="n"/>
      <c r="M72" s="7" t="n"/>
      <c r="N72" s="4" t="n"/>
      <c r="O72" s="4" t="n"/>
    </row>
    <row r="73">
      <c r="A73" s="4">
        <f>IF($D73="","", "APP"&amp;TEXT(ROW()-1,"0000"))</f>
        <v/>
      </c>
      <c r="B73" s="5" t="n"/>
      <c r="C73" s="4" t="n"/>
      <c r="D73" s="4" t="n"/>
      <c r="E73" s="4" t="n"/>
      <c r="F73" s="7" t="n"/>
      <c r="G73" s="4" t="n"/>
      <c r="H73" s="7" t="n"/>
      <c r="I73" s="4" t="n"/>
      <c r="J73" s="4" t="n"/>
      <c r="K73" s="4" t="n"/>
      <c r="L73" s="5" t="n"/>
      <c r="M73" s="7" t="n"/>
      <c r="N73" s="4" t="n"/>
      <c r="O73" s="4" t="n"/>
    </row>
    <row r="74">
      <c r="A74" s="4">
        <f>IF($D74="","", "APP"&amp;TEXT(ROW()-1,"0000"))</f>
        <v/>
      </c>
      <c r="B74" s="5" t="n"/>
      <c r="C74" s="4" t="n"/>
      <c r="D74" s="4" t="n"/>
      <c r="E74" s="4" t="n"/>
      <c r="F74" s="7" t="n"/>
      <c r="G74" s="4" t="n"/>
      <c r="H74" s="7" t="n"/>
      <c r="I74" s="4" t="n"/>
      <c r="J74" s="4" t="n"/>
      <c r="K74" s="4" t="n"/>
      <c r="L74" s="5" t="n"/>
      <c r="M74" s="7" t="n"/>
      <c r="N74" s="4" t="n"/>
      <c r="O74" s="4" t="n"/>
    </row>
    <row r="75">
      <c r="A75" s="4">
        <f>IF($D75="","", "APP"&amp;TEXT(ROW()-1,"0000"))</f>
        <v/>
      </c>
      <c r="B75" s="5" t="n"/>
      <c r="C75" s="4" t="n"/>
      <c r="D75" s="4" t="n"/>
      <c r="E75" s="4" t="n"/>
      <c r="F75" s="7" t="n"/>
      <c r="G75" s="4" t="n"/>
      <c r="H75" s="7" t="n"/>
      <c r="I75" s="4" t="n"/>
      <c r="J75" s="4" t="n"/>
      <c r="K75" s="4" t="n"/>
      <c r="L75" s="5" t="n"/>
      <c r="M75" s="7" t="n"/>
      <c r="N75" s="4" t="n"/>
      <c r="O75" s="4" t="n"/>
    </row>
    <row r="76">
      <c r="A76" s="4">
        <f>IF($D76="","", "APP"&amp;TEXT(ROW()-1,"0000"))</f>
        <v/>
      </c>
      <c r="B76" s="5" t="n"/>
      <c r="C76" s="4" t="n"/>
      <c r="D76" s="4" t="n"/>
      <c r="E76" s="4" t="n"/>
      <c r="F76" s="7" t="n"/>
      <c r="G76" s="4" t="n"/>
      <c r="H76" s="7" t="n"/>
      <c r="I76" s="4" t="n"/>
      <c r="J76" s="4" t="n"/>
      <c r="K76" s="4" t="n"/>
      <c r="L76" s="5" t="n"/>
      <c r="M76" s="7" t="n"/>
      <c r="N76" s="4" t="n"/>
      <c r="O76" s="4" t="n"/>
    </row>
    <row r="77">
      <c r="A77" s="4">
        <f>IF($D77="","", "APP"&amp;TEXT(ROW()-1,"0000"))</f>
        <v/>
      </c>
      <c r="B77" s="5" t="n"/>
      <c r="C77" s="4" t="n"/>
      <c r="D77" s="4" t="n"/>
      <c r="E77" s="4" t="n"/>
      <c r="F77" s="7" t="n"/>
      <c r="G77" s="4" t="n"/>
      <c r="H77" s="7" t="n"/>
      <c r="I77" s="4" t="n"/>
      <c r="J77" s="4" t="n"/>
      <c r="K77" s="4" t="n"/>
      <c r="L77" s="5" t="n"/>
      <c r="M77" s="7" t="n"/>
      <c r="N77" s="4" t="n"/>
      <c r="O77" s="4" t="n"/>
    </row>
    <row r="78">
      <c r="A78" s="4">
        <f>IF($D78="","", "APP"&amp;TEXT(ROW()-1,"0000"))</f>
        <v/>
      </c>
      <c r="B78" s="5" t="n"/>
      <c r="C78" s="4" t="n"/>
      <c r="D78" s="4" t="n"/>
      <c r="E78" s="4" t="n"/>
      <c r="F78" s="7" t="n"/>
      <c r="G78" s="4" t="n"/>
      <c r="H78" s="7" t="n"/>
      <c r="I78" s="4" t="n"/>
      <c r="J78" s="4" t="n"/>
      <c r="K78" s="4" t="n"/>
      <c r="L78" s="5" t="n"/>
      <c r="M78" s="7" t="n"/>
      <c r="N78" s="4" t="n"/>
      <c r="O78" s="4" t="n"/>
    </row>
    <row r="79">
      <c r="A79" s="4">
        <f>IF($D79="","", "APP"&amp;TEXT(ROW()-1,"0000"))</f>
        <v/>
      </c>
      <c r="B79" s="5" t="n"/>
      <c r="C79" s="4" t="n"/>
      <c r="D79" s="4" t="n"/>
      <c r="E79" s="4" t="n"/>
      <c r="F79" s="7" t="n"/>
      <c r="G79" s="4" t="n"/>
      <c r="H79" s="7" t="n"/>
      <c r="I79" s="4" t="n"/>
      <c r="J79" s="4" t="n"/>
      <c r="K79" s="4" t="n"/>
      <c r="L79" s="5" t="n"/>
      <c r="M79" s="7" t="n"/>
      <c r="N79" s="4" t="n"/>
      <c r="O79" s="4" t="n"/>
    </row>
    <row r="80">
      <c r="A80" s="4">
        <f>IF($D80="","", "APP"&amp;TEXT(ROW()-1,"0000"))</f>
        <v/>
      </c>
      <c r="B80" s="5" t="n"/>
      <c r="C80" s="4" t="n"/>
      <c r="D80" s="4" t="n"/>
      <c r="E80" s="4" t="n"/>
      <c r="F80" s="7" t="n"/>
      <c r="G80" s="4" t="n"/>
      <c r="H80" s="7" t="n"/>
      <c r="I80" s="4" t="n"/>
      <c r="J80" s="4" t="n"/>
      <c r="K80" s="4" t="n"/>
      <c r="L80" s="5" t="n"/>
      <c r="M80" s="7" t="n"/>
      <c r="N80" s="4" t="n"/>
      <c r="O80" s="4" t="n"/>
    </row>
    <row r="81">
      <c r="A81" s="4">
        <f>IF($D81="","", "APP"&amp;TEXT(ROW()-1,"0000"))</f>
        <v/>
      </c>
      <c r="B81" s="5" t="n"/>
      <c r="C81" s="4" t="n"/>
      <c r="D81" s="4" t="n"/>
      <c r="E81" s="4" t="n"/>
      <c r="F81" s="7" t="n"/>
      <c r="G81" s="4" t="n"/>
      <c r="H81" s="7" t="n"/>
      <c r="I81" s="4" t="n"/>
      <c r="J81" s="4" t="n"/>
      <c r="K81" s="4" t="n"/>
      <c r="L81" s="5" t="n"/>
      <c r="M81" s="7" t="n"/>
      <c r="N81" s="4" t="n"/>
      <c r="O81" s="4" t="n"/>
    </row>
    <row r="82">
      <c r="A82" s="4">
        <f>IF($D82="","", "APP"&amp;TEXT(ROW()-1,"0000"))</f>
        <v/>
      </c>
      <c r="B82" s="5" t="n"/>
      <c r="C82" s="4" t="n"/>
      <c r="D82" s="4" t="n"/>
      <c r="E82" s="4" t="n"/>
      <c r="F82" s="7" t="n"/>
      <c r="G82" s="4" t="n"/>
      <c r="H82" s="7" t="n"/>
      <c r="I82" s="4" t="n"/>
      <c r="J82" s="4" t="n"/>
      <c r="K82" s="4" t="n"/>
      <c r="L82" s="5" t="n"/>
      <c r="M82" s="7" t="n"/>
      <c r="N82" s="4" t="n"/>
      <c r="O82" s="4" t="n"/>
    </row>
    <row r="83">
      <c r="A83" s="4">
        <f>IF($D83="","", "APP"&amp;TEXT(ROW()-1,"0000"))</f>
        <v/>
      </c>
      <c r="B83" s="5" t="n"/>
      <c r="C83" s="4" t="n"/>
      <c r="D83" s="4" t="n"/>
      <c r="E83" s="4" t="n"/>
      <c r="F83" s="7" t="n"/>
      <c r="G83" s="4" t="n"/>
      <c r="H83" s="7" t="n"/>
      <c r="I83" s="4" t="n"/>
      <c r="J83" s="4" t="n"/>
      <c r="K83" s="4" t="n"/>
      <c r="L83" s="5" t="n"/>
      <c r="M83" s="7" t="n"/>
      <c r="N83" s="4" t="n"/>
      <c r="O83" s="4" t="n"/>
    </row>
    <row r="84">
      <c r="A84" s="4">
        <f>IF($D84="","", "APP"&amp;TEXT(ROW()-1,"0000"))</f>
        <v/>
      </c>
      <c r="B84" s="5" t="n"/>
      <c r="C84" s="4" t="n"/>
      <c r="D84" s="4" t="n"/>
      <c r="E84" s="4" t="n"/>
      <c r="F84" s="7" t="n"/>
      <c r="G84" s="4" t="n"/>
      <c r="H84" s="7" t="n"/>
      <c r="I84" s="4" t="n"/>
      <c r="J84" s="4" t="n"/>
      <c r="K84" s="4" t="n"/>
      <c r="L84" s="5" t="n"/>
      <c r="M84" s="7" t="n"/>
      <c r="N84" s="4" t="n"/>
      <c r="O84" s="4" t="n"/>
    </row>
    <row r="85">
      <c r="A85" s="4">
        <f>IF($D85="","", "APP"&amp;TEXT(ROW()-1,"0000"))</f>
        <v/>
      </c>
      <c r="B85" s="5" t="n"/>
      <c r="C85" s="4" t="n"/>
      <c r="D85" s="4" t="n"/>
      <c r="E85" s="4" t="n"/>
      <c r="F85" s="7" t="n"/>
      <c r="G85" s="4" t="n"/>
      <c r="H85" s="7" t="n"/>
      <c r="I85" s="4" t="n"/>
      <c r="J85" s="4" t="n"/>
      <c r="K85" s="4" t="n"/>
      <c r="L85" s="5" t="n"/>
      <c r="M85" s="7" t="n"/>
      <c r="N85" s="4" t="n"/>
      <c r="O85" s="4" t="n"/>
    </row>
    <row r="86">
      <c r="A86" s="4">
        <f>IF($D86="","", "APP"&amp;TEXT(ROW()-1,"0000"))</f>
        <v/>
      </c>
      <c r="B86" s="5" t="n"/>
      <c r="C86" s="4" t="n"/>
      <c r="D86" s="4" t="n"/>
      <c r="E86" s="4" t="n"/>
      <c r="F86" s="7" t="n"/>
      <c r="G86" s="4" t="n"/>
      <c r="H86" s="7" t="n"/>
      <c r="I86" s="4" t="n"/>
      <c r="J86" s="4" t="n"/>
      <c r="K86" s="4" t="n"/>
      <c r="L86" s="5" t="n"/>
      <c r="M86" s="7" t="n"/>
      <c r="N86" s="4" t="n"/>
      <c r="O86" s="4" t="n"/>
    </row>
    <row r="87">
      <c r="A87" s="4">
        <f>IF($D87="","", "APP"&amp;TEXT(ROW()-1,"0000"))</f>
        <v/>
      </c>
      <c r="B87" s="5" t="n"/>
      <c r="C87" s="4" t="n"/>
      <c r="D87" s="4" t="n"/>
      <c r="E87" s="4" t="n"/>
      <c r="F87" s="7" t="n"/>
      <c r="G87" s="4" t="n"/>
      <c r="H87" s="7" t="n"/>
      <c r="I87" s="4" t="n"/>
      <c r="J87" s="4" t="n"/>
      <c r="K87" s="4" t="n"/>
      <c r="L87" s="5" t="n"/>
      <c r="M87" s="7" t="n"/>
      <c r="N87" s="4" t="n"/>
      <c r="O87" s="4" t="n"/>
    </row>
    <row r="88">
      <c r="A88" s="4">
        <f>IF($D88="","", "APP"&amp;TEXT(ROW()-1,"0000"))</f>
        <v/>
      </c>
      <c r="B88" s="5" t="n"/>
      <c r="C88" s="4" t="n"/>
      <c r="D88" s="4" t="n"/>
      <c r="E88" s="4" t="n"/>
      <c r="F88" s="7" t="n"/>
      <c r="G88" s="4" t="n"/>
      <c r="H88" s="7" t="n"/>
      <c r="I88" s="4" t="n"/>
      <c r="J88" s="4" t="n"/>
      <c r="K88" s="4" t="n"/>
      <c r="L88" s="5" t="n"/>
      <c r="M88" s="7" t="n"/>
      <c r="N88" s="4" t="n"/>
      <c r="O88" s="4" t="n"/>
    </row>
    <row r="89">
      <c r="A89" s="4">
        <f>IF($D89="","", "APP"&amp;TEXT(ROW()-1,"0000"))</f>
        <v/>
      </c>
      <c r="B89" s="5" t="n"/>
      <c r="C89" s="4" t="n"/>
      <c r="D89" s="4" t="n"/>
      <c r="E89" s="4" t="n"/>
      <c r="F89" s="7" t="n"/>
      <c r="G89" s="4" t="n"/>
      <c r="H89" s="7" t="n"/>
      <c r="I89" s="4" t="n"/>
      <c r="J89" s="4" t="n"/>
      <c r="K89" s="4" t="n"/>
      <c r="L89" s="5" t="n"/>
      <c r="M89" s="7" t="n"/>
      <c r="N89" s="4" t="n"/>
      <c r="O89" s="4" t="n"/>
    </row>
    <row r="90">
      <c r="A90" s="4">
        <f>IF($D90="","", "APP"&amp;TEXT(ROW()-1,"0000"))</f>
        <v/>
      </c>
      <c r="B90" s="5" t="n"/>
      <c r="C90" s="4" t="n"/>
      <c r="D90" s="4" t="n"/>
      <c r="E90" s="4" t="n"/>
      <c r="F90" s="7" t="n"/>
      <c r="G90" s="4" t="n"/>
      <c r="H90" s="7" t="n"/>
      <c r="I90" s="4" t="n"/>
      <c r="J90" s="4" t="n"/>
      <c r="K90" s="4" t="n"/>
      <c r="L90" s="5" t="n"/>
      <c r="M90" s="7" t="n"/>
      <c r="N90" s="4" t="n"/>
      <c r="O90" s="4" t="n"/>
    </row>
    <row r="91">
      <c r="A91" s="4">
        <f>IF($D91="","", "APP"&amp;TEXT(ROW()-1,"0000"))</f>
        <v/>
      </c>
      <c r="B91" s="5" t="n"/>
      <c r="C91" s="4" t="n"/>
      <c r="D91" s="4" t="n"/>
      <c r="E91" s="4" t="n"/>
      <c r="F91" s="7" t="n"/>
      <c r="G91" s="4" t="n"/>
      <c r="H91" s="7" t="n"/>
      <c r="I91" s="4" t="n"/>
      <c r="J91" s="4" t="n"/>
      <c r="K91" s="4" t="n"/>
      <c r="L91" s="5" t="n"/>
      <c r="M91" s="7" t="n"/>
      <c r="N91" s="4" t="n"/>
      <c r="O91" s="4" t="n"/>
    </row>
    <row r="92">
      <c r="A92" s="4">
        <f>IF($D92="","", "APP"&amp;TEXT(ROW()-1,"0000"))</f>
        <v/>
      </c>
      <c r="B92" s="5" t="n"/>
      <c r="C92" s="4" t="n"/>
      <c r="D92" s="4" t="n"/>
      <c r="E92" s="4" t="n"/>
      <c r="F92" s="7" t="n"/>
      <c r="G92" s="4" t="n"/>
      <c r="H92" s="7" t="n"/>
      <c r="I92" s="4" t="n"/>
      <c r="J92" s="4" t="n"/>
      <c r="K92" s="4" t="n"/>
      <c r="L92" s="5" t="n"/>
      <c r="M92" s="7" t="n"/>
      <c r="N92" s="4" t="n"/>
      <c r="O92" s="4" t="n"/>
    </row>
    <row r="93">
      <c r="A93" s="4">
        <f>IF($D93="","", "APP"&amp;TEXT(ROW()-1,"0000"))</f>
        <v/>
      </c>
      <c r="B93" s="5" t="n"/>
      <c r="C93" s="4" t="n"/>
      <c r="D93" s="4" t="n"/>
      <c r="E93" s="4" t="n"/>
      <c r="F93" s="7" t="n"/>
      <c r="G93" s="4" t="n"/>
      <c r="H93" s="7" t="n"/>
      <c r="I93" s="4" t="n"/>
      <c r="J93" s="4" t="n"/>
      <c r="K93" s="4" t="n"/>
      <c r="L93" s="5" t="n"/>
      <c r="M93" s="7" t="n"/>
      <c r="N93" s="4" t="n"/>
      <c r="O93" s="4" t="n"/>
    </row>
    <row r="94">
      <c r="A94" s="4">
        <f>IF($D94="","", "APP"&amp;TEXT(ROW()-1,"0000"))</f>
        <v/>
      </c>
      <c r="B94" s="5" t="n"/>
      <c r="C94" s="4" t="n"/>
      <c r="D94" s="4" t="n"/>
      <c r="E94" s="4" t="n"/>
      <c r="F94" s="7" t="n"/>
      <c r="G94" s="4" t="n"/>
      <c r="H94" s="7" t="n"/>
      <c r="I94" s="4" t="n"/>
      <c r="J94" s="4" t="n"/>
      <c r="K94" s="4" t="n"/>
      <c r="L94" s="5" t="n"/>
      <c r="M94" s="7" t="n"/>
      <c r="N94" s="4" t="n"/>
      <c r="O94" s="4" t="n"/>
    </row>
    <row r="95">
      <c r="A95" s="4">
        <f>IF($D95="","", "APP"&amp;TEXT(ROW()-1,"0000"))</f>
        <v/>
      </c>
      <c r="B95" s="5" t="n"/>
      <c r="C95" s="4" t="n"/>
      <c r="D95" s="4" t="n"/>
      <c r="E95" s="4" t="n"/>
      <c r="F95" s="7" t="n"/>
      <c r="G95" s="4" t="n"/>
      <c r="H95" s="7" t="n"/>
      <c r="I95" s="4" t="n"/>
      <c r="J95" s="4" t="n"/>
      <c r="K95" s="4" t="n"/>
      <c r="L95" s="5" t="n"/>
      <c r="M95" s="7" t="n"/>
      <c r="N95" s="4" t="n"/>
      <c r="O95" s="4" t="n"/>
    </row>
    <row r="96">
      <c r="A96" s="4">
        <f>IF($D96="","", "APP"&amp;TEXT(ROW()-1,"0000"))</f>
        <v/>
      </c>
      <c r="B96" s="5" t="n"/>
      <c r="C96" s="4" t="n"/>
      <c r="D96" s="4" t="n"/>
      <c r="E96" s="4" t="n"/>
      <c r="F96" s="7" t="n"/>
      <c r="G96" s="4" t="n"/>
      <c r="H96" s="7" t="n"/>
      <c r="I96" s="4" t="n"/>
      <c r="J96" s="4" t="n"/>
      <c r="K96" s="4" t="n"/>
      <c r="L96" s="5" t="n"/>
      <c r="M96" s="7" t="n"/>
      <c r="N96" s="4" t="n"/>
      <c r="O96" s="4" t="n"/>
    </row>
    <row r="97">
      <c r="A97" s="4">
        <f>IF($D97="","", "APP"&amp;TEXT(ROW()-1,"0000"))</f>
        <v/>
      </c>
      <c r="B97" s="5" t="n"/>
      <c r="C97" s="4" t="n"/>
      <c r="D97" s="4" t="n"/>
      <c r="E97" s="4" t="n"/>
      <c r="F97" s="7" t="n"/>
      <c r="G97" s="4" t="n"/>
      <c r="H97" s="7" t="n"/>
      <c r="I97" s="4" t="n"/>
      <c r="J97" s="4" t="n"/>
      <c r="K97" s="4" t="n"/>
      <c r="L97" s="5" t="n"/>
      <c r="M97" s="7" t="n"/>
      <c r="N97" s="4" t="n"/>
      <c r="O97" s="4" t="n"/>
    </row>
    <row r="98">
      <c r="A98" s="4">
        <f>IF($D98="","", "APP"&amp;TEXT(ROW()-1,"0000"))</f>
        <v/>
      </c>
      <c r="B98" s="5" t="n"/>
      <c r="C98" s="4" t="n"/>
      <c r="D98" s="4" t="n"/>
      <c r="E98" s="4" t="n"/>
      <c r="F98" s="7" t="n"/>
      <c r="G98" s="4" t="n"/>
      <c r="H98" s="7" t="n"/>
      <c r="I98" s="4" t="n"/>
      <c r="J98" s="4" t="n"/>
      <c r="K98" s="4" t="n"/>
      <c r="L98" s="5" t="n"/>
      <c r="M98" s="7" t="n"/>
      <c r="N98" s="4" t="n"/>
      <c r="O98" s="4" t="n"/>
    </row>
    <row r="99">
      <c r="A99" s="4">
        <f>IF($D99="","", "APP"&amp;TEXT(ROW()-1,"0000"))</f>
        <v/>
      </c>
      <c r="B99" s="5" t="n"/>
      <c r="C99" s="4" t="n"/>
      <c r="D99" s="4" t="n"/>
      <c r="E99" s="4" t="n"/>
      <c r="F99" s="7" t="n"/>
      <c r="G99" s="4" t="n"/>
      <c r="H99" s="7" t="n"/>
      <c r="I99" s="4" t="n"/>
      <c r="J99" s="4" t="n"/>
      <c r="K99" s="4" t="n"/>
      <c r="L99" s="5" t="n"/>
      <c r="M99" s="7" t="n"/>
      <c r="N99" s="4" t="n"/>
      <c r="O99" s="4" t="n"/>
    </row>
    <row r="100">
      <c r="A100" s="4">
        <f>IF($D100="","", "APP"&amp;TEXT(ROW()-1,"0000"))</f>
        <v/>
      </c>
      <c r="B100" s="5" t="n"/>
      <c r="C100" s="4" t="n"/>
      <c r="D100" s="4" t="n"/>
      <c r="E100" s="4" t="n"/>
      <c r="F100" s="7" t="n"/>
      <c r="G100" s="4" t="n"/>
      <c r="H100" s="7" t="n"/>
      <c r="I100" s="4" t="n"/>
      <c r="J100" s="4" t="n"/>
      <c r="K100" s="4" t="n"/>
      <c r="L100" s="5" t="n"/>
      <c r="M100" s="7" t="n"/>
      <c r="N100" s="4" t="n"/>
      <c r="O100" s="4" t="n"/>
    </row>
    <row r="101">
      <c r="A101">
        <f>IF($D101="","", "APP"&amp;TEXT(ROW()-1,"0000"))</f>
        <v/>
      </c>
      <c r="B101" s="6" t="n"/>
      <c r="F101" s="8" t="n"/>
      <c r="H101" s="8" t="n"/>
      <c r="L101" s="6" t="n"/>
      <c r="M101" s="8" t="n"/>
    </row>
    <row r="102">
      <c r="A102">
        <f>IF($D102="","", "APP"&amp;TEXT(ROW()-1,"0000"))</f>
        <v/>
      </c>
      <c r="B102" s="6" t="n"/>
      <c r="F102" s="8" t="n"/>
      <c r="H102" s="8" t="n"/>
      <c r="L102" s="6" t="n"/>
      <c r="M102" s="8" t="n"/>
    </row>
    <row r="103">
      <c r="A103">
        <f>IF($D103="","", "APP"&amp;TEXT(ROW()-1,"0000"))</f>
        <v/>
      </c>
      <c r="B103" s="6" t="n"/>
      <c r="F103" s="8" t="n"/>
      <c r="H103" s="8" t="n"/>
      <c r="L103" s="6" t="n"/>
      <c r="M103" s="8" t="n"/>
    </row>
    <row r="104">
      <c r="A104">
        <f>IF($D104="","", "APP"&amp;TEXT(ROW()-1,"0000"))</f>
        <v/>
      </c>
      <c r="B104" s="6" t="n"/>
      <c r="F104" s="8" t="n"/>
      <c r="H104" s="8" t="n"/>
      <c r="L104" s="6" t="n"/>
      <c r="M104" s="8" t="n"/>
    </row>
    <row r="105">
      <c r="A105">
        <f>IF($D105="","", "APP"&amp;TEXT(ROW()-1,"0000"))</f>
        <v/>
      </c>
      <c r="B105" s="6" t="n"/>
      <c r="F105" s="8" t="n"/>
      <c r="H105" s="8" t="n"/>
      <c r="L105" s="6" t="n"/>
      <c r="M105" s="8" t="n"/>
    </row>
    <row r="106">
      <c r="A106">
        <f>IF($D106="","", "APP"&amp;TEXT(ROW()-1,"0000"))</f>
        <v/>
      </c>
      <c r="B106" s="6" t="n"/>
      <c r="F106" s="8" t="n"/>
      <c r="H106" s="8" t="n"/>
      <c r="L106" s="6" t="n"/>
      <c r="M106" s="8" t="n"/>
    </row>
    <row r="107">
      <c r="A107">
        <f>IF($D107="","", "APP"&amp;TEXT(ROW()-1,"0000"))</f>
        <v/>
      </c>
      <c r="B107" s="6" t="n"/>
      <c r="F107" s="8" t="n"/>
      <c r="H107" s="8" t="n"/>
      <c r="L107" s="6" t="n"/>
      <c r="M107" s="8" t="n"/>
    </row>
    <row r="108">
      <c r="A108">
        <f>IF($D108="","", "APP"&amp;TEXT(ROW()-1,"0000"))</f>
        <v/>
      </c>
      <c r="B108" s="6" t="n"/>
      <c r="F108" s="8" t="n"/>
      <c r="H108" s="8" t="n"/>
      <c r="L108" s="6" t="n"/>
      <c r="M108" s="8" t="n"/>
    </row>
    <row r="109">
      <c r="A109">
        <f>IF($D109="","", "APP"&amp;TEXT(ROW()-1,"0000"))</f>
        <v/>
      </c>
      <c r="B109" s="6" t="n"/>
      <c r="F109" s="8" t="n"/>
      <c r="H109" s="8" t="n"/>
      <c r="L109" s="6" t="n"/>
      <c r="M109" s="8" t="n"/>
    </row>
    <row r="110">
      <c r="A110">
        <f>IF($D110="","", "APP"&amp;TEXT(ROW()-1,"0000"))</f>
        <v/>
      </c>
      <c r="B110" s="6" t="n"/>
      <c r="F110" s="8" t="n"/>
      <c r="H110" s="8" t="n"/>
      <c r="L110" s="6" t="n"/>
      <c r="M110" s="8" t="n"/>
    </row>
    <row r="111">
      <c r="A111">
        <f>IF($D111="","", "APP"&amp;TEXT(ROW()-1,"0000"))</f>
        <v/>
      </c>
      <c r="B111" s="6" t="n"/>
      <c r="F111" s="8" t="n"/>
      <c r="H111" s="8" t="n"/>
      <c r="L111" s="6" t="n"/>
      <c r="M111" s="8" t="n"/>
    </row>
    <row r="112">
      <c r="A112">
        <f>IF($D112="","", "APP"&amp;TEXT(ROW()-1,"0000"))</f>
        <v/>
      </c>
      <c r="B112" s="6" t="n"/>
      <c r="F112" s="8" t="n"/>
      <c r="H112" s="8" t="n"/>
      <c r="L112" s="6" t="n"/>
      <c r="M112" s="8" t="n"/>
    </row>
    <row r="113">
      <c r="A113">
        <f>IF($D113="","", "APP"&amp;TEXT(ROW()-1,"0000"))</f>
        <v/>
      </c>
      <c r="B113" s="6" t="n"/>
      <c r="F113" s="8" t="n"/>
      <c r="H113" s="8" t="n"/>
      <c r="L113" s="6" t="n"/>
      <c r="M113" s="8" t="n"/>
    </row>
    <row r="114">
      <c r="A114">
        <f>IF($D114="","", "APP"&amp;TEXT(ROW()-1,"0000"))</f>
        <v/>
      </c>
      <c r="B114" s="6" t="n"/>
      <c r="F114" s="8" t="n"/>
      <c r="H114" s="8" t="n"/>
      <c r="L114" s="6" t="n"/>
      <c r="M114" s="8" t="n"/>
    </row>
    <row r="115">
      <c r="A115">
        <f>IF($D115="","", "APP"&amp;TEXT(ROW()-1,"0000"))</f>
        <v/>
      </c>
      <c r="B115" s="6" t="n"/>
      <c r="F115" s="8" t="n"/>
      <c r="H115" s="8" t="n"/>
      <c r="L115" s="6" t="n"/>
      <c r="M115" s="8" t="n"/>
    </row>
    <row r="116">
      <c r="A116">
        <f>IF($D116="","", "APP"&amp;TEXT(ROW()-1,"0000"))</f>
        <v/>
      </c>
      <c r="B116" s="6" t="n"/>
      <c r="F116" s="8" t="n"/>
      <c r="H116" s="8" t="n"/>
      <c r="L116" s="6" t="n"/>
      <c r="M116" s="8" t="n"/>
    </row>
    <row r="117">
      <c r="A117">
        <f>IF($D117="","", "APP"&amp;TEXT(ROW()-1,"0000"))</f>
        <v/>
      </c>
      <c r="B117" s="6" t="n"/>
      <c r="F117" s="8" t="n"/>
      <c r="H117" s="8" t="n"/>
      <c r="L117" s="6" t="n"/>
      <c r="M117" s="8" t="n"/>
    </row>
    <row r="118">
      <c r="A118">
        <f>IF($D118="","", "APP"&amp;TEXT(ROW()-1,"0000"))</f>
        <v/>
      </c>
      <c r="B118" s="6" t="n"/>
      <c r="F118" s="8" t="n"/>
      <c r="H118" s="8" t="n"/>
      <c r="L118" s="6" t="n"/>
      <c r="M118" s="8" t="n"/>
    </row>
    <row r="119">
      <c r="A119">
        <f>IF($D119="","", "APP"&amp;TEXT(ROW()-1,"0000"))</f>
        <v/>
      </c>
      <c r="B119" s="6" t="n"/>
      <c r="F119" s="8" t="n"/>
      <c r="H119" s="8" t="n"/>
      <c r="L119" s="6" t="n"/>
      <c r="M119" s="8" t="n"/>
    </row>
    <row r="120">
      <c r="A120">
        <f>IF($D120="","", "APP"&amp;TEXT(ROW()-1,"0000"))</f>
        <v/>
      </c>
      <c r="B120" s="6" t="n"/>
      <c r="F120" s="8" t="n"/>
      <c r="H120" s="8" t="n"/>
      <c r="L120" s="6" t="n"/>
      <c r="M120" s="8" t="n"/>
    </row>
    <row r="121">
      <c r="A121">
        <f>IF($D121="","", "APP"&amp;TEXT(ROW()-1,"0000"))</f>
        <v/>
      </c>
      <c r="B121" s="6" t="n"/>
      <c r="F121" s="8" t="n"/>
      <c r="H121" s="8" t="n"/>
      <c r="L121" s="6" t="n"/>
      <c r="M121" s="8" t="n"/>
    </row>
    <row r="122">
      <c r="A122">
        <f>IF($D122="","", "APP"&amp;TEXT(ROW()-1,"0000"))</f>
        <v/>
      </c>
      <c r="B122" s="6" t="n"/>
      <c r="F122" s="8" t="n"/>
      <c r="H122" s="8" t="n"/>
      <c r="L122" s="6" t="n"/>
      <c r="M122" s="8" t="n"/>
    </row>
    <row r="123">
      <c r="A123">
        <f>IF($D123="","", "APP"&amp;TEXT(ROW()-1,"0000"))</f>
        <v/>
      </c>
      <c r="B123" s="6" t="n"/>
      <c r="F123" s="8" t="n"/>
      <c r="H123" s="8" t="n"/>
      <c r="L123" s="6" t="n"/>
      <c r="M123" s="8" t="n"/>
    </row>
    <row r="124">
      <c r="A124">
        <f>IF($D124="","", "APP"&amp;TEXT(ROW()-1,"0000"))</f>
        <v/>
      </c>
      <c r="B124" s="6" t="n"/>
      <c r="F124" s="8" t="n"/>
      <c r="H124" s="8" t="n"/>
      <c r="L124" s="6" t="n"/>
      <c r="M124" s="8" t="n"/>
    </row>
    <row r="125">
      <c r="A125">
        <f>IF($D125="","", "APP"&amp;TEXT(ROW()-1,"0000"))</f>
        <v/>
      </c>
      <c r="B125" s="6" t="n"/>
      <c r="F125" s="8" t="n"/>
      <c r="H125" s="8" t="n"/>
      <c r="L125" s="6" t="n"/>
      <c r="M125" s="8" t="n"/>
    </row>
    <row r="126">
      <c r="A126">
        <f>IF($D126="","", "APP"&amp;TEXT(ROW()-1,"0000"))</f>
        <v/>
      </c>
      <c r="B126" s="6" t="n"/>
      <c r="F126" s="8" t="n"/>
      <c r="H126" s="8" t="n"/>
      <c r="L126" s="6" t="n"/>
      <c r="M126" s="8" t="n"/>
    </row>
    <row r="127">
      <c r="A127">
        <f>IF($D127="","", "APP"&amp;TEXT(ROW()-1,"0000"))</f>
        <v/>
      </c>
      <c r="B127" s="6" t="n"/>
      <c r="F127" s="8" t="n"/>
      <c r="H127" s="8" t="n"/>
      <c r="L127" s="6" t="n"/>
      <c r="M127" s="8" t="n"/>
    </row>
    <row r="128">
      <c r="A128">
        <f>IF($D128="","", "APP"&amp;TEXT(ROW()-1,"0000"))</f>
        <v/>
      </c>
      <c r="B128" s="6" t="n"/>
      <c r="F128" s="8" t="n"/>
      <c r="H128" s="8" t="n"/>
      <c r="L128" s="6" t="n"/>
      <c r="M128" s="8" t="n"/>
    </row>
    <row r="129">
      <c r="A129">
        <f>IF($D129="","", "APP"&amp;TEXT(ROW()-1,"0000"))</f>
        <v/>
      </c>
      <c r="B129" s="6" t="n"/>
      <c r="F129" s="8" t="n"/>
      <c r="H129" s="8" t="n"/>
      <c r="L129" s="6" t="n"/>
      <c r="M129" s="8" t="n"/>
    </row>
    <row r="130">
      <c r="A130">
        <f>IF($D130="","", "APP"&amp;TEXT(ROW()-1,"0000"))</f>
        <v/>
      </c>
      <c r="B130" s="6" t="n"/>
      <c r="F130" s="8" t="n"/>
      <c r="H130" s="8" t="n"/>
      <c r="L130" s="6" t="n"/>
      <c r="M130" s="8" t="n"/>
    </row>
    <row r="131">
      <c r="A131">
        <f>IF($D131="","", "APP"&amp;TEXT(ROW()-1,"0000"))</f>
        <v/>
      </c>
      <c r="B131" s="6" t="n"/>
      <c r="F131" s="8" t="n"/>
      <c r="H131" s="8" t="n"/>
      <c r="L131" s="6" t="n"/>
      <c r="M131" s="8" t="n"/>
    </row>
    <row r="132">
      <c r="A132">
        <f>IF($D132="","", "APP"&amp;TEXT(ROW()-1,"0000"))</f>
        <v/>
      </c>
      <c r="B132" s="6" t="n"/>
      <c r="F132" s="8" t="n"/>
      <c r="H132" s="8" t="n"/>
      <c r="L132" s="6" t="n"/>
      <c r="M132" s="8" t="n"/>
    </row>
    <row r="133">
      <c r="A133">
        <f>IF($D133="","", "APP"&amp;TEXT(ROW()-1,"0000"))</f>
        <v/>
      </c>
      <c r="B133" s="6" t="n"/>
      <c r="F133" s="8" t="n"/>
      <c r="H133" s="8" t="n"/>
      <c r="L133" s="6" t="n"/>
      <c r="M133" s="8" t="n"/>
    </row>
    <row r="134">
      <c r="A134">
        <f>IF($D134="","", "APP"&amp;TEXT(ROW()-1,"0000"))</f>
        <v/>
      </c>
      <c r="B134" s="6" t="n"/>
      <c r="F134" s="8" t="n"/>
      <c r="H134" s="8" t="n"/>
      <c r="L134" s="6" t="n"/>
      <c r="M134" s="8" t="n"/>
    </row>
    <row r="135">
      <c r="A135">
        <f>IF($D135="","", "APP"&amp;TEXT(ROW()-1,"0000"))</f>
        <v/>
      </c>
      <c r="B135" s="6" t="n"/>
      <c r="F135" s="8" t="n"/>
      <c r="H135" s="8" t="n"/>
      <c r="L135" s="6" t="n"/>
      <c r="M135" s="8" t="n"/>
    </row>
    <row r="136">
      <c r="A136">
        <f>IF($D136="","", "APP"&amp;TEXT(ROW()-1,"0000"))</f>
        <v/>
      </c>
      <c r="B136" s="6" t="n"/>
      <c r="F136" s="8" t="n"/>
      <c r="H136" s="8" t="n"/>
      <c r="L136" s="6" t="n"/>
      <c r="M136" s="8" t="n"/>
    </row>
    <row r="137">
      <c r="A137">
        <f>IF($D137="","", "APP"&amp;TEXT(ROW()-1,"0000"))</f>
        <v/>
      </c>
      <c r="B137" s="6" t="n"/>
      <c r="F137" s="8" t="n"/>
      <c r="H137" s="8" t="n"/>
      <c r="L137" s="6" t="n"/>
      <c r="M137" s="8" t="n"/>
    </row>
    <row r="138">
      <c r="A138">
        <f>IF($D138="","", "APP"&amp;TEXT(ROW()-1,"0000"))</f>
        <v/>
      </c>
      <c r="B138" s="6" t="n"/>
      <c r="F138" s="8" t="n"/>
      <c r="H138" s="8" t="n"/>
      <c r="L138" s="6" t="n"/>
      <c r="M138" s="8" t="n"/>
    </row>
    <row r="139">
      <c r="A139">
        <f>IF($D139="","", "APP"&amp;TEXT(ROW()-1,"0000"))</f>
        <v/>
      </c>
      <c r="B139" s="6" t="n"/>
      <c r="F139" s="8" t="n"/>
      <c r="H139" s="8" t="n"/>
      <c r="L139" s="6" t="n"/>
      <c r="M139" s="8" t="n"/>
    </row>
    <row r="140">
      <c r="A140">
        <f>IF($D140="","", "APP"&amp;TEXT(ROW()-1,"0000"))</f>
        <v/>
      </c>
      <c r="B140" s="6" t="n"/>
      <c r="F140" s="8" t="n"/>
      <c r="H140" s="8" t="n"/>
      <c r="L140" s="6" t="n"/>
      <c r="M140" s="8" t="n"/>
    </row>
    <row r="141">
      <c r="A141">
        <f>IF($D141="","", "APP"&amp;TEXT(ROW()-1,"0000"))</f>
        <v/>
      </c>
      <c r="B141" s="6" t="n"/>
      <c r="F141" s="8" t="n"/>
      <c r="H141" s="8" t="n"/>
      <c r="L141" s="6" t="n"/>
      <c r="M141" s="8" t="n"/>
    </row>
    <row r="142">
      <c r="A142">
        <f>IF($D142="","", "APP"&amp;TEXT(ROW()-1,"0000"))</f>
        <v/>
      </c>
      <c r="B142" s="6" t="n"/>
      <c r="F142" s="8" t="n"/>
      <c r="H142" s="8" t="n"/>
      <c r="L142" s="6" t="n"/>
      <c r="M142" s="8" t="n"/>
    </row>
    <row r="143">
      <c r="A143">
        <f>IF($D143="","", "APP"&amp;TEXT(ROW()-1,"0000"))</f>
        <v/>
      </c>
      <c r="B143" s="6" t="n"/>
      <c r="F143" s="8" t="n"/>
      <c r="H143" s="8" t="n"/>
      <c r="L143" s="6" t="n"/>
      <c r="M143" s="8" t="n"/>
    </row>
    <row r="144">
      <c r="A144">
        <f>IF($D144="","", "APP"&amp;TEXT(ROW()-1,"0000"))</f>
        <v/>
      </c>
      <c r="B144" s="6" t="n"/>
      <c r="F144" s="8" t="n"/>
      <c r="H144" s="8" t="n"/>
      <c r="L144" s="6" t="n"/>
      <c r="M144" s="8" t="n"/>
    </row>
    <row r="145">
      <c r="A145">
        <f>IF($D145="","", "APP"&amp;TEXT(ROW()-1,"0000"))</f>
        <v/>
      </c>
      <c r="B145" s="6" t="n"/>
      <c r="F145" s="8" t="n"/>
      <c r="H145" s="8" t="n"/>
      <c r="L145" s="6" t="n"/>
      <c r="M145" s="8" t="n"/>
    </row>
    <row r="146">
      <c r="A146">
        <f>IF($D146="","", "APP"&amp;TEXT(ROW()-1,"0000"))</f>
        <v/>
      </c>
      <c r="B146" s="6" t="n"/>
      <c r="F146" s="8" t="n"/>
      <c r="H146" s="8" t="n"/>
      <c r="L146" s="6" t="n"/>
      <c r="M146" s="8" t="n"/>
    </row>
    <row r="147">
      <c r="A147">
        <f>IF($D147="","", "APP"&amp;TEXT(ROW()-1,"0000"))</f>
        <v/>
      </c>
      <c r="B147" s="6" t="n"/>
      <c r="F147" s="8" t="n"/>
      <c r="H147" s="8" t="n"/>
      <c r="L147" s="6" t="n"/>
      <c r="M147" s="8" t="n"/>
    </row>
    <row r="148">
      <c r="A148">
        <f>IF($D148="","", "APP"&amp;TEXT(ROW()-1,"0000"))</f>
        <v/>
      </c>
      <c r="B148" s="6" t="n"/>
      <c r="F148" s="8" t="n"/>
      <c r="H148" s="8" t="n"/>
      <c r="L148" s="6" t="n"/>
      <c r="M148" s="8" t="n"/>
    </row>
    <row r="149">
      <c r="A149">
        <f>IF($D149="","", "APP"&amp;TEXT(ROW()-1,"0000"))</f>
        <v/>
      </c>
      <c r="B149" s="6" t="n"/>
      <c r="F149" s="8" t="n"/>
      <c r="H149" s="8" t="n"/>
      <c r="L149" s="6" t="n"/>
      <c r="M149" s="8" t="n"/>
    </row>
    <row r="150">
      <c r="A150">
        <f>IF($D150="","", "APP"&amp;TEXT(ROW()-1,"0000"))</f>
        <v/>
      </c>
      <c r="B150" s="6" t="n"/>
      <c r="F150" s="8" t="n"/>
      <c r="H150" s="8" t="n"/>
      <c r="L150" s="6" t="n"/>
      <c r="M150" s="8" t="n"/>
    </row>
    <row r="151">
      <c r="A151">
        <f>IF($D151="","", "APP"&amp;TEXT(ROW()-1,"0000"))</f>
        <v/>
      </c>
      <c r="B151" s="6" t="n"/>
      <c r="F151" s="8" t="n"/>
      <c r="H151" s="8" t="n"/>
      <c r="L151" s="6" t="n"/>
      <c r="M151" s="8" t="n"/>
    </row>
    <row r="152">
      <c r="A152">
        <f>IF($D152="","", "APP"&amp;TEXT(ROW()-1,"0000"))</f>
        <v/>
      </c>
      <c r="B152" s="6" t="n"/>
      <c r="F152" s="8" t="n"/>
      <c r="H152" s="8" t="n"/>
      <c r="L152" s="6" t="n"/>
      <c r="M152" s="8" t="n"/>
    </row>
    <row r="153">
      <c r="A153">
        <f>IF($D153="","", "APP"&amp;TEXT(ROW()-1,"0000"))</f>
        <v/>
      </c>
      <c r="B153" s="6" t="n"/>
      <c r="F153" s="8" t="n"/>
      <c r="H153" s="8" t="n"/>
      <c r="L153" s="6" t="n"/>
      <c r="M153" s="8" t="n"/>
    </row>
    <row r="154">
      <c r="A154">
        <f>IF($D154="","", "APP"&amp;TEXT(ROW()-1,"0000"))</f>
        <v/>
      </c>
      <c r="B154" s="6" t="n"/>
      <c r="F154" s="8" t="n"/>
      <c r="H154" s="8" t="n"/>
      <c r="L154" s="6" t="n"/>
      <c r="M154" s="8" t="n"/>
    </row>
    <row r="155">
      <c r="A155">
        <f>IF($D155="","", "APP"&amp;TEXT(ROW()-1,"0000"))</f>
        <v/>
      </c>
      <c r="B155" s="6" t="n"/>
      <c r="F155" s="8" t="n"/>
      <c r="H155" s="8" t="n"/>
      <c r="L155" s="6" t="n"/>
      <c r="M155" s="8" t="n"/>
    </row>
    <row r="156">
      <c r="A156">
        <f>IF($D156="","", "APP"&amp;TEXT(ROW()-1,"0000"))</f>
        <v/>
      </c>
      <c r="B156" s="6" t="n"/>
      <c r="F156" s="8" t="n"/>
      <c r="H156" s="8" t="n"/>
      <c r="L156" s="6" t="n"/>
      <c r="M156" s="8" t="n"/>
    </row>
    <row r="157">
      <c r="A157">
        <f>IF($D157="","", "APP"&amp;TEXT(ROW()-1,"0000"))</f>
        <v/>
      </c>
      <c r="B157" s="6" t="n"/>
      <c r="F157" s="8" t="n"/>
      <c r="H157" s="8" t="n"/>
      <c r="L157" s="6" t="n"/>
      <c r="M157" s="8" t="n"/>
    </row>
    <row r="158">
      <c r="A158">
        <f>IF($D158="","", "APP"&amp;TEXT(ROW()-1,"0000"))</f>
        <v/>
      </c>
      <c r="B158" s="6" t="n"/>
      <c r="F158" s="8" t="n"/>
      <c r="H158" s="8" t="n"/>
      <c r="L158" s="6" t="n"/>
      <c r="M158" s="8" t="n"/>
    </row>
    <row r="159">
      <c r="A159">
        <f>IF($D159="","", "APP"&amp;TEXT(ROW()-1,"0000"))</f>
        <v/>
      </c>
      <c r="B159" s="6" t="n"/>
      <c r="F159" s="8" t="n"/>
      <c r="H159" s="8" t="n"/>
      <c r="L159" s="6" t="n"/>
      <c r="M159" s="8" t="n"/>
    </row>
    <row r="160">
      <c r="A160">
        <f>IF($D160="","", "APP"&amp;TEXT(ROW()-1,"0000"))</f>
        <v/>
      </c>
      <c r="B160" s="6" t="n"/>
      <c r="F160" s="8" t="n"/>
      <c r="H160" s="8" t="n"/>
      <c r="L160" s="6" t="n"/>
      <c r="M160" s="8" t="n"/>
    </row>
    <row r="161">
      <c r="A161">
        <f>IF($D161="","", "APP"&amp;TEXT(ROW()-1,"0000"))</f>
        <v/>
      </c>
      <c r="B161" s="6" t="n"/>
      <c r="F161" s="8" t="n"/>
      <c r="H161" s="8" t="n"/>
      <c r="L161" s="6" t="n"/>
      <c r="M161" s="8" t="n"/>
    </row>
    <row r="162">
      <c r="A162">
        <f>IF($D162="","", "APP"&amp;TEXT(ROW()-1,"0000"))</f>
        <v/>
      </c>
      <c r="B162" s="6" t="n"/>
      <c r="F162" s="8" t="n"/>
      <c r="H162" s="8" t="n"/>
      <c r="L162" s="6" t="n"/>
      <c r="M162" s="8" t="n"/>
    </row>
    <row r="163">
      <c r="A163">
        <f>IF($D163="","", "APP"&amp;TEXT(ROW()-1,"0000"))</f>
        <v/>
      </c>
      <c r="B163" s="6" t="n"/>
      <c r="F163" s="8" t="n"/>
      <c r="H163" s="8" t="n"/>
      <c r="L163" s="6" t="n"/>
      <c r="M163" s="8" t="n"/>
    </row>
    <row r="164">
      <c r="A164">
        <f>IF($D164="","", "APP"&amp;TEXT(ROW()-1,"0000"))</f>
        <v/>
      </c>
      <c r="B164" s="6" t="n"/>
      <c r="F164" s="8" t="n"/>
      <c r="H164" s="8" t="n"/>
      <c r="L164" s="6" t="n"/>
      <c r="M164" s="8" t="n"/>
    </row>
    <row r="165">
      <c r="A165">
        <f>IF($D165="","", "APP"&amp;TEXT(ROW()-1,"0000"))</f>
        <v/>
      </c>
      <c r="B165" s="6" t="n"/>
      <c r="F165" s="8" t="n"/>
      <c r="H165" s="8" t="n"/>
      <c r="L165" s="6" t="n"/>
      <c r="M165" s="8" t="n"/>
    </row>
    <row r="166">
      <c r="A166">
        <f>IF($D166="","", "APP"&amp;TEXT(ROW()-1,"0000"))</f>
        <v/>
      </c>
      <c r="B166" s="6" t="n"/>
      <c r="F166" s="8" t="n"/>
      <c r="H166" s="8" t="n"/>
      <c r="L166" s="6" t="n"/>
      <c r="M166" s="8" t="n"/>
    </row>
    <row r="167">
      <c r="A167">
        <f>IF($D167="","", "APP"&amp;TEXT(ROW()-1,"0000"))</f>
        <v/>
      </c>
      <c r="B167" s="6" t="n"/>
      <c r="F167" s="8" t="n"/>
      <c r="H167" s="8" t="n"/>
      <c r="L167" s="6" t="n"/>
      <c r="M167" s="8" t="n"/>
    </row>
    <row r="168">
      <c r="A168">
        <f>IF($D168="","", "APP"&amp;TEXT(ROW()-1,"0000"))</f>
        <v/>
      </c>
      <c r="B168" s="6" t="n"/>
      <c r="F168" s="8" t="n"/>
      <c r="H168" s="8" t="n"/>
      <c r="L168" s="6" t="n"/>
      <c r="M168" s="8" t="n"/>
    </row>
    <row r="169">
      <c r="A169">
        <f>IF($D169="","", "APP"&amp;TEXT(ROW()-1,"0000"))</f>
        <v/>
      </c>
      <c r="B169" s="6" t="n"/>
      <c r="F169" s="8" t="n"/>
      <c r="H169" s="8" t="n"/>
      <c r="L169" s="6" t="n"/>
      <c r="M169" s="8" t="n"/>
    </row>
    <row r="170">
      <c r="A170">
        <f>IF($D170="","", "APP"&amp;TEXT(ROW()-1,"0000"))</f>
        <v/>
      </c>
      <c r="B170" s="6" t="n"/>
      <c r="F170" s="8" t="n"/>
      <c r="H170" s="8" t="n"/>
      <c r="L170" s="6" t="n"/>
      <c r="M170" s="8" t="n"/>
    </row>
    <row r="171">
      <c r="A171">
        <f>IF($D171="","", "APP"&amp;TEXT(ROW()-1,"0000"))</f>
        <v/>
      </c>
      <c r="B171" s="6" t="n"/>
      <c r="F171" s="8" t="n"/>
      <c r="H171" s="8" t="n"/>
      <c r="L171" s="6" t="n"/>
      <c r="M171" s="8" t="n"/>
    </row>
    <row r="172">
      <c r="A172">
        <f>IF($D172="","", "APP"&amp;TEXT(ROW()-1,"0000"))</f>
        <v/>
      </c>
      <c r="B172" s="6" t="n"/>
      <c r="F172" s="8" t="n"/>
      <c r="H172" s="8" t="n"/>
      <c r="L172" s="6" t="n"/>
      <c r="M172" s="8" t="n"/>
    </row>
    <row r="173">
      <c r="A173">
        <f>IF($D173="","", "APP"&amp;TEXT(ROW()-1,"0000"))</f>
        <v/>
      </c>
      <c r="B173" s="6" t="n"/>
      <c r="F173" s="8" t="n"/>
      <c r="H173" s="8" t="n"/>
      <c r="L173" s="6" t="n"/>
      <c r="M173" s="8" t="n"/>
    </row>
    <row r="174">
      <c r="A174">
        <f>IF($D174="","", "APP"&amp;TEXT(ROW()-1,"0000"))</f>
        <v/>
      </c>
      <c r="B174" s="6" t="n"/>
      <c r="F174" s="8" t="n"/>
      <c r="H174" s="8" t="n"/>
      <c r="L174" s="6" t="n"/>
      <c r="M174" s="8" t="n"/>
    </row>
    <row r="175">
      <c r="A175">
        <f>IF($D175="","", "APP"&amp;TEXT(ROW()-1,"0000"))</f>
        <v/>
      </c>
      <c r="B175" s="6" t="n"/>
      <c r="F175" s="8" t="n"/>
      <c r="H175" s="8" t="n"/>
      <c r="L175" s="6" t="n"/>
      <c r="M175" s="8" t="n"/>
    </row>
    <row r="176">
      <c r="A176">
        <f>IF($D176="","", "APP"&amp;TEXT(ROW()-1,"0000"))</f>
        <v/>
      </c>
      <c r="B176" s="6" t="n"/>
      <c r="F176" s="8" t="n"/>
      <c r="H176" s="8" t="n"/>
      <c r="L176" s="6" t="n"/>
      <c r="M176" s="8" t="n"/>
    </row>
    <row r="177">
      <c r="A177">
        <f>IF($D177="","", "APP"&amp;TEXT(ROW()-1,"0000"))</f>
        <v/>
      </c>
      <c r="B177" s="6" t="n"/>
      <c r="F177" s="8" t="n"/>
      <c r="H177" s="8" t="n"/>
      <c r="L177" s="6" t="n"/>
      <c r="M177" s="8" t="n"/>
    </row>
    <row r="178">
      <c r="A178">
        <f>IF($D178="","", "APP"&amp;TEXT(ROW()-1,"0000"))</f>
        <v/>
      </c>
      <c r="B178" s="6" t="n"/>
      <c r="F178" s="8" t="n"/>
      <c r="H178" s="8" t="n"/>
      <c r="L178" s="6" t="n"/>
      <c r="M178" s="8" t="n"/>
    </row>
    <row r="179">
      <c r="A179">
        <f>IF($D179="","", "APP"&amp;TEXT(ROW()-1,"0000"))</f>
        <v/>
      </c>
      <c r="B179" s="6" t="n"/>
      <c r="F179" s="8" t="n"/>
      <c r="H179" s="8" t="n"/>
      <c r="L179" s="6" t="n"/>
      <c r="M179" s="8" t="n"/>
    </row>
    <row r="180">
      <c r="A180">
        <f>IF($D180="","", "APP"&amp;TEXT(ROW()-1,"0000"))</f>
        <v/>
      </c>
      <c r="B180" s="6" t="n"/>
      <c r="F180" s="8" t="n"/>
      <c r="H180" s="8" t="n"/>
      <c r="L180" s="6" t="n"/>
      <c r="M180" s="8" t="n"/>
    </row>
    <row r="181">
      <c r="A181">
        <f>IF($D181="","", "APP"&amp;TEXT(ROW()-1,"0000"))</f>
        <v/>
      </c>
      <c r="B181" s="6" t="n"/>
      <c r="F181" s="8" t="n"/>
      <c r="H181" s="8" t="n"/>
      <c r="L181" s="6" t="n"/>
      <c r="M181" s="8" t="n"/>
    </row>
    <row r="182">
      <c r="A182">
        <f>IF($D182="","", "APP"&amp;TEXT(ROW()-1,"0000"))</f>
        <v/>
      </c>
      <c r="B182" s="6" t="n"/>
      <c r="F182" s="8" t="n"/>
      <c r="H182" s="8" t="n"/>
      <c r="L182" s="6" t="n"/>
      <c r="M182" s="8" t="n"/>
    </row>
    <row r="183">
      <c r="A183">
        <f>IF($D183="","", "APP"&amp;TEXT(ROW()-1,"0000"))</f>
        <v/>
      </c>
      <c r="B183" s="6" t="n"/>
      <c r="F183" s="8" t="n"/>
      <c r="H183" s="8" t="n"/>
      <c r="L183" s="6" t="n"/>
      <c r="M183" s="8" t="n"/>
    </row>
    <row r="184">
      <c r="A184">
        <f>IF($D184="","", "APP"&amp;TEXT(ROW()-1,"0000"))</f>
        <v/>
      </c>
      <c r="B184" s="6" t="n"/>
      <c r="F184" s="8" t="n"/>
      <c r="H184" s="8" t="n"/>
      <c r="L184" s="6" t="n"/>
      <c r="M184" s="8" t="n"/>
    </row>
    <row r="185">
      <c r="A185">
        <f>IF($D185="","", "APP"&amp;TEXT(ROW()-1,"0000"))</f>
        <v/>
      </c>
      <c r="B185" s="6" t="n"/>
      <c r="F185" s="8" t="n"/>
      <c r="H185" s="8" t="n"/>
      <c r="L185" s="6" t="n"/>
      <c r="M185" s="8" t="n"/>
    </row>
    <row r="186">
      <c r="A186">
        <f>IF($D186="","", "APP"&amp;TEXT(ROW()-1,"0000"))</f>
        <v/>
      </c>
      <c r="B186" s="6" t="n"/>
      <c r="F186" s="8" t="n"/>
      <c r="H186" s="8" t="n"/>
      <c r="L186" s="6" t="n"/>
      <c r="M186" s="8" t="n"/>
    </row>
    <row r="187">
      <c r="A187">
        <f>IF($D187="","", "APP"&amp;TEXT(ROW()-1,"0000"))</f>
        <v/>
      </c>
      <c r="B187" s="6" t="n"/>
      <c r="F187" s="8" t="n"/>
      <c r="H187" s="8" t="n"/>
      <c r="L187" s="6" t="n"/>
      <c r="M187" s="8" t="n"/>
    </row>
    <row r="188">
      <c r="A188">
        <f>IF($D188="","", "APP"&amp;TEXT(ROW()-1,"0000"))</f>
        <v/>
      </c>
      <c r="B188" s="6" t="n"/>
      <c r="F188" s="8" t="n"/>
      <c r="H188" s="8" t="n"/>
      <c r="L188" s="6" t="n"/>
      <c r="M188" s="8" t="n"/>
    </row>
    <row r="189">
      <c r="A189">
        <f>IF($D189="","", "APP"&amp;TEXT(ROW()-1,"0000"))</f>
        <v/>
      </c>
      <c r="B189" s="6" t="n"/>
      <c r="F189" s="8" t="n"/>
      <c r="H189" s="8" t="n"/>
      <c r="L189" s="6" t="n"/>
      <c r="M189" s="8" t="n"/>
    </row>
    <row r="190">
      <c r="A190">
        <f>IF($D190="","", "APP"&amp;TEXT(ROW()-1,"0000"))</f>
        <v/>
      </c>
      <c r="B190" s="6" t="n"/>
      <c r="F190" s="8" t="n"/>
      <c r="H190" s="8" t="n"/>
      <c r="L190" s="6" t="n"/>
      <c r="M190" s="8" t="n"/>
    </row>
    <row r="191">
      <c r="A191">
        <f>IF($D191="","", "APP"&amp;TEXT(ROW()-1,"0000"))</f>
        <v/>
      </c>
      <c r="B191" s="6" t="n"/>
      <c r="F191" s="8" t="n"/>
      <c r="H191" s="8" t="n"/>
      <c r="L191" s="6" t="n"/>
      <c r="M191" s="8" t="n"/>
    </row>
    <row r="192">
      <c r="A192">
        <f>IF($D192="","", "APP"&amp;TEXT(ROW()-1,"0000"))</f>
        <v/>
      </c>
      <c r="B192" s="6" t="n"/>
      <c r="F192" s="8" t="n"/>
      <c r="H192" s="8" t="n"/>
      <c r="L192" s="6" t="n"/>
      <c r="M192" s="8" t="n"/>
    </row>
    <row r="193">
      <c r="A193">
        <f>IF($D193="","", "APP"&amp;TEXT(ROW()-1,"0000"))</f>
        <v/>
      </c>
      <c r="B193" s="6" t="n"/>
      <c r="F193" s="8" t="n"/>
      <c r="H193" s="8" t="n"/>
      <c r="L193" s="6" t="n"/>
      <c r="M193" s="8" t="n"/>
    </row>
    <row r="194">
      <c r="A194">
        <f>IF($D194="","", "APP"&amp;TEXT(ROW()-1,"0000"))</f>
        <v/>
      </c>
      <c r="B194" s="6" t="n"/>
      <c r="F194" s="8" t="n"/>
      <c r="H194" s="8" t="n"/>
      <c r="L194" s="6" t="n"/>
      <c r="M194" s="8" t="n"/>
    </row>
    <row r="195">
      <c r="A195">
        <f>IF($D195="","", "APP"&amp;TEXT(ROW()-1,"0000"))</f>
        <v/>
      </c>
      <c r="B195" s="6" t="n"/>
      <c r="F195" s="8" t="n"/>
      <c r="H195" s="8" t="n"/>
      <c r="L195" s="6" t="n"/>
      <c r="M195" s="8" t="n"/>
    </row>
    <row r="196">
      <c r="A196">
        <f>IF($D196="","", "APP"&amp;TEXT(ROW()-1,"0000"))</f>
        <v/>
      </c>
      <c r="B196" s="6" t="n"/>
      <c r="F196" s="8" t="n"/>
      <c r="H196" s="8" t="n"/>
      <c r="L196" s="6" t="n"/>
      <c r="M196" s="8" t="n"/>
    </row>
    <row r="197">
      <c r="A197">
        <f>IF($D197="","", "APP"&amp;TEXT(ROW()-1,"0000"))</f>
        <v/>
      </c>
      <c r="B197" s="6" t="n"/>
      <c r="F197" s="8" t="n"/>
      <c r="H197" s="8" t="n"/>
      <c r="L197" s="6" t="n"/>
      <c r="M197" s="8" t="n"/>
    </row>
    <row r="198">
      <c r="A198">
        <f>IF($D198="","", "APP"&amp;TEXT(ROW()-1,"0000"))</f>
        <v/>
      </c>
      <c r="B198" s="6" t="n"/>
      <c r="F198" s="8" t="n"/>
      <c r="H198" s="8" t="n"/>
      <c r="L198" s="6" t="n"/>
      <c r="M198" s="8" t="n"/>
    </row>
    <row r="199">
      <c r="A199">
        <f>IF($D199="","", "APP"&amp;TEXT(ROW()-1,"0000"))</f>
        <v/>
      </c>
      <c r="B199" s="6" t="n"/>
      <c r="F199" s="8" t="n"/>
      <c r="H199" s="8" t="n"/>
      <c r="L199" s="6" t="n"/>
      <c r="M199" s="8" t="n"/>
    </row>
    <row r="200">
      <c r="A200">
        <f>IF($D200="","", "APP"&amp;TEXT(ROW()-1,"0000"))</f>
        <v/>
      </c>
      <c r="B200" s="6" t="n"/>
      <c r="F200" s="8" t="n"/>
      <c r="H200" s="8" t="n"/>
      <c r="L200" s="6" t="n"/>
      <c r="M200" s="8" t="n"/>
    </row>
    <row r="201">
      <c r="A201">
        <f>IF($D201="","", "APP"&amp;TEXT(ROW()-1,"0000"))</f>
        <v/>
      </c>
      <c r="B201" s="6" t="n"/>
      <c r="F201" s="8" t="n"/>
      <c r="H201" s="8" t="n"/>
      <c r="L201" s="6" t="n"/>
      <c r="M201" s="8" t="n"/>
    </row>
    <row r="202">
      <c r="A202">
        <f>IF($D202="","", "APP"&amp;TEXT(ROW()-1,"0000"))</f>
        <v/>
      </c>
      <c r="B202" s="6" t="n"/>
      <c r="F202" s="8" t="n"/>
      <c r="H202" s="8" t="n"/>
      <c r="L202" s="6" t="n"/>
      <c r="M202" s="8" t="n"/>
    </row>
    <row r="203">
      <c r="A203">
        <f>IF($D203="","", "APP"&amp;TEXT(ROW()-1,"0000"))</f>
        <v/>
      </c>
      <c r="B203" s="6" t="n"/>
      <c r="F203" s="8" t="n"/>
      <c r="H203" s="8" t="n"/>
      <c r="L203" s="6" t="n"/>
      <c r="M203" s="8" t="n"/>
    </row>
    <row r="204">
      <c r="A204">
        <f>IF($D204="","", "APP"&amp;TEXT(ROW()-1,"0000"))</f>
        <v/>
      </c>
      <c r="B204" s="6" t="n"/>
      <c r="F204" s="8" t="n"/>
      <c r="H204" s="8" t="n"/>
      <c r="L204" s="6" t="n"/>
      <c r="M204" s="8" t="n"/>
    </row>
    <row r="205">
      <c r="A205">
        <f>IF($D205="","", "APP"&amp;TEXT(ROW()-1,"0000"))</f>
        <v/>
      </c>
      <c r="B205" s="6" t="n"/>
      <c r="F205" s="8" t="n"/>
      <c r="H205" s="8" t="n"/>
      <c r="L205" s="6" t="n"/>
      <c r="M205" s="8" t="n"/>
    </row>
    <row r="206">
      <c r="A206">
        <f>IF($D206="","", "APP"&amp;TEXT(ROW()-1,"0000"))</f>
        <v/>
      </c>
      <c r="B206" s="6" t="n"/>
      <c r="F206" s="8" t="n"/>
      <c r="H206" s="8" t="n"/>
      <c r="L206" s="6" t="n"/>
      <c r="M206" s="8" t="n"/>
    </row>
    <row r="207">
      <c r="A207">
        <f>IF($D207="","", "APP"&amp;TEXT(ROW()-1,"0000"))</f>
        <v/>
      </c>
      <c r="B207" s="6" t="n"/>
      <c r="F207" s="8" t="n"/>
      <c r="H207" s="8" t="n"/>
      <c r="L207" s="6" t="n"/>
      <c r="M207" s="8" t="n"/>
    </row>
    <row r="208">
      <c r="A208">
        <f>IF($D208="","", "APP"&amp;TEXT(ROW()-1,"0000"))</f>
        <v/>
      </c>
      <c r="B208" s="6" t="n"/>
      <c r="F208" s="8" t="n"/>
      <c r="H208" s="8" t="n"/>
      <c r="L208" s="6" t="n"/>
      <c r="M208" s="8" t="n"/>
    </row>
    <row r="209">
      <c r="A209">
        <f>IF($D209="","", "APP"&amp;TEXT(ROW()-1,"0000"))</f>
        <v/>
      </c>
      <c r="B209" s="6" t="n"/>
      <c r="F209" s="8" t="n"/>
      <c r="H209" s="8" t="n"/>
      <c r="L209" s="6" t="n"/>
      <c r="M209" s="8" t="n"/>
    </row>
    <row r="210">
      <c r="A210">
        <f>IF($D210="","", "APP"&amp;TEXT(ROW()-1,"0000"))</f>
        <v/>
      </c>
      <c r="B210" s="6" t="n"/>
      <c r="F210" s="8" t="n"/>
      <c r="H210" s="8" t="n"/>
      <c r="L210" s="6" t="n"/>
      <c r="M210" s="8" t="n"/>
    </row>
    <row r="211">
      <c r="A211">
        <f>IF($D211="","", "APP"&amp;TEXT(ROW()-1,"0000"))</f>
        <v/>
      </c>
      <c r="B211" s="6" t="n"/>
      <c r="F211" s="8" t="n"/>
      <c r="H211" s="8" t="n"/>
      <c r="L211" s="6" t="n"/>
      <c r="M211" s="8" t="n"/>
    </row>
    <row r="212">
      <c r="A212">
        <f>IF($D212="","", "APP"&amp;TEXT(ROW()-1,"0000"))</f>
        <v/>
      </c>
      <c r="B212" s="6" t="n"/>
      <c r="F212" s="8" t="n"/>
      <c r="H212" s="8" t="n"/>
      <c r="L212" s="6" t="n"/>
      <c r="M212" s="8" t="n"/>
    </row>
    <row r="213">
      <c r="A213">
        <f>IF($D213="","", "APP"&amp;TEXT(ROW()-1,"0000"))</f>
        <v/>
      </c>
      <c r="B213" s="6" t="n"/>
      <c r="F213" s="8" t="n"/>
      <c r="H213" s="8" t="n"/>
      <c r="L213" s="6" t="n"/>
      <c r="M213" s="8" t="n"/>
    </row>
    <row r="214">
      <c r="A214">
        <f>IF($D214="","", "APP"&amp;TEXT(ROW()-1,"0000"))</f>
        <v/>
      </c>
      <c r="B214" s="6" t="n"/>
      <c r="F214" s="8" t="n"/>
      <c r="H214" s="8" t="n"/>
      <c r="L214" s="6" t="n"/>
      <c r="M214" s="8" t="n"/>
    </row>
    <row r="215">
      <c r="A215">
        <f>IF($D215="","", "APP"&amp;TEXT(ROW()-1,"0000"))</f>
        <v/>
      </c>
      <c r="B215" s="6" t="n"/>
      <c r="F215" s="8" t="n"/>
      <c r="H215" s="8" t="n"/>
      <c r="L215" s="6" t="n"/>
      <c r="M215" s="8" t="n"/>
    </row>
    <row r="216">
      <c r="A216">
        <f>IF($D216="","", "APP"&amp;TEXT(ROW()-1,"0000"))</f>
        <v/>
      </c>
      <c r="B216" s="6" t="n"/>
      <c r="F216" s="8" t="n"/>
      <c r="H216" s="8" t="n"/>
      <c r="L216" s="6" t="n"/>
      <c r="M216" s="8" t="n"/>
    </row>
    <row r="217">
      <c r="A217">
        <f>IF($D217="","", "APP"&amp;TEXT(ROW()-1,"0000"))</f>
        <v/>
      </c>
      <c r="B217" s="6" t="n"/>
      <c r="F217" s="8" t="n"/>
      <c r="H217" s="8" t="n"/>
      <c r="L217" s="6" t="n"/>
      <c r="M217" s="8" t="n"/>
    </row>
    <row r="218">
      <c r="A218">
        <f>IF($D218="","", "APP"&amp;TEXT(ROW()-1,"0000"))</f>
        <v/>
      </c>
      <c r="B218" s="6" t="n"/>
      <c r="F218" s="8" t="n"/>
      <c r="H218" s="8" t="n"/>
      <c r="L218" s="6" t="n"/>
      <c r="M218" s="8" t="n"/>
    </row>
    <row r="219">
      <c r="A219">
        <f>IF($D219="","", "APP"&amp;TEXT(ROW()-1,"0000"))</f>
        <v/>
      </c>
      <c r="B219" s="6" t="n"/>
      <c r="F219" s="8" t="n"/>
      <c r="H219" s="8" t="n"/>
      <c r="L219" s="6" t="n"/>
      <c r="M219" s="8" t="n"/>
    </row>
    <row r="220">
      <c r="A220">
        <f>IF($D220="","", "APP"&amp;TEXT(ROW()-1,"0000"))</f>
        <v/>
      </c>
      <c r="B220" s="6" t="n"/>
      <c r="F220" s="8" t="n"/>
      <c r="H220" s="8" t="n"/>
      <c r="L220" s="6" t="n"/>
      <c r="M220" s="8" t="n"/>
    </row>
    <row r="221">
      <c r="A221">
        <f>IF($D221="","", "APP"&amp;TEXT(ROW()-1,"0000"))</f>
        <v/>
      </c>
      <c r="B221" s="6" t="n"/>
      <c r="F221" s="8" t="n"/>
      <c r="H221" s="8" t="n"/>
      <c r="L221" s="6" t="n"/>
      <c r="M221" s="8" t="n"/>
    </row>
    <row r="222">
      <c r="A222">
        <f>IF($D222="","", "APP"&amp;TEXT(ROW()-1,"0000"))</f>
        <v/>
      </c>
      <c r="B222" s="6" t="n"/>
      <c r="F222" s="8" t="n"/>
      <c r="H222" s="8" t="n"/>
      <c r="L222" s="6" t="n"/>
      <c r="M222" s="8" t="n"/>
    </row>
    <row r="223">
      <c r="A223">
        <f>IF($D223="","", "APP"&amp;TEXT(ROW()-1,"0000"))</f>
        <v/>
      </c>
      <c r="B223" s="6" t="n"/>
      <c r="F223" s="8" t="n"/>
      <c r="H223" s="8" t="n"/>
      <c r="L223" s="6" t="n"/>
      <c r="M223" s="8" t="n"/>
    </row>
    <row r="224">
      <c r="A224">
        <f>IF($D224="","", "APP"&amp;TEXT(ROW()-1,"0000"))</f>
        <v/>
      </c>
      <c r="B224" s="6" t="n"/>
      <c r="F224" s="8" t="n"/>
      <c r="H224" s="8" t="n"/>
      <c r="L224" s="6" t="n"/>
      <c r="M224" s="8" t="n"/>
    </row>
    <row r="225">
      <c r="A225">
        <f>IF($D225="","", "APP"&amp;TEXT(ROW()-1,"0000"))</f>
        <v/>
      </c>
      <c r="B225" s="6" t="n"/>
      <c r="F225" s="8" t="n"/>
      <c r="H225" s="8" t="n"/>
      <c r="L225" s="6" t="n"/>
      <c r="M225" s="8" t="n"/>
    </row>
    <row r="226">
      <c r="A226">
        <f>IF($D226="","", "APP"&amp;TEXT(ROW()-1,"0000"))</f>
        <v/>
      </c>
      <c r="B226" s="6" t="n"/>
      <c r="F226" s="8" t="n"/>
      <c r="H226" s="8" t="n"/>
      <c r="L226" s="6" t="n"/>
      <c r="M226" s="8" t="n"/>
    </row>
    <row r="227">
      <c r="A227">
        <f>IF($D227="","", "APP"&amp;TEXT(ROW()-1,"0000"))</f>
        <v/>
      </c>
      <c r="B227" s="6" t="n"/>
      <c r="F227" s="8" t="n"/>
      <c r="H227" s="8" t="n"/>
      <c r="L227" s="6" t="n"/>
      <c r="M227" s="8" t="n"/>
    </row>
    <row r="228">
      <c r="A228">
        <f>IF($D228="","", "APP"&amp;TEXT(ROW()-1,"0000"))</f>
        <v/>
      </c>
      <c r="B228" s="6" t="n"/>
      <c r="F228" s="8" t="n"/>
      <c r="H228" s="8" t="n"/>
      <c r="L228" s="6" t="n"/>
      <c r="M228" s="8" t="n"/>
    </row>
    <row r="229">
      <c r="A229">
        <f>IF($D229="","", "APP"&amp;TEXT(ROW()-1,"0000"))</f>
        <v/>
      </c>
      <c r="B229" s="6" t="n"/>
      <c r="F229" s="8" t="n"/>
      <c r="H229" s="8" t="n"/>
      <c r="L229" s="6" t="n"/>
      <c r="M229" s="8" t="n"/>
    </row>
    <row r="230">
      <c r="A230">
        <f>IF($D230="","", "APP"&amp;TEXT(ROW()-1,"0000"))</f>
        <v/>
      </c>
      <c r="B230" s="6" t="n"/>
      <c r="F230" s="8" t="n"/>
      <c r="H230" s="8" t="n"/>
      <c r="L230" s="6" t="n"/>
      <c r="M230" s="8" t="n"/>
    </row>
    <row r="231">
      <c r="A231">
        <f>IF($D231="","", "APP"&amp;TEXT(ROW()-1,"0000"))</f>
        <v/>
      </c>
      <c r="B231" s="6" t="n"/>
      <c r="F231" s="8" t="n"/>
      <c r="H231" s="8" t="n"/>
      <c r="L231" s="6" t="n"/>
      <c r="M231" s="8" t="n"/>
    </row>
    <row r="232">
      <c r="A232">
        <f>IF($D232="","", "APP"&amp;TEXT(ROW()-1,"0000"))</f>
        <v/>
      </c>
      <c r="B232" s="6" t="n"/>
      <c r="F232" s="8" t="n"/>
      <c r="H232" s="8" t="n"/>
      <c r="L232" s="6" t="n"/>
      <c r="M232" s="8" t="n"/>
    </row>
    <row r="233">
      <c r="A233">
        <f>IF($D233="","", "APP"&amp;TEXT(ROW()-1,"0000"))</f>
        <v/>
      </c>
      <c r="B233" s="6" t="n"/>
      <c r="F233" s="8" t="n"/>
      <c r="H233" s="8" t="n"/>
      <c r="L233" s="6" t="n"/>
      <c r="M233" s="8" t="n"/>
    </row>
    <row r="234">
      <c r="A234">
        <f>IF($D234="","", "APP"&amp;TEXT(ROW()-1,"0000"))</f>
        <v/>
      </c>
      <c r="B234" s="6" t="n"/>
      <c r="F234" s="8" t="n"/>
      <c r="H234" s="8" t="n"/>
      <c r="L234" s="6" t="n"/>
      <c r="M234" s="8" t="n"/>
    </row>
    <row r="235">
      <c r="A235">
        <f>IF($D235="","", "APP"&amp;TEXT(ROW()-1,"0000"))</f>
        <v/>
      </c>
      <c r="B235" s="6" t="n"/>
      <c r="F235" s="8" t="n"/>
      <c r="H235" s="8" t="n"/>
      <c r="L235" s="6" t="n"/>
      <c r="M235" s="8" t="n"/>
    </row>
    <row r="236">
      <c r="A236">
        <f>IF($D236="","", "APP"&amp;TEXT(ROW()-1,"0000"))</f>
        <v/>
      </c>
      <c r="B236" s="6" t="n"/>
      <c r="F236" s="8" t="n"/>
      <c r="H236" s="8" t="n"/>
      <c r="L236" s="6" t="n"/>
      <c r="M236" s="8" t="n"/>
    </row>
    <row r="237">
      <c r="A237">
        <f>IF($D237="","", "APP"&amp;TEXT(ROW()-1,"0000"))</f>
        <v/>
      </c>
      <c r="B237" s="6" t="n"/>
      <c r="F237" s="8" t="n"/>
      <c r="H237" s="8" t="n"/>
      <c r="L237" s="6" t="n"/>
      <c r="M237" s="8" t="n"/>
    </row>
    <row r="238">
      <c r="A238">
        <f>IF($D238="","", "APP"&amp;TEXT(ROW()-1,"0000"))</f>
        <v/>
      </c>
      <c r="B238" s="6" t="n"/>
      <c r="F238" s="8" t="n"/>
      <c r="H238" s="8" t="n"/>
      <c r="L238" s="6" t="n"/>
      <c r="M238" s="8" t="n"/>
    </row>
    <row r="239">
      <c r="A239">
        <f>IF($D239="","", "APP"&amp;TEXT(ROW()-1,"0000"))</f>
        <v/>
      </c>
      <c r="B239" s="6" t="n"/>
      <c r="F239" s="8" t="n"/>
      <c r="H239" s="8" t="n"/>
      <c r="L239" s="6" t="n"/>
      <c r="M239" s="8" t="n"/>
    </row>
    <row r="240">
      <c r="A240">
        <f>IF($D240="","", "APP"&amp;TEXT(ROW()-1,"0000"))</f>
        <v/>
      </c>
      <c r="B240" s="6" t="n"/>
      <c r="F240" s="8" t="n"/>
      <c r="H240" s="8" t="n"/>
      <c r="L240" s="6" t="n"/>
      <c r="M240" s="8" t="n"/>
    </row>
    <row r="241">
      <c r="A241">
        <f>IF($D241="","", "APP"&amp;TEXT(ROW()-1,"0000"))</f>
        <v/>
      </c>
      <c r="B241" s="6" t="n"/>
      <c r="F241" s="8" t="n"/>
      <c r="H241" s="8" t="n"/>
      <c r="L241" s="6" t="n"/>
      <c r="M241" s="8" t="n"/>
    </row>
    <row r="242">
      <c r="A242">
        <f>IF($D242="","", "APP"&amp;TEXT(ROW()-1,"0000"))</f>
        <v/>
      </c>
      <c r="B242" s="6" t="n"/>
      <c r="F242" s="8" t="n"/>
      <c r="H242" s="8" t="n"/>
      <c r="L242" s="6" t="n"/>
      <c r="M242" s="8" t="n"/>
    </row>
    <row r="243">
      <c r="A243">
        <f>IF($D243="","", "APP"&amp;TEXT(ROW()-1,"0000"))</f>
        <v/>
      </c>
      <c r="B243" s="6" t="n"/>
      <c r="F243" s="8" t="n"/>
      <c r="H243" s="8" t="n"/>
      <c r="L243" s="6" t="n"/>
      <c r="M243" s="8" t="n"/>
    </row>
    <row r="244">
      <c r="A244">
        <f>IF($D244="","", "APP"&amp;TEXT(ROW()-1,"0000"))</f>
        <v/>
      </c>
      <c r="B244" s="6" t="n"/>
      <c r="F244" s="8" t="n"/>
      <c r="H244" s="8" t="n"/>
      <c r="L244" s="6" t="n"/>
      <c r="M244" s="8" t="n"/>
    </row>
    <row r="245">
      <c r="A245">
        <f>IF($D245="","", "APP"&amp;TEXT(ROW()-1,"0000"))</f>
        <v/>
      </c>
      <c r="B245" s="6" t="n"/>
      <c r="F245" s="8" t="n"/>
      <c r="H245" s="8" t="n"/>
      <c r="L245" s="6" t="n"/>
      <c r="M245" s="8" t="n"/>
    </row>
    <row r="246">
      <c r="A246">
        <f>IF($D246="","", "APP"&amp;TEXT(ROW()-1,"0000"))</f>
        <v/>
      </c>
      <c r="B246" s="6" t="n"/>
      <c r="F246" s="8" t="n"/>
      <c r="H246" s="8" t="n"/>
      <c r="L246" s="6" t="n"/>
      <c r="M246" s="8" t="n"/>
    </row>
    <row r="247">
      <c r="A247">
        <f>IF($D247="","", "APP"&amp;TEXT(ROW()-1,"0000"))</f>
        <v/>
      </c>
      <c r="B247" s="6" t="n"/>
      <c r="F247" s="8" t="n"/>
      <c r="H247" s="8" t="n"/>
      <c r="L247" s="6" t="n"/>
      <c r="M247" s="8" t="n"/>
    </row>
    <row r="248">
      <c r="A248">
        <f>IF($D248="","", "APP"&amp;TEXT(ROW()-1,"0000"))</f>
        <v/>
      </c>
      <c r="B248" s="6" t="n"/>
      <c r="F248" s="8" t="n"/>
      <c r="H248" s="8" t="n"/>
      <c r="L248" s="6" t="n"/>
      <c r="M248" s="8" t="n"/>
    </row>
    <row r="249">
      <c r="A249">
        <f>IF($D249="","", "APP"&amp;TEXT(ROW()-1,"0000"))</f>
        <v/>
      </c>
      <c r="B249" s="6" t="n"/>
      <c r="F249" s="8" t="n"/>
      <c r="H249" s="8" t="n"/>
      <c r="L249" s="6" t="n"/>
      <c r="M249" s="8" t="n"/>
    </row>
    <row r="250">
      <c r="A250">
        <f>IF($D250="","", "APP"&amp;TEXT(ROW()-1,"0000"))</f>
        <v/>
      </c>
      <c r="B250" s="6" t="n"/>
      <c r="F250" s="8" t="n"/>
      <c r="H250" s="8" t="n"/>
      <c r="L250" s="6" t="n"/>
      <c r="M250" s="8" t="n"/>
    </row>
    <row r="251">
      <c r="A251">
        <f>IF($D251="","", "APP"&amp;TEXT(ROW()-1,"0000"))</f>
        <v/>
      </c>
      <c r="B251" s="6" t="n"/>
      <c r="F251" s="8" t="n"/>
      <c r="H251" s="8" t="n"/>
      <c r="L251" s="6" t="n"/>
      <c r="M251" s="8" t="n"/>
    </row>
    <row r="252">
      <c r="A252">
        <f>IF($D252="","", "APP"&amp;TEXT(ROW()-1,"0000"))</f>
        <v/>
      </c>
      <c r="B252" s="6" t="n"/>
      <c r="F252" s="8" t="n"/>
      <c r="H252" s="8" t="n"/>
      <c r="L252" s="6" t="n"/>
      <c r="M252" s="8" t="n"/>
    </row>
    <row r="253">
      <c r="A253">
        <f>IF($D253="","", "APP"&amp;TEXT(ROW()-1,"0000"))</f>
        <v/>
      </c>
      <c r="B253" s="6" t="n"/>
      <c r="F253" s="8" t="n"/>
      <c r="H253" s="8" t="n"/>
      <c r="L253" s="6" t="n"/>
      <c r="M253" s="8" t="n"/>
    </row>
    <row r="254">
      <c r="A254">
        <f>IF($D254="","", "APP"&amp;TEXT(ROW()-1,"0000"))</f>
        <v/>
      </c>
      <c r="B254" s="6" t="n"/>
      <c r="F254" s="8" t="n"/>
      <c r="H254" s="8" t="n"/>
      <c r="L254" s="6" t="n"/>
      <c r="M254" s="8" t="n"/>
    </row>
    <row r="255">
      <c r="A255">
        <f>IF($D255="","", "APP"&amp;TEXT(ROW()-1,"0000"))</f>
        <v/>
      </c>
      <c r="B255" s="6" t="n"/>
      <c r="F255" s="8" t="n"/>
      <c r="H255" s="8" t="n"/>
      <c r="L255" s="6" t="n"/>
      <c r="M255" s="8" t="n"/>
    </row>
    <row r="256">
      <c r="A256">
        <f>IF($D256="","", "APP"&amp;TEXT(ROW()-1,"0000"))</f>
        <v/>
      </c>
      <c r="B256" s="6" t="n"/>
      <c r="F256" s="8" t="n"/>
      <c r="H256" s="8" t="n"/>
      <c r="L256" s="6" t="n"/>
      <c r="M256" s="8" t="n"/>
    </row>
    <row r="257">
      <c r="A257">
        <f>IF($D257="","", "APP"&amp;TEXT(ROW()-1,"0000"))</f>
        <v/>
      </c>
      <c r="B257" s="6" t="n"/>
      <c r="F257" s="8" t="n"/>
      <c r="H257" s="8" t="n"/>
      <c r="L257" s="6" t="n"/>
      <c r="M257" s="8" t="n"/>
    </row>
    <row r="258">
      <c r="A258">
        <f>IF($D258="","", "APP"&amp;TEXT(ROW()-1,"0000"))</f>
        <v/>
      </c>
      <c r="B258" s="6" t="n"/>
      <c r="F258" s="8" t="n"/>
      <c r="H258" s="8" t="n"/>
      <c r="L258" s="6" t="n"/>
      <c r="M258" s="8" t="n"/>
    </row>
    <row r="259">
      <c r="A259">
        <f>IF($D259="","", "APP"&amp;TEXT(ROW()-1,"0000"))</f>
        <v/>
      </c>
      <c r="B259" s="6" t="n"/>
      <c r="F259" s="8" t="n"/>
      <c r="H259" s="8" t="n"/>
      <c r="L259" s="6" t="n"/>
      <c r="M259" s="8" t="n"/>
    </row>
    <row r="260">
      <c r="A260">
        <f>IF($D260="","", "APP"&amp;TEXT(ROW()-1,"0000"))</f>
        <v/>
      </c>
      <c r="B260" s="6" t="n"/>
      <c r="F260" s="8" t="n"/>
      <c r="H260" s="8" t="n"/>
      <c r="L260" s="6" t="n"/>
      <c r="M260" s="8" t="n"/>
    </row>
    <row r="261">
      <c r="A261">
        <f>IF($D261="","", "APP"&amp;TEXT(ROW()-1,"0000"))</f>
        <v/>
      </c>
      <c r="B261" s="6" t="n"/>
      <c r="F261" s="8" t="n"/>
      <c r="H261" s="8" t="n"/>
      <c r="L261" s="6" t="n"/>
      <c r="M261" s="8" t="n"/>
    </row>
    <row r="262">
      <c r="A262">
        <f>IF($D262="","", "APP"&amp;TEXT(ROW()-1,"0000"))</f>
        <v/>
      </c>
      <c r="B262" s="6" t="n"/>
      <c r="F262" s="8" t="n"/>
      <c r="H262" s="8" t="n"/>
      <c r="L262" s="6" t="n"/>
      <c r="M262" s="8" t="n"/>
    </row>
    <row r="263">
      <c r="A263">
        <f>IF($D263="","", "APP"&amp;TEXT(ROW()-1,"0000"))</f>
        <v/>
      </c>
      <c r="B263" s="6" t="n"/>
      <c r="F263" s="8" t="n"/>
      <c r="H263" s="8" t="n"/>
      <c r="L263" s="6" t="n"/>
      <c r="M263" s="8" t="n"/>
    </row>
    <row r="264">
      <c r="A264">
        <f>IF($D264="","", "APP"&amp;TEXT(ROW()-1,"0000"))</f>
        <v/>
      </c>
      <c r="B264" s="6" t="n"/>
      <c r="F264" s="8" t="n"/>
      <c r="H264" s="8" t="n"/>
      <c r="L264" s="6" t="n"/>
      <c r="M264" s="8" t="n"/>
    </row>
    <row r="265">
      <c r="A265">
        <f>IF($D265="","", "APP"&amp;TEXT(ROW()-1,"0000"))</f>
        <v/>
      </c>
      <c r="B265" s="6" t="n"/>
      <c r="F265" s="8" t="n"/>
      <c r="H265" s="8" t="n"/>
      <c r="L265" s="6" t="n"/>
      <c r="M265" s="8" t="n"/>
    </row>
    <row r="266">
      <c r="A266">
        <f>IF($D266="","", "APP"&amp;TEXT(ROW()-1,"0000"))</f>
        <v/>
      </c>
      <c r="B266" s="6" t="n"/>
      <c r="F266" s="8" t="n"/>
      <c r="H266" s="8" t="n"/>
      <c r="L266" s="6" t="n"/>
      <c r="M266" s="8" t="n"/>
    </row>
    <row r="267">
      <c r="A267">
        <f>IF($D267="","", "APP"&amp;TEXT(ROW()-1,"0000"))</f>
        <v/>
      </c>
      <c r="B267" s="6" t="n"/>
      <c r="F267" s="8" t="n"/>
      <c r="H267" s="8" t="n"/>
      <c r="L267" s="6" t="n"/>
      <c r="M267" s="8" t="n"/>
    </row>
    <row r="268">
      <c r="A268">
        <f>IF($D268="","", "APP"&amp;TEXT(ROW()-1,"0000"))</f>
        <v/>
      </c>
      <c r="B268" s="6" t="n"/>
      <c r="F268" s="8" t="n"/>
      <c r="H268" s="8" t="n"/>
      <c r="L268" s="6" t="n"/>
      <c r="M268" s="8" t="n"/>
    </row>
    <row r="269">
      <c r="A269">
        <f>IF($D269="","", "APP"&amp;TEXT(ROW()-1,"0000"))</f>
        <v/>
      </c>
      <c r="B269" s="6" t="n"/>
      <c r="F269" s="8" t="n"/>
      <c r="H269" s="8" t="n"/>
      <c r="L269" s="6" t="n"/>
      <c r="M269" s="8" t="n"/>
    </row>
    <row r="270">
      <c r="A270">
        <f>IF($D270="","", "APP"&amp;TEXT(ROW()-1,"0000"))</f>
        <v/>
      </c>
      <c r="B270" s="6" t="n"/>
      <c r="F270" s="8" t="n"/>
      <c r="H270" s="8" t="n"/>
      <c r="L270" s="6" t="n"/>
      <c r="M270" s="8" t="n"/>
    </row>
    <row r="271">
      <c r="A271">
        <f>IF($D271="","", "APP"&amp;TEXT(ROW()-1,"0000"))</f>
        <v/>
      </c>
      <c r="B271" s="6" t="n"/>
      <c r="F271" s="8" t="n"/>
      <c r="H271" s="8" t="n"/>
      <c r="L271" s="6" t="n"/>
      <c r="M271" s="8" t="n"/>
    </row>
    <row r="272">
      <c r="A272">
        <f>IF($D272="","", "APP"&amp;TEXT(ROW()-1,"0000"))</f>
        <v/>
      </c>
      <c r="B272" s="6" t="n"/>
      <c r="F272" s="8" t="n"/>
      <c r="H272" s="8" t="n"/>
      <c r="L272" s="6" t="n"/>
      <c r="M272" s="8" t="n"/>
    </row>
    <row r="273">
      <c r="A273">
        <f>IF($D273="","", "APP"&amp;TEXT(ROW()-1,"0000"))</f>
        <v/>
      </c>
      <c r="B273" s="6" t="n"/>
      <c r="F273" s="8" t="n"/>
      <c r="H273" s="8" t="n"/>
      <c r="L273" s="6" t="n"/>
      <c r="M273" s="8" t="n"/>
    </row>
    <row r="274">
      <c r="A274">
        <f>IF($D274="","", "APP"&amp;TEXT(ROW()-1,"0000"))</f>
        <v/>
      </c>
      <c r="B274" s="6" t="n"/>
      <c r="F274" s="8" t="n"/>
      <c r="H274" s="8" t="n"/>
      <c r="L274" s="6" t="n"/>
      <c r="M274" s="8" t="n"/>
    </row>
    <row r="275">
      <c r="A275">
        <f>IF($D275="","", "APP"&amp;TEXT(ROW()-1,"0000"))</f>
        <v/>
      </c>
      <c r="B275" s="6" t="n"/>
      <c r="F275" s="8" t="n"/>
      <c r="H275" s="8" t="n"/>
      <c r="L275" s="6" t="n"/>
      <c r="M275" s="8" t="n"/>
    </row>
    <row r="276">
      <c r="A276">
        <f>IF($D276="","", "APP"&amp;TEXT(ROW()-1,"0000"))</f>
        <v/>
      </c>
      <c r="B276" s="6" t="n"/>
      <c r="F276" s="8" t="n"/>
      <c r="H276" s="8" t="n"/>
      <c r="L276" s="6" t="n"/>
      <c r="M276" s="8" t="n"/>
    </row>
    <row r="277">
      <c r="A277">
        <f>IF($D277="","", "APP"&amp;TEXT(ROW()-1,"0000"))</f>
        <v/>
      </c>
      <c r="B277" s="6" t="n"/>
      <c r="F277" s="8" t="n"/>
      <c r="H277" s="8" t="n"/>
      <c r="L277" s="6" t="n"/>
      <c r="M277" s="8" t="n"/>
    </row>
    <row r="278">
      <c r="A278">
        <f>IF($D278="","", "APP"&amp;TEXT(ROW()-1,"0000"))</f>
        <v/>
      </c>
      <c r="B278" s="6" t="n"/>
      <c r="F278" s="8" t="n"/>
      <c r="H278" s="8" t="n"/>
      <c r="L278" s="6" t="n"/>
      <c r="M278" s="8" t="n"/>
    </row>
    <row r="279">
      <c r="A279">
        <f>IF($D279="","", "APP"&amp;TEXT(ROW()-1,"0000"))</f>
        <v/>
      </c>
      <c r="B279" s="6" t="n"/>
      <c r="F279" s="8" t="n"/>
      <c r="H279" s="8" t="n"/>
      <c r="L279" s="6" t="n"/>
      <c r="M279" s="8" t="n"/>
    </row>
    <row r="280">
      <c r="A280">
        <f>IF($D280="","", "APP"&amp;TEXT(ROW()-1,"0000"))</f>
        <v/>
      </c>
      <c r="B280" s="6" t="n"/>
      <c r="F280" s="8" t="n"/>
      <c r="H280" s="8" t="n"/>
      <c r="L280" s="6" t="n"/>
      <c r="M280" s="8" t="n"/>
    </row>
    <row r="281">
      <c r="A281">
        <f>IF($D281="","", "APP"&amp;TEXT(ROW()-1,"0000"))</f>
        <v/>
      </c>
      <c r="B281" s="6" t="n"/>
      <c r="F281" s="8" t="n"/>
      <c r="H281" s="8" t="n"/>
      <c r="L281" s="6" t="n"/>
      <c r="M281" s="8" t="n"/>
    </row>
    <row r="282">
      <c r="A282">
        <f>IF($D282="","", "APP"&amp;TEXT(ROW()-1,"0000"))</f>
        <v/>
      </c>
      <c r="B282" s="6" t="n"/>
      <c r="F282" s="8" t="n"/>
      <c r="H282" s="8" t="n"/>
      <c r="L282" s="6" t="n"/>
      <c r="M282" s="8" t="n"/>
    </row>
    <row r="283">
      <c r="A283">
        <f>IF($D283="","", "APP"&amp;TEXT(ROW()-1,"0000"))</f>
        <v/>
      </c>
      <c r="B283" s="6" t="n"/>
      <c r="F283" s="8" t="n"/>
      <c r="H283" s="8" t="n"/>
      <c r="L283" s="6" t="n"/>
      <c r="M283" s="8" t="n"/>
    </row>
    <row r="284">
      <c r="A284">
        <f>IF($D284="","", "APP"&amp;TEXT(ROW()-1,"0000"))</f>
        <v/>
      </c>
      <c r="B284" s="6" t="n"/>
      <c r="F284" s="8" t="n"/>
      <c r="H284" s="8" t="n"/>
      <c r="L284" s="6" t="n"/>
      <c r="M284" s="8" t="n"/>
    </row>
    <row r="285">
      <c r="A285">
        <f>IF($D285="","", "APP"&amp;TEXT(ROW()-1,"0000"))</f>
        <v/>
      </c>
      <c r="B285" s="6" t="n"/>
      <c r="F285" s="8" t="n"/>
      <c r="H285" s="8" t="n"/>
      <c r="L285" s="6" t="n"/>
      <c r="M285" s="8" t="n"/>
    </row>
    <row r="286">
      <c r="A286">
        <f>IF($D286="","", "APP"&amp;TEXT(ROW()-1,"0000"))</f>
        <v/>
      </c>
      <c r="B286" s="6" t="n"/>
      <c r="F286" s="8" t="n"/>
      <c r="H286" s="8" t="n"/>
      <c r="L286" s="6" t="n"/>
      <c r="M286" s="8" t="n"/>
    </row>
    <row r="287">
      <c r="A287">
        <f>IF($D287="","", "APP"&amp;TEXT(ROW()-1,"0000"))</f>
        <v/>
      </c>
      <c r="B287" s="6" t="n"/>
      <c r="F287" s="8" t="n"/>
      <c r="H287" s="8" t="n"/>
      <c r="L287" s="6" t="n"/>
      <c r="M287" s="8" t="n"/>
    </row>
    <row r="288">
      <c r="A288">
        <f>IF($D288="","", "APP"&amp;TEXT(ROW()-1,"0000"))</f>
        <v/>
      </c>
      <c r="B288" s="6" t="n"/>
      <c r="F288" s="8" t="n"/>
      <c r="H288" s="8" t="n"/>
      <c r="L288" s="6" t="n"/>
      <c r="M288" s="8" t="n"/>
    </row>
    <row r="289">
      <c r="A289">
        <f>IF($D289="","", "APP"&amp;TEXT(ROW()-1,"0000"))</f>
        <v/>
      </c>
      <c r="B289" s="6" t="n"/>
      <c r="F289" s="8" t="n"/>
      <c r="H289" s="8" t="n"/>
      <c r="L289" s="6" t="n"/>
      <c r="M289" s="8" t="n"/>
    </row>
    <row r="290">
      <c r="A290">
        <f>IF($D290="","", "APP"&amp;TEXT(ROW()-1,"0000"))</f>
        <v/>
      </c>
      <c r="B290" s="6" t="n"/>
      <c r="F290" s="8" t="n"/>
      <c r="H290" s="8" t="n"/>
      <c r="L290" s="6" t="n"/>
      <c r="M290" s="8" t="n"/>
    </row>
    <row r="291">
      <c r="A291">
        <f>IF($D291="","", "APP"&amp;TEXT(ROW()-1,"0000"))</f>
        <v/>
      </c>
      <c r="B291" s="6" t="n"/>
      <c r="F291" s="8" t="n"/>
      <c r="H291" s="8" t="n"/>
      <c r="L291" s="6" t="n"/>
      <c r="M291" s="8" t="n"/>
    </row>
    <row r="292">
      <c r="A292">
        <f>IF($D292="","", "APP"&amp;TEXT(ROW()-1,"0000"))</f>
        <v/>
      </c>
      <c r="B292" s="6" t="n"/>
      <c r="F292" s="8" t="n"/>
      <c r="H292" s="8" t="n"/>
      <c r="L292" s="6" t="n"/>
      <c r="M292" s="8" t="n"/>
    </row>
    <row r="293">
      <c r="A293">
        <f>IF($D293="","", "APP"&amp;TEXT(ROW()-1,"0000"))</f>
        <v/>
      </c>
      <c r="B293" s="6" t="n"/>
      <c r="F293" s="8" t="n"/>
      <c r="H293" s="8" t="n"/>
      <c r="L293" s="6" t="n"/>
      <c r="M293" s="8" t="n"/>
    </row>
    <row r="294">
      <c r="A294">
        <f>IF($D294="","", "APP"&amp;TEXT(ROW()-1,"0000"))</f>
        <v/>
      </c>
      <c r="B294" s="6" t="n"/>
      <c r="F294" s="8" t="n"/>
      <c r="H294" s="8" t="n"/>
      <c r="L294" s="6" t="n"/>
      <c r="M294" s="8" t="n"/>
    </row>
    <row r="295">
      <c r="A295">
        <f>IF($D295="","", "APP"&amp;TEXT(ROW()-1,"0000"))</f>
        <v/>
      </c>
      <c r="B295" s="6" t="n"/>
      <c r="F295" s="8" t="n"/>
      <c r="H295" s="8" t="n"/>
      <c r="L295" s="6" t="n"/>
      <c r="M295" s="8" t="n"/>
    </row>
    <row r="296">
      <c r="A296">
        <f>IF($D296="","", "APP"&amp;TEXT(ROW()-1,"0000"))</f>
        <v/>
      </c>
      <c r="B296" s="6" t="n"/>
      <c r="F296" s="8" t="n"/>
      <c r="H296" s="8" t="n"/>
      <c r="L296" s="6" t="n"/>
      <c r="M296" s="8" t="n"/>
    </row>
    <row r="297">
      <c r="A297">
        <f>IF($D297="","", "APP"&amp;TEXT(ROW()-1,"0000"))</f>
        <v/>
      </c>
      <c r="B297" s="6" t="n"/>
      <c r="F297" s="8" t="n"/>
      <c r="H297" s="8" t="n"/>
      <c r="L297" s="6" t="n"/>
      <c r="M297" s="8" t="n"/>
    </row>
    <row r="298">
      <c r="A298">
        <f>IF($D298="","", "APP"&amp;TEXT(ROW()-1,"0000"))</f>
        <v/>
      </c>
      <c r="B298" s="6" t="n"/>
      <c r="F298" s="8" t="n"/>
      <c r="H298" s="8" t="n"/>
      <c r="L298" s="6" t="n"/>
      <c r="M298" s="8" t="n"/>
    </row>
    <row r="299">
      <c r="A299">
        <f>IF($D299="","", "APP"&amp;TEXT(ROW()-1,"0000"))</f>
        <v/>
      </c>
      <c r="B299" s="6" t="n"/>
      <c r="F299" s="8" t="n"/>
      <c r="H299" s="8" t="n"/>
      <c r="L299" s="6" t="n"/>
      <c r="M299" s="8" t="n"/>
    </row>
    <row r="300">
      <c r="A300">
        <f>IF($D300="","", "APP"&amp;TEXT(ROW()-1,"0000"))</f>
        <v/>
      </c>
      <c r="B300" s="6" t="n"/>
      <c r="F300" s="8" t="n"/>
      <c r="H300" s="8" t="n"/>
      <c r="L300" s="6" t="n"/>
      <c r="M300" s="8" t="n"/>
    </row>
    <row r="301">
      <c r="A301">
        <f>IF($D301="","", "APP"&amp;TEXT(ROW()-1,"0000"))</f>
        <v/>
      </c>
      <c r="B301" s="6" t="n"/>
      <c r="F301" s="8" t="n"/>
      <c r="H301" s="8" t="n"/>
      <c r="L301" s="6" t="n"/>
      <c r="M301" s="8" t="n"/>
    </row>
  </sheetData>
  <dataValidations count="6">
    <dataValidation sqref="C2:C301" showDropDown="0" showInputMessage="0" showErrorMessage="0" allowBlank="1" type="list">
      <formula1>"Customer,Group"</formula1>
    </dataValidation>
    <dataValidation sqref="E2:E301" showDropDown="0" showInputMessage="0" showErrorMessage="0" allowBlank="1" type="list">
      <formula1>=Products</formula1>
    </dataValidation>
    <dataValidation sqref="I2:I301" showDropDown="0" showInputMessage="0" showErrorMessage="0" allowBlank="1" type="list">
      <formula1>=StaffNames</formula1>
    </dataValidation>
    <dataValidation sqref="J2:J301" showDropDown="0" showInputMessage="0" showErrorMessage="0" allowBlank="1" type="list">
      <formula1>=RiskGrades</formula1>
    </dataValidation>
    <dataValidation sqref="K2:K301" showDropDown="0" showInputMessage="0" showErrorMessage="0" allowBlank="1" type="list">
      <formula1>=ApplicationStatuses</formula1>
    </dataValidation>
    <dataValidation sqref="N2:N301" showDropDown="0" showInputMessage="0" showErrorMessage="0" allowBlank="1" type="list">
      <formula1>=StaffNames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8" customWidth="1" min="4" max="4"/>
    <col width="12" customWidth="1" min="5" max="5"/>
    <col width="8" customWidth="1" min="6" max="6"/>
    <col width="16" customWidth="1" min="7" max="7"/>
    <col width="14" customWidth="1" min="8" max="8"/>
    <col width="14" customWidth="1" min="9" max="9"/>
    <col width="14" customWidth="1" min="10" max="10"/>
    <col width="16" customWidth="1" min="11" max="11"/>
    <col width="12" customWidth="1" min="12" max="12"/>
    <col width="14" customWidth="1" min="13" max="13"/>
    <col width="16" customWidth="1" min="14" max="14"/>
    <col width="16" customWidth="1" min="15" max="15"/>
    <col width="18" customWidth="1" min="16" max="16"/>
    <col width="14" customWidth="1" min="17" max="17"/>
    <col width="12" customWidth="1" min="18" max="18"/>
    <col width="18" customWidth="1" min="19" max="19"/>
  </cols>
  <sheetData>
    <row r="1" ht="28" customHeight="1">
      <c r="A1" s="3" t="inlineStr">
        <is>
          <t>Loan ID</t>
        </is>
      </c>
      <c r="B1" s="3" t="inlineStr">
        <is>
          <t>Application ID</t>
        </is>
      </c>
      <c r="C1" s="3" t="inlineStr">
        <is>
          <t>Client/Group ID</t>
        </is>
      </c>
      <c r="D1" s="3" t="inlineStr">
        <is>
          <t>Product</t>
        </is>
      </c>
      <c r="E1" s="3" t="inlineStr">
        <is>
          <t>Loan Type</t>
        </is>
      </c>
      <c r="F1" s="3" t="inlineStr">
        <is>
          <t>Cycle</t>
        </is>
      </c>
      <c r="G1" s="3" t="inlineStr">
        <is>
          <t>Principal Amount</t>
        </is>
      </c>
      <c r="H1" s="3" t="inlineStr">
        <is>
          <t>Interest Method</t>
        </is>
      </c>
      <c r="I1" s="3" t="inlineStr">
        <is>
          <t>Interest Rate (%)</t>
        </is>
      </c>
      <c r="J1" s="3" t="inlineStr">
        <is>
          <t>Processing Fee</t>
        </is>
      </c>
      <c r="K1" s="3" t="inlineStr">
        <is>
          <t>Disbursement Date</t>
        </is>
      </c>
      <c r="L1" s="3" t="inlineStr">
        <is>
          <t>Tenor (Weeks)</t>
        </is>
      </c>
      <c r="M1" s="3" t="inlineStr">
        <is>
          <t>First Due Date</t>
        </is>
      </c>
      <c r="N1" s="3" t="inlineStr">
        <is>
          <t>Installment Amount</t>
        </is>
      </c>
      <c r="O1" s="3" t="inlineStr">
        <is>
          <t>Total Repayment</t>
        </is>
      </c>
      <c r="P1" s="3" t="inlineStr">
        <is>
          <t>Outstanding Balance</t>
        </is>
      </c>
      <c r="Q1" s="3" t="inlineStr">
        <is>
          <t>Next Due Date</t>
        </is>
      </c>
      <c r="R1" s="3" t="inlineStr">
        <is>
          <t>Status</t>
        </is>
      </c>
      <c r="S1" s="3" t="inlineStr">
        <is>
          <t>Loan Officer</t>
        </is>
      </c>
    </row>
    <row r="2">
      <c r="A2" s="4">
        <f>IF($B2="","", "L"&amp;TEXT(ROW()-1,"0000"))</f>
        <v/>
      </c>
      <c r="B2" s="4" t="n"/>
      <c r="C2" s="4" t="n"/>
      <c r="D2" s="4" t="n"/>
      <c r="E2" s="4" t="n"/>
      <c r="F2" s="4" t="n"/>
      <c r="G2" s="7" t="n"/>
      <c r="H2" s="4" t="n"/>
      <c r="I2" s="9" t="n"/>
      <c r="J2" s="7" t="n"/>
      <c r="K2" s="5" t="n"/>
      <c r="L2" s="4" t="n"/>
      <c r="M2" s="5">
        <f>IF($K2="","",$K2+7)</f>
        <v/>
      </c>
      <c r="N2" s="7">
        <f>IF($O2="","", ROUND($O2/$L2,2))</f>
        <v/>
      </c>
      <c r="O2" s="7">
        <f>IF($G2="","", $G2*(1+$I2) + IF($J2="",0,$J2))</f>
        <v/>
      </c>
      <c r="P2" s="7">
        <f>IF($A2="","", $O2 - SUMIFS(Repayment_Ledger!$E$2:$E$801,Repayment_Ledger!$A$2:$A$801, $A2))</f>
        <v/>
      </c>
      <c r="Q2" s="5">
        <f>IF($P2&lt;=0,"", MINIFS(Repayment_Ledger!$C$2:$C$801, Repayment_Ledger!$A$2:$A$801, $A2, Repayment_Ledger!$F$2:$F$801, "&lt;&gt;Paid"))</f>
        <v/>
      </c>
      <c r="R2" s="4" t="n"/>
      <c r="S2" s="4" t="n"/>
    </row>
    <row r="3">
      <c r="A3" s="4">
        <f>IF($B3="","", "L"&amp;TEXT(ROW()-1,"0000"))</f>
        <v/>
      </c>
      <c r="B3" s="4" t="n"/>
      <c r="C3" s="4" t="n"/>
      <c r="D3" s="4" t="n"/>
      <c r="E3" s="4" t="n"/>
      <c r="F3" s="4" t="n"/>
      <c r="G3" s="7" t="n"/>
      <c r="H3" s="4" t="n"/>
      <c r="I3" s="9" t="n"/>
      <c r="J3" s="7" t="n"/>
      <c r="K3" s="5" t="n"/>
      <c r="L3" s="4" t="n"/>
      <c r="M3" s="5">
        <f>IF($K3="","",$K3+7)</f>
        <v/>
      </c>
      <c r="N3" s="7">
        <f>IF($O3="","", ROUND($O3/$L3,2))</f>
        <v/>
      </c>
      <c r="O3" s="7">
        <f>IF($G3="","", $G3*(1+$I3) + IF($J3="",0,$J3))</f>
        <v/>
      </c>
      <c r="P3" s="7">
        <f>IF($A3="","", $O3 - SUMIFS(Repayment_Ledger!$E$2:$E$801,Repayment_Ledger!$A$2:$A$801, $A3))</f>
        <v/>
      </c>
      <c r="Q3" s="5">
        <f>IF($P3&lt;=0,"", MINIFS(Repayment_Ledger!$C$2:$C$801, Repayment_Ledger!$A$2:$A$801, $A3, Repayment_Ledger!$F$2:$F$801, "&lt;&gt;Paid"))</f>
        <v/>
      </c>
      <c r="R3" s="4" t="n"/>
      <c r="S3" s="4" t="n"/>
    </row>
    <row r="4">
      <c r="A4" s="4">
        <f>IF($B4="","", "L"&amp;TEXT(ROW()-1,"0000"))</f>
        <v/>
      </c>
      <c r="B4" s="4" t="n"/>
      <c r="C4" s="4" t="n"/>
      <c r="D4" s="4" t="n"/>
      <c r="E4" s="4" t="n"/>
      <c r="F4" s="4" t="n"/>
      <c r="G4" s="7" t="n"/>
      <c r="H4" s="4" t="n"/>
      <c r="I4" s="9" t="n"/>
      <c r="J4" s="7" t="n"/>
      <c r="K4" s="5" t="n"/>
      <c r="L4" s="4" t="n"/>
      <c r="M4" s="5">
        <f>IF($K4="","",$K4+7)</f>
        <v/>
      </c>
      <c r="N4" s="7">
        <f>IF($O4="","", ROUND($O4/$L4,2))</f>
        <v/>
      </c>
      <c r="O4" s="7">
        <f>IF($G4="","", $G4*(1+$I4) + IF($J4="",0,$J4))</f>
        <v/>
      </c>
      <c r="P4" s="7">
        <f>IF($A4="","", $O4 - SUMIFS(Repayment_Ledger!$E$2:$E$801,Repayment_Ledger!$A$2:$A$801, $A4))</f>
        <v/>
      </c>
      <c r="Q4" s="5">
        <f>IF($P4&lt;=0,"", MINIFS(Repayment_Ledger!$C$2:$C$801, Repayment_Ledger!$A$2:$A$801, $A4, Repayment_Ledger!$F$2:$F$801, "&lt;&gt;Paid"))</f>
        <v/>
      </c>
      <c r="R4" s="4" t="n"/>
      <c r="S4" s="4" t="n"/>
    </row>
    <row r="5">
      <c r="A5" s="4">
        <f>IF($B5="","", "L"&amp;TEXT(ROW()-1,"0000"))</f>
        <v/>
      </c>
      <c r="B5" s="4" t="n"/>
      <c r="C5" s="4" t="n"/>
      <c r="D5" s="4" t="n"/>
      <c r="E5" s="4" t="n"/>
      <c r="F5" s="4" t="n"/>
      <c r="G5" s="7" t="n"/>
      <c r="H5" s="4" t="n"/>
      <c r="I5" s="9" t="n"/>
      <c r="J5" s="7" t="n"/>
      <c r="K5" s="5" t="n"/>
      <c r="L5" s="4" t="n"/>
      <c r="M5" s="5">
        <f>IF($K5="","",$K5+7)</f>
        <v/>
      </c>
      <c r="N5" s="7">
        <f>IF($O5="","", ROUND($O5/$L5,2))</f>
        <v/>
      </c>
      <c r="O5" s="7">
        <f>IF($G5="","", $G5*(1+$I5) + IF($J5="",0,$J5))</f>
        <v/>
      </c>
      <c r="P5" s="7">
        <f>IF($A5="","", $O5 - SUMIFS(Repayment_Ledger!$E$2:$E$801,Repayment_Ledger!$A$2:$A$801, $A5))</f>
        <v/>
      </c>
      <c r="Q5" s="5">
        <f>IF($P5&lt;=0,"", MINIFS(Repayment_Ledger!$C$2:$C$801, Repayment_Ledger!$A$2:$A$801, $A5, Repayment_Ledger!$F$2:$F$801, "&lt;&gt;Paid"))</f>
        <v/>
      </c>
      <c r="R5" s="4" t="n"/>
      <c r="S5" s="4" t="n"/>
    </row>
    <row r="6">
      <c r="A6" s="4">
        <f>IF($B6="","", "L"&amp;TEXT(ROW()-1,"0000"))</f>
        <v/>
      </c>
      <c r="B6" s="4" t="n"/>
      <c r="C6" s="4" t="n"/>
      <c r="D6" s="4" t="n"/>
      <c r="E6" s="4" t="n"/>
      <c r="F6" s="4" t="n"/>
      <c r="G6" s="7" t="n"/>
      <c r="H6" s="4" t="n"/>
      <c r="I6" s="9" t="n"/>
      <c r="J6" s="7" t="n"/>
      <c r="K6" s="5" t="n"/>
      <c r="L6" s="4" t="n"/>
      <c r="M6" s="5">
        <f>IF($K6="","",$K6+7)</f>
        <v/>
      </c>
      <c r="N6" s="7">
        <f>IF($O6="","", ROUND($O6/$L6,2))</f>
        <v/>
      </c>
      <c r="O6" s="7">
        <f>IF($G6="","", $G6*(1+$I6) + IF($J6="",0,$J6))</f>
        <v/>
      </c>
      <c r="P6" s="7">
        <f>IF($A6="","", $O6 - SUMIFS(Repayment_Ledger!$E$2:$E$801,Repayment_Ledger!$A$2:$A$801, $A6))</f>
        <v/>
      </c>
      <c r="Q6" s="5">
        <f>IF($P6&lt;=0,"", MINIFS(Repayment_Ledger!$C$2:$C$801, Repayment_Ledger!$A$2:$A$801, $A6, Repayment_Ledger!$F$2:$F$801, "&lt;&gt;Paid"))</f>
        <v/>
      </c>
      <c r="R6" s="4" t="n"/>
      <c r="S6" s="4" t="n"/>
    </row>
    <row r="7">
      <c r="A7" s="4">
        <f>IF($B7="","", "L"&amp;TEXT(ROW()-1,"0000"))</f>
        <v/>
      </c>
      <c r="B7" s="4" t="n"/>
      <c r="C7" s="4" t="n"/>
      <c r="D7" s="4" t="n"/>
      <c r="E7" s="4" t="n"/>
      <c r="F7" s="4" t="n"/>
      <c r="G7" s="7" t="n"/>
      <c r="H7" s="4" t="n"/>
      <c r="I7" s="9" t="n"/>
      <c r="J7" s="7" t="n"/>
      <c r="K7" s="5" t="n"/>
      <c r="L7" s="4" t="n"/>
      <c r="M7" s="5">
        <f>IF($K7="","",$K7+7)</f>
        <v/>
      </c>
      <c r="N7" s="7">
        <f>IF($O7="","", ROUND($O7/$L7,2))</f>
        <v/>
      </c>
      <c r="O7" s="7">
        <f>IF($G7="","", $G7*(1+$I7) + IF($J7="",0,$J7))</f>
        <v/>
      </c>
      <c r="P7" s="7">
        <f>IF($A7="","", $O7 - SUMIFS(Repayment_Ledger!$E$2:$E$801,Repayment_Ledger!$A$2:$A$801, $A7))</f>
        <v/>
      </c>
      <c r="Q7" s="5">
        <f>IF($P7&lt;=0,"", MINIFS(Repayment_Ledger!$C$2:$C$801, Repayment_Ledger!$A$2:$A$801, $A7, Repayment_Ledger!$F$2:$F$801, "&lt;&gt;Paid"))</f>
        <v/>
      </c>
      <c r="R7" s="4" t="n"/>
      <c r="S7" s="4" t="n"/>
    </row>
    <row r="8">
      <c r="A8" s="4">
        <f>IF($B8="","", "L"&amp;TEXT(ROW()-1,"0000"))</f>
        <v/>
      </c>
      <c r="B8" s="4" t="n"/>
      <c r="C8" s="4" t="n"/>
      <c r="D8" s="4" t="n"/>
      <c r="E8" s="4" t="n"/>
      <c r="F8" s="4" t="n"/>
      <c r="G8" s="7" t="n"/>
      <c r="H8" s="4" t="n"/>
      <c r="I8" s="9" t="n"/>
      <c r="J8" s="7" t="n"/>
      <c r="K8" s="5" t="n"/>
      <c r="L8" s="4" t="n"/>
      <c r="M8" s="5">
        <f>IF($K8="","",$K8+7)</f>
        <v/>
      </c>
      <c r="N8" s="7">
        <f>IF($O8="","", ROUND($O8/$L8,2))</f>
        <v/>
      </c>
      <c r="O8" s="7">
        <f>IF($G8="","", $G8*(1+$I8) + IF($J8="",0,$J8))</f>
        <v/>
      </c>
      <c r="P8" s="7">
        <f>IF($A8="","", $O8 - SUMIFS(Repayment_Ledger!$E$2:$E$801,Repayment_Ledger!$A$2:$A$801, $A8))</f>
        <v/>
      </c>
      <c r="Q8" s="5">
        <f>IF($P8&lt;=0,"", MINIFS(Repayment_Ledger!$C$2:$C$801, Repayment_Ledger!$A$2:$A$801, $A8, Repayment_Ledger!$F$2:$F$801, "&lt;&gt;Paid"))</f>
        <v/>
      </c>
      <c r="R8" s="4" t="n"/>
      <c r="S8" s="4" t="n"/>
    </row>
    <row r="9">
      <c r="A9" s="4">
        <f>IF($B9="","", "L"&amp;TEXT(ROW()-1,"0000"))</f>
        <v/>
      </c>
      <c r="B9" s="4" t="n"/>
      <c r="C9" s="4" t="n"/>
      <c r="D9" s="4" t="n"/>
      <c r="E9" s="4" t="n"/>
      <c r="F9" s="4" t="n"/>
      <c r="G9" s="7" t="n"/>
      <c r="H9" s="4" t="n"/>
      <c r="I9" s="9" t="n"/>
      <c r="J9" s="7" t="n"/>
      <c r="K9" s="5" t="n"/>
      <c r="L9" s="4" t="n"/>
      <c r="M9" s="5">
        <f>IF($K9="","",$K9+7)</f>
        <v/>
      </c>
      <c r="N9" s="7">
        <f>IF($O9="","", ROUND($O9/$L9,2))</f>
        <v/>
      </c>
      <c r="O9" s="7">
        <f>IF($G9="","", $G9*(1+$I9) + IF($J9="",0,$J9))</f>
        <v/>
      </c>
      <c r="P9" s="7">
        <f>IF($A9="","", $O9 - SUMIFS(Repayment_Ledger!$E$2:$E$801,Repayment_Ledger!$A$2:$A$801, $A9))</f>
        <v/>
      </c>
      <c r="Q9" s="5">
        <f>IF($P9&lt;=0,"", MINIFS(Repayment_Ledger!$C$2:$C$801, Repayment_Ledger!$A$2:$A$801, $A9, Repayment_Ledger!$F$2:$F$801, "&lt;&gt;Paid"))</f>
        <v/>
      </c>
      <c r="R9" s="4" t="n"/>
      <c r="S9" s="4" t="n"/>
    </row>
    <row r="10">
      <c r="A10" s="4">
        <f>IF($B10="","", "L"&amp;TEXT(ROW()-1,"0000"))</f>
        <v/>
      </c>
      <c r="B10" s="4" t="n"/>
      <c r="C10" s="4" t="n"/>
      <c r="D10" s="4" t="n"/>
      <c r="E10" s="4" t="n"/>
      <c r="F10" s="4" t="n"/>
      <c r="G10" s="7" t="n"/>
      <c r="H10" s="4" t="n"/>
      <c r="I10" s="9" t="n"/>
      <c r="J10" s="7" t="n"/>
      <c r="K10" s="5" t="n"/>
      <c r="L10" s="4" t="n"/>
      <c r="M10" s="5">
        <f>IF($K10="","",$K10+7)</f>
        <v/>
      </c>
      <c r="N10" s="7">
        <f>IF($O10="","", ROUND($O10/$L10,2))</f>
        <v/>
      </c>
      <c r="O10" s="7">
        <f>IF($G10="","", $G10*(1+$I10) + IF($J10="",0,$J10))</f>
        <v/>
      </c>
      <c r="P10" s="7">
        <f>IF($A10="","", $O10 - SUMIFS(Repayment_Ledger!$E$2:$E$801,Repayment_Ledger!$A$2:$A$801, $A10))</f>
        <v/>
      </c>
      <c r="Q10" s="5">
        <f>IF($P10&lt;=0,"", MINIFS(Repayment_Ledger!$C$2:$C$801, Repayment_Ledger!$A$2:$A$801, $A10, Repayment_Ledger!$F$2:$F$801, "&lt;&gt;Paid"))</f>
        <v/>
      </c>
      <c r="R10" s="4" t="n"/>
      <c r="S10" s="4" t="n"/>
    </row>
    <row r="11">
      <c r="A11" s="4">
        <f>IF($B11="","", "L"&amp;TEXT(ROW()-1,"0000"))</f>
        <v/>
      </c>
      <c r="B11" s="4" t="n"/>
      <c r="C11" s="4" t="n"/>
      <c r="D11" s="4" t="n"/>
      <c r="E11" s="4" t="n"/>
      <c r="F11" s="4" t="n"/>
      <c r="G11" s="7" t="n"/>
      <c r="H11" s="4" t="n"/>
      <c r="I11" s="9" t="n"/>
      <c r="J11" s="7" t="n"/>
      <c r="K11" s="5" t="n"/>
      <c r="L11" s="4" t="n"/>
      <c r="M11" s="5">
        <f>IF($K11="","",$K11+7)</f>
        <v/>
      </c>
      <c r="N11" s="7">
        <f>IF($O11="","", ROUND($O11/$L11,2))</f>
        <v/>
      </c>
      <c r="O11" s="7">
        <f>IF($G11="","", $G11*(1+$I11) + IF($J11="",0,$J11))</f>
        <v/>
      </c>
      <c r="P11" s="7">
        <f>IF($A11="","", $O11 - SUMIFS(Repayment_Ledger!$E$2:$E$801,Repayment_Ledger!$A$2:$A$801, $A11))</f>
        <v/>
      </c>
      <c r="Q11" s="5">
        <f>IF($P11&lt;=0,"", MINIFS(Repayment_Ledger!$C$2:$C$801, Repayment_Ledger!$A$2:$A$801, $A11, Repayment_Ledger!$F$2:$F$801, "&lt;&gt;Paid"))</f>
        <v/>
      </c>
      <c r="R11" s="4" t="n"/>
      <c r="S11" s="4" t="n"/>
    </row>
    <row r="12">
      <c r="A12" s="4">
        <f>IF($B12="","", "L"&amp;TEXT(ROW()-1,"0000"))</f>
        <v/>
      </c>
      <c r="B12" s="4" t="n"/>
      <c r="C12" s="4" t="n"/>
      <c r="D12" s="4" t="n"/>
      <c r="E12" s="4" t="n"/>
      <c r="F12" s="4" t="n"/>
      <c r="G12" s="7" t="n"/>
      <c r="H12" s="4" t="n"/>
      <c r="I12" s="9" t="n"/>
      <c r="J12" s="7" t="n"/>
      <c r="K12" s="5" t="n"/>
      <c r="L12" s="4" t="n"/>
      <c r="M12" s="5">
        <f>IF($K12="","",$K12+7)</f>
        <v/>
      </c>
      <c r="N12" s="7">
        <f>IF($O12="","", ROUND($O12/$L12,2))</f>
        <v/>
      </c>
      <c r="O12" s="7">
        <f>IF($G12="","", $G12*(1+$I12) + IF($J12="",0,$J12))</f>
        <v/>
      </c>
      <c r="P12" s="7">
        <f>IF($A12="","", $O12 - SUMIFS(Repayment_Ledger!$E$2:$E$801,Repayment_Ledger!$A$2:$A$801, $A12))</f>
        <v/>
      </c>
      <c r="Q12" s="5">
        <f>IF($P12&lt;=0,"", MINIFS(Repayment_Ledger!$C$2:$C$801, Repayment_Ledger!$A$2:$A$801, $A12, Repayment_Ledger!$F$2:$F$801, "&lt;&gt;Paid"))</f>
        <v/>
      </c>
      <c r="R12" s="4" t="n"/>
      <c r="S12" s="4" t="n"/>
    </row>
    <row r="13">
      <c r="A13" s="4">
        <f>IF($B13="","", "L"&amp;TEXT(ROW()-1,"0000"))</f>
        <v/>
      </c>
      <c r="B13" s="4" t="n"/>
      <c r="C13" s="4" t="n"/>
      <c r="D13" s="4" t="n"/>
      <c r="E13" s="4" t="n"/>
      <c r="F13" s="4" t="n"/>
      <c r="G13" s="7" t="n"/>
      <c r="H13" s="4" t="n"/>
      <c r="I13" s="9" t="n"/>
      <c r="J13" s="7" t="n"/>
      <c r="K13" s="5" t="n"/>
      <c r="L13" s="4" t="n"/>
      <c r="M13" s="5">
        <f>IF($K13="","",$K13+7)</f>
        <v/>
      </c>
      <c r="N13" s="7">
        <f>IF($O13="","", ROUND($O13/$L13,2))</f>
        <v/>
      </c>
      <c r="O13" s="7">
        <f>IF($G13="","", $G13*(1+$I13) + IF($J13="",0,$J13))</f>
        <v/>
      </c>
      <c r="P13" s="7">
        <f>IF($A13="","", $O13 - SUMIFS(Repayment_Ledger!$E$2:$E$801,Repayment_Ledger!$A$2:$A$801, $A13))</f>
        <v/>
      </c>
      <c r="Q13" s="5">
        <f>IF($P13&lt;=0,"", MINIFS(Repayment_Ledger!$C$2:$C$801, Repayment_Ledger!$A$2:$A$801, $A13, Repayment_Ledger!$F$2:$F$801, "&lt;&gt;Paid"))</f>
        <v/>
      </c>
      <c r="R13" s="4" t="n"/>
      <c r="S13" s="4" t="n"/>
    </row>
    <row r="14">
      <c r="A14" s="4">
        <f>IF($B14="","", "L"&amp;TEXT(ROW()-1,"0000"))</f>
        <v/>
      </c>
      <c r="B14" s="4" t="n"/>
      <c r="C14" s="4" t="n"/>
      <c r="D14" s="4" t="n"/>
      <c r="E14" s="4" t="n"/>
      <c r="F14" s="4" t="n"/>
      <c r="G14" s="7" t="n"/>
      <c r="H14" s="4" t="n"/>
      <c r="I14" s="9" t="n"/>
      <c r="J14" s="7" t="n"/>
      <c r="K14" s="5" t="n"/>
      <c r="L14" s="4" t="n"/>
      <c r="M14" s="5">
        <f>IF($K14="","",$K14+7)</f>
        <v/>
      </c>
      <c r="N14" s="7">
        <f>IF($O14="","", ROUND($O14/$L14,2))</f>
        <v/>
      </c>
      <c r="O14" s="7">
        <f>IF($G14="","", $G14*(1+$I14) + IF($J14="",0,$J14))</f>
        <v/>
      </c>
      <c r="P14" s="7">
        <f>IF($A14="","", $O14 - SUMIFS(Repayment_Ledger!$E$2:$E$801,Repayment_Ledger!$A$2:$A$801, $A14))</f>
        <v/>
      </c>
      <c r="Q14" s="5">
        <f>IF($P14&lt;=0,"", MINIFS(Repayment_Ledger!$C$2:$C$801, Repayment_Ledger!$A$2:$A$801, $A14, Repayment_Ledger!$F$2:$F$801, "&lt;&gt;Paid"))</f>
        <v/>
      </c>
      <c r="R14" s="4" t="n"/>
      <c r="S14" s="4" t="n"/>
    </row>
    <row r="15">
      <c r="A15" s="4">
        <f>IF($B15="","", "L"&amp;TEXT(ROW()-1,"0000"))</f>
        <v/>
      </c>
      <c r="B15" s="4" t="n"/>
      <c r="C15" s="4" t="n"/>
      <c r="D15" s="4" t="n"/>
      <c r="E15" s="4" t="n"/>
      <c r="F15" s="4" t="n"/>
      <c r="G15" s="7" t="n"/>
      <c r="H15" s="4" t="n"/>
      <c r="I15" s="9" t="n"/>
      <c r="J15" s="7" t="n"/>
      <c r="K15" s="5" t="n"/>
      <c r="L15" s="4" t="n"/>
      <c r="M15" s="5">
        <f>IF($K15="","",$K15+7)</f>
        <v/>
      </c>
      <c r="N15" s="7">
        <f>IF($O15="","", ROUND($O15/$L15,2))</f>
        <v/>
      </c>
      <c r="O15" s="7">
        <f>IF($G15="","", $G15*(1+$I15) + IF($J15="",0,$J15))</f>
        <v/>
      </c>
      <c r="P15" s="7">
        <f>IF($A15="","", $O15 - SUMIFS(Repayment_Ledger!$E$2:$E$801,Repayment_Ledger!$A$2:$A$801, $A15))</f>
        <v/>
      </c>
      <c r="Q15" s="5">
        <f>IF($P15&lt;=0,"", MINIFS(Repayment_Ledger!$C$2:$C$801, Repayment_Ledger!$A$2:$A$801, $A15, Repayment_Ledger!$F$2:$F$801, "&lt;&gt;Paid"))</f>
        <v/>
      </c>
      <c r="R15" s="4" t="n"/>
      <c r="S15" s="4" t="n"/>
    </row>
    <row r="16">
      <c r="A16" s="4">
        <f>IF($B16="","", "L"&amp;TEXT(ROW()-1,"0000"))</f>
        <v/>
      </c>
      <c r="B16" s="4" t="n"/>
      <c r="C16" s="4" t="n"/>
      <c r="D16" s="4" t="n"/>
      <c r="E16" s="4" t="n"/>
      <c r="F16" s="4" t="n"/>
      <c r="G16" s="7" t="n"/>
      <c r="H16" s="4" t="n"/>
      <c r="I16" s="9" t="n"/>
      <c r="J16" s="7" t="n"/>
      <c r="K16" s="5" t="n"/>
      <c r="L16" s="4" t="n"/>
      <c r="M16" s="5">
        <f>IF($K16="","",$K16+7)</f>
        <v/>
      </c>
      <c r="N16" s="7">
        <f>IF($O16="","", ROUND($O16/$L16,2))</f>
        <v/>
      </c>
      <c r="O16" s="7">
        <f>IF($G16="","", $G16*(1+$I16) + IF($J16="",0,$J16))</f>
        <v/>
      </c>
      <c r="P16" s="7">
        <f>IF($A16="","", $O16 - SUMIFS(Repayment_Ledger!$E$2:$E$801,Repayment_Ledger!$A$2:$A$801, $A16))</f>
        <v/>
      </c>
      <c r="Q16" s="5">
        <f>IF($P16&lt;=0,"", MINIFS(Repayment_Ledger!$C$2:$C$801, Repayment_Ledger!$A$2:$A$801, $A16, Repayment_Ledger!$F$2:$F$801, "&lt;&gt;Paid"))</f>
        <v/>
      </c>
      <c r="R16" s="4" t="n"/>
      <c r="S16" s="4" t="n"/>
    </row>
    <row r="17">
      <c r="A17" s="4">
        <f>IF($B17="","", "L"&amp;TEXT(ROW()-1,"0000"))</f>
        <v/>
      </c>
      <c r="B17" s="4" t="n"/>
      <c r="C17" s="4" t="n"/>
      <c r="D17" s="4" t="n"/>
      <c r="E17" s="4" t="n"/>
      <c r="F17" s="4" t="n"/>
      <c r="G17" s="7" t="n"/>
      <c r="H17" s="4" t="n"/>
      <c r="I17" s="9" t="n"/>
      <c r="J17" s="7" t="n"/>
      <c r="K17" s="5" t="n"/>
      <c r="L17" s="4" t="n"/>
      <c r="M17" s="5">
        <f>IF($K17="","",$K17+7)</f>
        <v/>
      </c>
      <c r="N17" s="7">
        <f>IF($O17="","", ROUND($O17/$L17,2))</f>
        <v/>
      </c>
      <c r="O17" s="7">
        <f>IF($G17="","", $G17*(1+$I17) + IF($J17="",0,$J17))</f>
        <v/>
      </c>
      <c r="P17" s="7">
        <f>IF($A17="","", $O17 - SUMIFS(Repayment_Ledger!$E$2:$E$801,Repayment_Ledger!$A$2:$A$801, $A17))</f>
        <v/>
      </c>
      <c r="Q17" s="5">
        <f>IF($P17&lt;=0,"", MINIFS(Repayment_Ledger!$C$2:$C$801, Repayment_Ledger!$A$2:$A$801, $A17, Repayment_Ledger!$F$2:$F$801, "&lt;&gt;Paid"))</f>
        <v/>
      </c>
      <c r="R17" s="4" t="n"/>
      <c r="S17" s="4" t="n"/>
    </row>
    <row r="18">
      <c r="A18" s="4">
        <f>IF($B18="","", "L"&amp;TEXT(ROW()-1,"0000"))</f>
        <v/>
      </c>
      <c r="B18" s="4" t="n"/>
      <c r="C18" s="4" t="n"/>
      <c r="D18" s="4" t="n"/>
      <c r="E18" s="4" t="n"/>
      <c r="F18" s="4" t="n"/>
      <c r="G18" s="7" t="n"/>
      <c r="H18" s="4" t="n"/>
      <c r="I18" s="9" t="n"/>
      <c r="J18" s="7" t="n"/>
      <c r="K18" s="5" t="n"/>
      <c r="L18" s="4" t="n"/>
      <c r="M18" s="5">
        <f>IF($K18="","",$K18+7)</f>
        <v/>
      </c>
      <c r="N18" s="7">
        <f>IF($O18="","", ROUND($O18/$L18,2))</f>
        <v/>
      </c>
      <c r="O18" s="7">
        <f>IF($G18="","", $G18*(1+$I18) + IF($J18="",0,$J18))</f>
        <v/>
      </c>
      <c r="P18" s="7">
        <f>IF($A18="","", $O18 - SUMIFS(Repayment_Ledger!$E$2:$E$801,Repayment_Ledger!$A$2:$A$801, $A18))</f>
        <v/>
      </c>
      <c r="Q18" s="5">
        <f>IF($P18&lt;=0,"", MINIFS(Repayment_Ledger!$C$2:$C$801, Repayment_Ledger!$A$2:$A$801, $A18, Repayment_Ledger!$F$2:$F$801, "&lt;&gt;Paid"))</f>
        <v/>
      </c>
      <c r="R18" s="4" t="n"/>
      <c r="S18" s="4" t="n"/>
    </row>
    <row r="19">
      <c r="A19" s="4">
        <f>IF($B19="","", "L"&amp;TEXT(ROW()-1,"0000"))</f>
        <v/>
      </c>
      <c r="B19" s="4" t="n"/>
      <c r="C19" s="4" t="n"/>
      <c r="D19" s="4" t="n"/>
      <c r="E19" s="4" t="n"/>
      <c r="F19" s="4" t="n"/>
      <c r="G19" s="7" t="n"/>
      <c r="H19" s="4" t="n"/>
      <c r="I19" s="9" t="n"/>
      <c r="J19" s="7" t="n"/>
      <c r="K19" s="5" t="n"/>
      <c r="L19" s="4" t="n"/>
      <c r="M19" s="5">
        <f>IF($K19="","",$K19+7)</f>
        <v/>
      </c>
      <c r="N19" s="7">
        <f>IF($O19="","", ROUND($O19/$L19,2))</f>
        <v/>
      </c>
      <c r="O19" s="7">
        <f>IF($G19="","", $G19*(1+$I19) + IF($J19="",0,$J19))</f>
        <v/>
      </c>
      <c r="P19" s="7">
        <f>IF($A19="","", $O19 - SUMIFS(Repayment_Ledger!$E$2:$E$801,Repayment_Ledger!$A$2:$A$801, $A19))</f>
        <v/>
      </c>
      <c r="Q19" s="5">
        <f>IF($P19&lt;=0,"", MINIFS(Repayment_Ledger!$C$2:$C$801, Repayment_Ledger!$A$2:$A$801, $A19, Repayment_Ledger!$F$2:$F$801, "&lt;&gt;Paid"))</f>
        <v/>
      </c>
      <c r="R19" s="4" t="n"/>
      <c r="S19" s="4" t="n"/>
    </row>
    <row r="20">
      <c r="A20" s="4">
        <f>IF($B20="","", "L"&amp;TEXT(ROW()-1,"0000"))</f>
        <v/>
      </c>
      <c r="B20" s="4" t="n"/>
      <c r="C20" s="4" t="n"/>
      <c r="D20" s="4" t="n"/>
      <c r="E20" s="4" t="n"/>
      <c r="F20" s="4" t="n"/>
      <c r="G20" s="7" t="n"/>
      <c r="H20" s="4" t="n"/>
      <c r="I20" s="9" t="n"/>
      <c r="J20" s="7" t="n"/>
      <c r="K20" s="5" t="n"/>
      <c r="L20" s="4" t="n"/>
      <c r="M20" s="5">
        <f>IF($K20="","",$K20+7)</f>
        <v/>
      </c>
      <c r="N20" s="7">
        <f>IF($O20="","", ROUND($O20/$L20,2))</f>
        <v/>
      </c>
      <c r="O20" s="7">
        <f>IF($G20="","", $G20*(1+$I20) + IF($J20="",0,$J20))</f>
        <v/>
      </c>
      <c r="P20" s="7">
        <f>IF($A20="","", $O20 - SUMIFS(Repayment_Ledger!$E$2:$E$801,Repayment_Ledger!$A$2:$A$801, $A20))</f>
        <v/>
      </c>
      <c r="Q20" s="5">
        <f>IF($P20&lt;=0,"", MINIFS(Repayment_Ledger!$C$2:$C$801, Repayment_Ledger!$A$2:$A$801, $A20, Repayment_Ledger!$F$2:$F$801, "&lt;&gt;Paid"))</f>
        <v/>
      </c>
      <c r="R20" s="4" t="n"/>
      <c r="S20" s="4" t="n"/>
    </row>
    <row r="21">
      <c r="A21" s="4">
        <f>IF($B21="","", "L"&amp;TEXT(ROW()-1,"0000"))</f>
        <v/>
      </c>
      <c r="B21" s="4" t="n"/>
      <c r="C21" s="4" t="n"/>
      <c r="D21" s="4" t="n"/>
      <c r="E21" s="4" t="n"/>
      <c r="F21" s="4" t="n"/>
      <c r="G21" s="7" t="n"/>
      <c r="H21" s="4" t="n"/>
      <c r="I21" s="9" t="n"/>
      <c r="J21" s="7" t="n"/>
      <c r="K21" s="5" t="n"/>
      <c r="L21" s="4" t="n"/>
      <c r="M21" s="5">
        <f>IF($K21="","",$K21+7)</f>
        <v/>
      </c>
      <c r="N21" s="7">
        <f>IF($O21="","", ROUND($O21/$L21,2))</f>
        <v/>
      </c>
      <c r="O21" s="7">
        <f>IF($G21="","", $G21*(1+$I21) + IF($J21="",0,$J21))</f>
        <v/>
      </c>
      <c r="P21" s="7">
        <f>IF($A21="","", $O21 - SUMIFS(Repayment_Ledger!$E$2:$E$801,Repayment_Ledger!$A$2:$A$801, $A21))</f>
        <v/>
      </c>
      <c r="Q21" s="5">
        <f>IF($P21&lt;=0,"", MINIFS(Repayment_Ledger!$C$2:$C$801, Repayment_Ledger!$A$2:$A$801, $A21, Repayment_Ledger!$F$2:$F$801, "&lt;&gt;Paid"))</f>
        <v/>
      </c>
      <c r="R21" s="4" t="n"/>
      <c r="S21" s="4" t="n"/>
    </row>
    <row r="22">
      <c r="A22" s="4">
        <f>IF($B22="","", "L"&amp;TEXT(ROW()-1,"0000"))</f>
        <v/>
      </c>
      <c r="B22" s="4" t="n"/>
      <c r="C22" s="4" t="n"/>
      <c r="D22" s="4" t="n"/>
      <c r="E22" s="4" t="n"/>
      <c r="F22" s="4" t="n"/>
      <c r="G22" s="7" t="n"/>
      <c r="H22" s="4" t="n"/>
      <c r="I22" s="9" t="n"/>
      <c r="J22" s="7" t="n"/>
      <c r="K22" s="5" t="n"/>
      <c r="L22" s="4" t="n"/>
      <c r="M22" s="5">
        <f>IF($K22="","",$K22+7)</f>
        <v/>
      </c>
      <c r="N22" s="7">
        <f>IF($O22="","", ROUND($O22/$L22,2))</f>
        <v/>
      </c>
      <c r="O22" s="7">
        <f>IF($G22="","", $G22*(1+$I22) + IF($J22="",0,$J22))</f>
        <v/>
      </c>
      <c r="P22" s="7">
        <f>IF($A22="","", $O22 - SUMIFS(Repayment_Ledger!$E$2:$E$801,Repayment_Ledger!$A$2:$A$801, $A22))</f>
        <v/>
      </c>
      <c r="Q22" s="5">
        <f>IF($P22&lt;=0,"", MINIFS(Repayment_Ledger!$C$2:$C$801, Repayment_Ledger!$A$2:$A$801, $A22, Repayment_Ledger!$F$2:$F$801, "&lt;&gt;Paid"))</f>
        <v/>
      </c>
      <c r="R22" s="4" t="n"/>
      <c r="S22" s="4" t="n"/>
    </row>
    <row r="23">
      <c r="A23" s="4">
        <f>IF($B23="","", "L"&amp;TEXT(ROW()-1,"0000"))</f>
        <v/>
      </c>
      <c r="B23" s="4" t="n"/>
      <c r="C23" s="4" t="n"/>
      <c r="D23" s="4" t="n"/>
      <c r="E23" s="4" t="n"/>
      <c r="F23" s="4" t="n"/>
      <c r="G23" s="7" t="n"/>
      <c r="H23" s="4" t="n"/>
      <c r="I23" s="9" t="n"/>
      <c r="J23" s="7" t="n"/>
      <c r="K23" s="5" t="n"/>
      <c r="L23" s="4" t="n"/>
      <c r="M23" s="5">
        <f>IF($K23="","",$K23+7)</f>
        <v/>
      </c>
      <c r="N23" s="7">
        <f>IF($O23="","", ROUND($O23/$L23,2))</f>
        <v/>
      </c>
      <c r="O23" s="7">
        <f>IF($G23="","", $G23*(1+$I23) + IF($J23="",0,$J23))</f>
        <v/>
      </c>
      <c r="P23" s="7">
        <f>IF($A23="","", $O23 - SUMIFS(Repayment_Ledger!$E$2:$E$801,Repayment_Ledger!$A$2:$A$801, $A23))</f>
        <v/>
      </c>
      <c r="Q23" s="5">
        <f>IF($P23&lt;=0,"", MINIFS(Repayment_Ledger!$C$2:$C$801, Repayment_Ledger!$A$2:$A$801, $A23, Repayment_Ledger!$F$2:$F$801, "&lt;&gt;Paid"))</f>
        <v/>
      </c>
      <c r="R23" s="4" t="n"/>
      <c r="S23" s="4" t="n"/>
    </row>
    <row r="24">
      <c r="A24" s="4">
        <f>IF($B24="","", "L"&amp;TEXT(ROW()-1,"0000"))</f>
        <v/>
      </c>
      <c r="B24" s="4" t="n"/>
      <c r="C24" s="4" t="n"/>
      <c r="D24" s="4" t="n"/>
      <c r="E24" s="4" t="n"/>
      <c r="F24" s="4" t="n"/>
      <c r="G24" s="7" t="n"/>
      <c r="H24" s="4" t="n"/>
      <c r="I24" s="9" t="n"/>
      <c r="J24" s="7" t="n"/>
      <c r="K24" s="5" t="n"/>
      <c r="L24" s="4" t="n"/>
      <c r="M24" s="5">
        <f>IF($K24="","",$K24+7)</f>
        <v/>
      </c>
      <c r="N24" s="7">
        <f>IF($O24="","", ROUND($O24/$L24,2))</f>
        <v/>
      </c>
      <c r="O24" s="7">
        <f>IF($G24="","", $G24*(1+$I24) + IF($J24="",0,$J24))</f>
        <v/>
      </c>
      <c r="P24" s="7">
        <f>IF($A24="","", $O24 - SUMIFS(Repayment_Ledger!$E$2:$E$801,Repayment_Ledger!$A$2:$A$801, $A24))</f>
        <v/>
      </c>
      <c r="Q24" s="5">
        <f>IF($P24&lt;=0,"", MINIFS(Repayment_Ledger!$C$2:$C$801, Repayment_Ledger!$A$2:$A$801, $A24, Repayment_Ledger!$F$2:$F$801, "&lt;&gt;Paid"))</f>
        <v/>
      </c>
      <c r="R24" s="4" t="n"/>
      <c r="S24" s="4" t="n"/>
    </row>
    <row r="25">
      <c r="A25" s="4">
        <f>IF($B25="","", "L"&amp;TEXT(ROW()-1,"0000"))</f>
        <v/>
      </c>
      <c r="B25" s="4" t="n"/>
      <c r="C25" s="4" t="n"/>
      <c r="D25" s="4" t="n"/>
      <c r="E25" s="4" t="n"/>
      <c r="F25" s="4" t="n"/>
      <c r="G25" s="7" t="n"/>
      <c r="H25" s="4" t="n"/>
      <c r="I25" s="9" t="n"/>
      <c r="J25" s="7" t="n"/>
      <c r="K25" s="5" t="n"/>
      <c r="L25" s="4" t="n"/>
      <c r="M25" s="5">
        <f>IF($K25="","",$K25+7)</f>
        <v/>
      </c>
      <c r="N25" s="7">
        <f>IF($O25="","", ROUND($O25/$L25,2))</f>
        <v/>
      </c>
      <c r="O25" s="7">
        <f>IF($G25="","", $G25*(1+$I25) + IF($J25="",0,$J25))</f>
        <v/>
      </c>
      <c r="P25" s="7">
        <f>IF($A25="","", $O25 - SUMIFS(Repayment_Ledger!$E$2:$E$801,Repayment_Ledger!$A$2:$A$801, $A25))</f>
        <v/>
      </c>
      <c r="Q25" s="5">
        <f>IF($P25&lt;=0,"", MINIFS(Repayment_Ledger!$C$2:$C$801, Repayment_Ledger!$A$2:$A$801, $A25, Repayment_Ledger!$F$2:$F$801, "&lt;&gt;Paid"))</f>
        <v/>
      </c>
      <c r="R25" s="4" t="n"/>
      <c r="S25" s="4" t="n"/>
    </row>
    <row r="26">
      <c r="A26" s="4">
        <f>IF($B26="","", "L"&amp;TEXT(ROW()-1,"0000"))</f>
        <v/>
      </c>
      <c r="B26" s="4" t="n"/>
      <c r="C26" s="4" t="n"/>
      <c r="D26" s="4" t="n"/>
      <c r="E26" s="4" t="n"/>
      <c r="F26" s="4" t="n"/>
      <c r="G26" s="7" t="n"/>
      <c r="H26" s="4" t="n"/>
      <c r="I26" s="9" t="n"/>
      <c r="J26" s="7" t="n"/>
      <c r="K26" s="5" t="n"/>
      <c r="L26" s="4" t="n"/>
      <c r="M26" s="5">
        <f>IF($K26="","",$K26+7)</f>
        <v/>
      </c>
      <c r="N26" s="7">
        <f>IF($O26="","", ROUND($O26/$L26,2))</f>
        <v/>
      </c>
      <c r="O26" s="7">
        <f>IF($G26="","", $G26*(1+$I26) + IF($J26="",0,$J26))</f>
        <v/>
      </c>
      <c r="P26" s="7">
        <f>IF($A26="","", $O26 - SUMIFS(Repayment_Ledger!$E$2:$E$801,Repayment_Ledger!$A$2:$A$801, $A26))</f>
        <v/>
      </c>
      <c r="Q26" s="5">
        <f>IF($P26&lt;=0,"", MINIFS(Repayment_Ledger!$C$2:$C$801, Repayment_Ledger!$A$2:$A$801, $A26, Repayment_Ledger!$F$2:$F$801, "&lt;&gt;Paid"))</f>
        <v/>
      </c>
      <c r="R26" s="4" t="n"/>
      <c r="S26" s="4" t="n"/>
    </row>
    <row r="27">
      <c r="A27" s="4">
        <f>IF($B27="","", "L"&amp;TEXT(ROW()-1,"0000"))</f>
        <v/>
      </c>
      <c r="B27" s="4" t="n"/>
      <c r="C27" s="4" t="n"/>
      <c r="D27" s="4" t="n"/>
      <c r="E27" s="4" t="n"/>
      <c r="F27" s="4" t="n"/>
      <c r="G27" s="7" t="n"/>
      <c r="H27" s="4" t="n"/>
      <c r="I27" s="9" t="n"/>
      <c r="J27" s="7" t="n"/>
      <c r="K27" s="5" t="n"/>
      <c r="L27" s="4" t="n"/>
      <c r="M27" s="5">
        <f>IF($K27="","",$K27+7)</f>
        <v/>
      </c>
      <c r="N27" s="7">
        <f>IF($O27="","", ROUND($O27/$L27,2))</f>
        <v/>
      </c>
      <c r="O27" s="7">
        <f>IF($G27="","", $G27*(1+$I27) + IF($J27="",0,$J27))</f>
        <v/>
      </c>
      <c r="P27" s="7">
        <f>IF($A27="","", $O27 - SUMIFS(Repayment_Ledger!$E$2:$E$801,Repayment_Ledger!$A$2:$A$801, $A27))</f>
        <v/>
      </c>
      <c r="Q27" s="5">
        <f>IF($P27&lt;=0,"", MINIFS(Repayment_Ledger!$C$2:$C$801, Repayment_Ledger!$A$2:$A$801, $A27, Repayment_Ledger!$F$2:$F$801, "&lt;&gt;Paid"))</f>
        <v/>
      </c>
      <c r="R27" s="4" t="n"/>
      <c r="S27" s="4" t="n"/>
    </row>
    <row r="28">
      <c r="A28" s="4">
        <f>IF($B28="","", "L"&amp;TEXT(ROW()-1,"0000"))</f>
        <v/>
      </c>
      <c r="B28" s="4" t="n"/>
      <c r="C28" s="4" t="n"/>
      <c r="D28" s="4" t="n"/>
      <c r="E28" s="4" t="n"/>
      <c r="F28" s="4" t="n"/>
      <c r="G28" s="7" t="n"/>
      <c r="H28" s="4" t="n"/>
      <c r="I28" s="9" t="n"/>
      <c r="J28" s="7" t="n"/>
      <c r="K28" s="5" t="n"/>
      <c r="L28" s="4" t="n"/>
      <c r="M28" s="5">
        <f>IF($K28="","",$K28+7)</f>
        <v/>
      </c>
      <c r="N28" s="7">
        <f>IF($O28="","", ROUND($O28/$L28,2))</f>
        <v/>
      </c>
      <c r="O28" s="7">
        <f>IF($G28="","", $G28*(1+$I28) + IF($J28="",0,$J28))</f>
        <v/>
      </c>
      <c r="P28" s="7">
        <f>IF($A28="","", $O28 - SUMIFS(Repayment_Ledger!$E$2:$E$801,Repayment_Ledger!$A$2:$A$801, $A28))</f>
        <v/>
      </c>
      <c r="Q28" s="5">
        <f>IF($P28&lt;=0,"", MINIFS(Repayment_Ledger!$C$2:$C$801, Repayment_Ledger!$A$2:$A$801, $A28, Repayment_Ledger!$F$2:$F$801, "&lt;&gt;Paid"))</f>
        <v/>
      </c>
      <c r="R28" s="4" t="n"/>
      <c r="S28" s="4" t="n"/>
    </row>
    <row r="29">
      <c r="A29" s="4">
        <f>IF($B29="","", "L"&amp;TEXT(ROW()-1,"0000"))</f>
        <v/>
      </c>
      <c r="B29" s="4" t="n"/>
      <c r="C29" s="4" t="n"/>
      <c r="D29" s="4" t="n"/>
      <c r="E29" s="4" t="n"/>
      <c r="F29" s="4" t="n"/>
      <c r="G29" s="7" t="n"/>
      <c r="H29" s="4" t="n"/>
      <c r="I29" s="9" t="n"/>
      <c r="J29" s="7" t="n"/>
      <c r="K29" s="5" t="n"/>
      <c r="L29" s="4" t="n"/>
      <c r="M29" s="5">
        <f>IF($K29="","",$K29+7)</f>
        <v/>
      </c>
      <c r="N29" s="7">
        <f>IF($O29="","", ROUND($O29/$L29,2))</f>
        <v/>
      </c>
      <c r="O29" s="7">
        <f>IF($G29="","", $G29*(1+$I29) + IF($J29="",0,$J29))</f>
        <v/>
      </c>
      <c r="P29" s="7">
        <f>IF($A29="","", $O29 - SUMIFS(Repayment_Ledger!$E$2:$E$801,Repayment_Ledger!$A$2:$A$801, $A29))</f>
        <v/>
      </c>
      <c r="Q29" s="5">
        <f>IF($P29&lt;=0,"", MINIFS(Repayment_Ledger!$C$2:$C$801, Repayment_Ledger!$A$2:$A$801, $A29, Repayment_Ledger!$F$2:$F$801, "&lt;&gt;Paid"))</f>
        <v/>
      </c>
      <c r="R29" s="4" t="n"/>
      <c r="S29" s="4" t="n"/>
    </row>
    <row r="30">
      <c r="A30" s="4">
        <f>IF($B30="","", "L"&amp;TEXT(ROW()-1,"0000"))</f>
        <v/>
      </c>
      <c r="B30" s="4" t="n"/>
      <c r="C30" s="4" t="n"/>
      <c r="D30" s="4" t="n"/>
      <c r="E30" s="4" t="n"/>
      <c r="F30" s="4" t="n"/>
      <c r="G30" s="7" t="n"/>
      <c r="H30" s="4" t="n"/>
      <c r="I30" s="9" t="n"/>
      <c r="J30" s="7" t="n"/>
      <c r="K30" s="5" t="n"/>
      <c r="L30" s="4" t="n"/>
      <c r="M30" s="5">
        <f>IF($K30="","",$K30+7)</f>
        <v/>
      </c>
      <c r="N30" s="7">
        <f>IF($O30="","", ROUND($O30/$L30,2))</f>
        <v/>
      </c>
      <c r="O30" s="7">
        <f>IF($G30="","", $G30*(1+$I30) + IF($J30="",0,$J30))</f>
        <v/>
      </c>
      <c r="P30" s="7">
        <f>IF($A30="","", $O30 - SUMIFS(Repayment_Ledger!$E$2:$E$801,Repayment_Ledger!$A$2:$A$801, $A30))</f>
        <v/>
      </c>
      <c r="Q30" s="5">
        <f>IF($P30&lt;=0,"", MINIFS(Repayment_Ledger!$C$2:$C$801, Repayment_Ledger!$A$2:$A$801, $A30, Repayment_Ledger!$F$2:$F$801, "&lt;&gt;Paid"))</f>
        <v/>
      </c>
      <c r="R30" s="4" t="n"/>
      <c r="S30" s="4" t="n"/>
    </row>
    <row r="31">
      <c r="A31" s="4">
        <f>IF($B31="","", "L"&amp;TEXT(ROW()-1,"0000"))</f>
        <v/>
      </c>
      <c r="B31" s="4" t="n"/>
      <c r="C31" s="4" t="n"/>
      <c r="D31" s="4" t="n"/>
      <c r="E31" s="4" t="n"/>
      <c r="F31" s="4" t="n"/>
      <c r="G31" s="7" t="n"/>
      <c r="H31" s="4" t="n"/>
      <c r="I31" s="9" t="n"/>
      <c r="J31" s="7" t="n"/>
      <c r="K31" s="5" t="n"/>
      <c r="L31" s="4" t="n"/>
      <c r="M31" s="5">
        <f>IF($K31="","",$K31+7)</f>
        <v/>
      </c>
      <c r="N31" s="7">
        <f>IF($O31="","", ROUND($O31/$L31,2))</f>
        <v/>
      </c>
      <c r="O31" s="7">
        <f>IF($G31="","", $G31*(1+$I31) + IF($J31="",0,$J31))</f>
        <v/>
      </c>
      <c r="P31" s="7">
        <f>IF($A31="","", $O31 - SUMIFS(Repayment_Ledger!$E$2:$E$801,Repayment_Ledger!$A$2:$A$801, $A31))</f>
        <v/>
      </c>
      <c r="Q31" s="5">
        <f>IF($P31&lt;=0,"", MINIFS(Repayment_Ledger!$C$2:$C$801, Repayment_Ledger!$A$2:$A$801, $A31, Repayment_Ledger!$F$2:$F$801, "&lt;&gt;Paid"))</f>
        <v/>
      </c>
      <c r="R31" s="4" t="n"/>
      <c r="S31" s="4" t="n"/>
    </row>
    <row r="32">
      <c r="A32" s="4">
        <f>IF($B32="","", "L"&amp;TEXT(ROW()-1,"0000"))</f>
        <v/>
      </c>
      <c r="B32" s="4" t="n"/>
      <c r="C32" s="4" t="n"/>
      <c r="D32" s="4" t="n"/>
      <c r="E32" s="4" t="n"/>
      <c r="F32" s="4" t="n"/>
      <c r="G32" s="7" t="n"/>
      <c r="H32" s="4" t="n"/>
      <c r="I32" s="9" t="n"/>
      <c r="J32" s="7" t="n"/>
      <c r="K32" s="5" t="n"/>
      <c r="L32" s="4" t="n"/>
      <c r="M32" s="5">
        <f>IF($K32="","",$K32+7)</f>
        <v/>
      </c>
      <c r="N32" s="7">
        <f>IF($O32="","", ROUND($O32/$L32,2))</f>
        <v/>
      </c>
      <c r="O32" s="7">
        <f>IF($G32="","", $G32*(1+$I32) + IF($J32="",0,$J32))</f>
        <v/>
      </c>
      <c r="P32" s="7">
        <f>IF($A32="","", $O32 - SUMIFS(Repayment_Ledger!$E$2:$E$801,Repayment_Ledger!$A$2:$A$801, $A32))</f>
        <v/>
      </c>
      <c r="Q32" s="5">
        <f>IF($P32&lt;=0,"", MINIFS(Repayment_Ledger!$C$2:$C$801, Repayment_Ledger!$A$2:$A$801, $A32, Repayment_Ledger!$F$2:$F$801, "&lt;&gt;Paid"))</f>
        <v/>
      </c>
      <c r="R32" s="4" t="n"/>
      <c r="S32" s="4" t="n"/>
    </row>
    <row r="33">
      <c r="A33" s="4">
        <f>IF($B33="","", "L"&amp;TEXT(ROW()-1,"0000"))</f>
        <v/>
      </c>
      <c r="B33" s="4" t="n"/>
      <c r="C33" s="4" t="n"/>
      <c r="D33" s="4" t="n"/>
      <c r="E33" s="4" t="n"/>
      <c r="F33" s="4" t="n"/>
      <c r="G33" s="7" t="n"/>
      <c r="H33" s="4" t="n"/>
      <c r="I33" s="9" t="n"/>
      <c r="J33" s="7" t="n"/>
      <c r="K33" s="5" t="n"/>
      <c r="L33" s="4" t="n"/>
      <c r="M33" s="5">
        <f>IF($K33="","",$K33+7)</f>
        <v/>
      </c>
      <c r="N33" s="7">
        <f>IF($O33="","", ROUND($O33/$L33,2))</f>
        <v/>
      </c>
      <c r="O33" s="7">
        <f>IF($G33="","", $G33*(1+$I33) + IF($J33="",0,$J33))</f>
        <v/>
      </c>
      <c r="P33" s="7">
        <f>IF($A33="","", $O33 - SUMIFS(Repayment_Ledger!$E$2:$E$801,Repayment_Ledger!$A$2:$A$801, $A33))</f>
        <v/>
      </c>
      <c r="Q33" s="5">
        <f>IF($P33&lt;=0,"", MINIFS(Repayment_Ledger!$C$2:$C$801, Repayment_Ledger!$A$2:$A$801, $A33, Repayment_Ledger!$F$2:$F$801, "&lt;&gt;Paid"))</f>
        <v/>
      </c>
      <c r="R33" s="4" t="n"/>
      <c r="S33" s="4" t="n"/>
    </row>
    <row r="34">
      <c r="A34" s="4">
        <f>IF($B34="","", "L"&amp;TEXT(ROW()-1,"0000"))</f>
        <v/>
      </c>
      <c r="B34" s="4" t="n"/>
      <c r="C34" s="4" t="n"/>
      <c r="D34" s="4" t="n"/>
      <c r="E34" s="4" t="n"/>
      <c r="F34" s="4" t="n"/>
      <c r="G34" s="7" t="n"/>
      <c r="H34" s="4" t="n"/>
      <c r="I34" s="9" t="n"/>
      <c r="J34" s="7" t="n"/>
      <c r="K34" s="5" t="n"/>
      <c r="L34" s="4" t="n"/>
      <c r="M34" s="5">
        <f>IF($K34="","",$K34+7)</f>
        <v/>
      </c>
      <c r="N34" s="7">
        <f>IF($O34="","", ROUND($O34/$L34,2))</f>
        <v/>
      </c>
      <c r="O34" s="7">
        <f>IF($G34="","", $G34*(1+$I34) + IF($J34="",0,$J34))</f>
        <v/>
      </c>
      <c r="P34" s="7">
        <f>IF($A34="","", $O34 - SUMIFS(Repayment_Ledger!$E$2:$E$801,Repayment_Ledger!$A$2:$A$801, $A34))</f>
        <v/>
      </c>
      <c r="Q34" s="5">
        <f>IF($P34&lt;=0,"", MINIFS(Repayment_Ledger!$C$2:$C$801, Repayment_Ledger!$A$2:$A$801, $A34, Repayment_Ledger!$F$2:$F$801, "&lt;&gt;Paid"))</f>
        <v/>
      </c>
      <c r="R34" s="4" t="n"/>
      <c r="S34" s="4" t="n"/>
    </row>
    <row r="35">
      <c r="A35" s="4">
        <f>IF($B35="","", "L"&amp;TEXT(ROW()-1,"0000"))</f>
        <v/>
      </c>
      <c r="B35" s="4" t="n"/>
      <c r="C35" s="4" t="n"/>
      <c r="D35" s="4" t="n"/>
      <c r="E35" s="4" t="n"/>
      <c r="F35" s="4" t="n"/>
      <c r="G35" s="7" t="n"/>
      <c r="H35" s="4" t="n"/>
      <c r="I35" s="9" t="n"/>
      <c r="J35" s="7" t="n"/>
      <c r="K35" s="5" t="n"/>
      <c r="L35" s="4" t="n"/>
      <c r="M35" s="5">
        <f>IF($K35="","",$K35+7)</f>
        <v/>
      </c>
      <c r="N35" s="7">
        <f>IF($O35="","", ROUND($O35/$L35,2))</f>
        <v/>
      </c>
      <c r="O35" s="7">
        <f>IF($G35="","", $G35*(1+$I35) + IF($J35="",0,$J35))</f>
        <v/>
      </c>
      <c r="P35" s="7">
        <f>IF($A35="","", $O35 - SUMIFS(Repayment_Ledger!$E$2:$E$801,Repayment_Ledger!$A$2:$A$801, $A35))</f>
        <v/>
      </c>
      <c r="Q35" s="5">
        <f>IF($P35&lt;=0,"", MINIFS(Repayment_Ledger!$C$2:$C$801, Repayment_Ledger!$A$2:$A$801, $A35, Repayment_Ledger!$F$2:$F$801, "&lt;&gt;Paid"))</f>
        <v/>
      </c>
      <c r="R35" s="4" t="n"/>
      <c r="S35" s="4" t="n"/>
    </row>
    <row r="36">
      <c r="A36" s="4">
        <f>IF($B36="","", "L"&amp;TEXT(ROW()-1,"0000"))</f>
        <v/>
      </c>
      <c r="B36" s="4" t="n"/>
      <c r="C36" s="4" t="n"/>
      <c r="D36" s="4" t="n"/>
      <c r="E36" s="4" t="n"/>
      <c r="F36" s="4" t="n"/>
      <c r="G36" s="7" t="n"/>
      <c r="H36" s="4" t="n"/>
      <c r="I36" s="9" t="n"/>
      <c r="J36" s="7" t="n"/>
      <c r="K36" s="5" t="n"/>
      <c r="L36" s="4" t="n"/>
      <c r="M36" s="5">
        <f>IF($K36="","",$K36+7)</f>
        <v/>
      </c>
      <c r="N36" s="7">
        <f>IF($O36="","", ROUND($O36/$L36,2))</f>
        <v/>
      </c>
      <c r="O36" s="7">
        <f>IF($G36="","", $G36*(1+$I36) + IF($J36="",0,$J36))</f>
        <v/>
      </c>
      <c r="P36" s="7">
        <f>IF($A36="","", $O36 - SUMIFS(Repayment_Ledger!$E$2:$E$801,Repayment_Ledger!$A$2:$A$801, $A36))</f>
        <v/>
      </c>
      <c r="Q36" s="5">
        <f>IF($P36&lt;=0,"", MINIFS(Repayment_Ledger!$C$2:$C$801, Repayment_Ledger!$A$2:$A$801, $A36, Repayment_Ledger!$F$2:$F$801, "&lt;&gt;Paid"))</f>
        <v/>
      </c>
      <c r="R36" s="4" t="n"/>
      <c r="S36" s="4" t="n"/>
    </row>
    <row r="37">
      <c r="A37" s="4">
        <f>IF($B37="","", "L"&amp;TEXT(ROW()-1,"0000"))</f>
        <v/>
      </c>
      <c r="B37" s="4" t="n"/>
      <c r="C37" s="4" t="n"/>
      <c r="D37" s="4" t="n"/>
      <c r="E37" s="4" t="n"/>
      <c r="F37" s="4" t="n"/>
      <c r="G37" s="7" t="n"/>
      <c r="H37" s="4" t="n"/>
      <c r="I37" s="9" t="n"/>
      <c r="J37" s="7" t="n"/>
      <c r="K37" s="5" t="n"/>
      <c r="L37" s="4" t="n"/>
      <c r="M37" s="5">
        <f>IF($K37="","",$K37+7)</f>
        <v/>
      </c>
      <c r="N37" s="7">
        <f>IF($O37="","", ROUND($O37/$L37,2))</f>
        <v/>
      </c>
      <c r="O37" s="7">
        <f>IF($G37="","", $G37*(1+$I37) + IF($J37="",0,$J37))</f>
        <v/>
      </c>
      <c r="P37" s="7">
        <f>IF($A37="","", $O37 - SUMIFS(Repayment_Ledger!$E$2:$E$801,Repayment_Ledger!$A$2:$A$801, $A37))</f>
        <v/>
      </c>
      <c r="Q37" s="5">
        <f>IF($P37&lt;=0,"", MINIFS(Repayment_Ledger!$C$2:$C$801, Repayment_Ledger!$A$2:$A$801, $A37, Repayment_Ledger!$F$2:$F$801, "&lt;&gt;Paid"))</f>
        <v/>
      </c>
      <c r="R37" s="4" t="n"/>
      <c r="S37" s="4" t="n"/>
    </row>
    <row r="38">
      <c r="A38" s="4">
        <f>IF($B38="","", "L"&amp;TEXT(ROW()-1,"0000"))</f>
        <v/>
      </c>
      <c r="B38" s="4" t="n"/>
      <c r="C38" s="4" t="n"/>
      <c r="D38" s="4" t="n"/>
      <c r="E38" s="4" t="n"/>
      <c r="F38" s="4" t="n"/>
      <c r="G38" s="7" t="n"/>
      <c r="H38" s="4" t="n"/>
      <c r="I38" s="9" t="n"/>
      <c r="J38" s="7" t="n"/>
      <c r="K38" s="5" t="n"/>
      <c r="L38" s="4" t="n"/>
      <c r="M38" s="5">
        <f>IF($K38="","",$K38+7)</f>
        <v/>
      </c>
      <c r="N38" s="7">
        <f>IF($O38="","", ROUND($O38/$L38,2))</f>
        <v/>
      </c>
      <c r="O38" s="7">
        <f>IF($G38="","", $G38*(1+$I38) + IF($J38="",0,$J38))</f>
        <v/>
      </c>
      <c r="P38" s="7">
        <f>IF($A38="","", $O38 - SUMIFS(Repayment_Ledger!$E$2:$E$801,Repayment_Ledger!$A$2:$A$801, $A38))</f>
        <v/>
      </c>
      <c r="Q38" s="5">
        <f>IF($P38&lt;=0,"", MINIFS(Repayment_Ledger!$C$2:$C$801, Repayment_Ledger!$A$2:$A$801, $A38, Repayment_Ledger!$F$2:$F$801, "&lt;&gt;Paid"))</f>
        <v/>
      </c>
      <c r="R38" s="4" t="n"/>
      <c r="S38" s="4" t="n"/>
    </row>
    <row r="39">
      <c r="A39" s="4">
        <f>IF($B39="","", "L"&amp;TEXT(ROW()-1,"0000"))</f>
        <v/>
      </c>
      <c r="B39" s="4" t="n"/>
      <c r="C39" s="4" t="n"/>
      <c r="D39" s="4" t="n"/>
      <c r="E39" s="4" t="n"/>
      <c r="F39" s="4" t="n"/>
      <c r="G39" s="7" t="n"/>
      <c r="H39" s="4" t="n"/>
      <c r="I39" s="9" t="n"/>
      <c r="J39" s="7" t="n"/>
      <c r="K39" s="5" t="n"/>
      <c r="L39" s="4" t="n"/>
      <c r="M39" s="5">
        <f>IF($K39="","",$K39+7)</f>
        <v/>
      </c>
      <c r="N39" s="7">
        <f>IF($O39="","", ROUND($O39/$L39,2))</f>
        <v/>
      </c>
      <c r="O39" s="7">
        <f>IF($G39="","", $G39*(1+$I39) + IF($J39="",0,$J39))</f>
        <v/>
      </c>
      <c r="P39" s="7">
        <f>IF($A39="","", $O39 - SUMIFS(Repayment_Ledger!$E$2:$E$801,Repayment_Ledger!$A$2:$A$801, $A39))</f>
        <v/>
      </c>
      <c r="Q39" s="5">
        <f>IF($P39&lt;=0,"", MINIFS(Repayment_Ledger!$C$2:$C$801, Repayment_Ledger!$A$2:$A$801, $A39, Repayment_Ledger!$F$2:$F$801, "&lt;&gt;Paid"))</f>
        <v/>
      </c>
      <c r="R39" s="4" t="n"/>
      <c r="S39" s="4" t="n"/>
    </row>
    <row r="40">
      <c r="A40" s="4">
        <f>IF($B40="","", "L"&amp;TEXT(ROW()-1,"0000"))</f>
        <v/>
      </c>
      <c r="B40" s="4" t="n"/>
      <c r="C40" s="4" t="n"/>
      <c r="D40" s="4" t="n"/>
      <c r="E40" s="4" t="n"/>
      <c r="F40" s="4" t="n"/>
      <c r="G40" s="7" t="n"/>
      <c r="H40" s="4" t="n"/>
      <c r="I40" s="9" t="n"/>
      <c r="J40" s="7" t="n"/>
      <c r="K40" s="5" t="n"/>
      <c r="L40" s="4" t="n"/>
      <c r="M40" s="5">
        <f>IF($K40="","",$K40+7)</f>
        <v/>
      </c>
      <c r="N40" s="7">
        <f>IF($O40="","", ROUND($O40/$L40,2))</f>
        <v/>
      </c>
      <c r="O40" s="7">
        <f>IF($G40="","", $G40*(1+$I40) + IF($J40="",0,$J40))</f>
        <v/>
      </c>
      <c r="P40" s="7">
        <f>IF($A40="","", $O40 - SUMIFS(Repayment_Ledger!$E$2:$E$801,Repayment_Ledger!$A$2:$A$801, $A40))</f>
        <v/>
      </c>
      <c r="Q40" s="5">
        <f>IF($P40&lt;=0,"", MINIFS(Repayment_Ledger!$C$2:$C$801, Repayment_Ledger!$A$2:$A$801, $A40, Repayment_Ledger!$F$2:$F$801, "&lt;&gt;Paid"))</f>
        <v/>
      </c>
      <c r="R40" s="4" t="n"/>
      <c r="S40" s="4" t="n"/>
    </row>
    <row r="41">
      <c r="A41" s="4">
        <f>IF($B41="","", "L"&amp;TEXT(ROW()-1,"0000"))</f>
        <v/>
      </c>
      <c r="B41" s="4" t="n"/>
      <c r="C41" s="4" t="n"/>
      <c r="D41" s="4" t="n"/>
      <c r="E41" s="4" t="n"/>
      <c r="F41" s="4" t="n"/>
      <c r="G41" s="7" t="n"/>
      <c r="H41" s="4" t="n"/>
      <c r="I41" s="9" t="n"/>
      <c r="J41" s="7" t="n"/>
      <c r="K41" s="5" t="n"/>
      <c r="L41" s="4" t="n"/>
      <c r="M41" s="5">
        <f>IF($K41="","",$K41+7)</f>
        <v/>
      </c>
      <c r="N41" s="7">
        <f>IF($O41="","", ROUND($O41/$L41,2))</f>
        <v/>
      </c>
      <c r="O41" s="7">
        <f>IF($G41="","", $G41*(1+$I41) + IF($J41="",0,$J41))</f>
        <v/>
      </c>
      <c r="P41" s="7">
        <f>IF($A41="","", $O41 - SUMIFS(Repayment_Ledger!$E$2:$E$801,Repayment_Ledger!$A$2:$A$801, $A41))</f>
        <v/>
      </c>
      <c r="Q41" s="5">
        <f>IF($P41&lt;=0,"", MINIFS(Repayment_Ledger!$C$2:$C$801, Repayment_Ledger!$A$2:$A$801, $A41, Repayment_Ledger!$F$2:$F$801, "&lt;&gt;Paid"))</f>
        <v/>
      </c>
      <c r="R41" s="4" t="n"/>
      <c r="S41" s="4" t="n"/>
    </row>
    <row r="42">
      <c r="A42" s="4">
        <f>IF($B42="","", "L"&amp;TEXT(ROW()-1,"0000"))</f>
        <v/>
      </c>
      <c r="B42" s="4" t="n"/>
      <c r="C42" s="4" t="n"/>
      <c r="D42" s="4" t="n"/>
      <c r="E42" s="4" t="n"/>
      <c r="F42" s="4" t="n"/>
      <c r="G42" s="7" t="n"/>
      <c r="H42" s="4" t="n"/>
      <c r="I42" s="9" t="n"/>
      <c r="J42" s="7" t="n"/>
      <c r="K42" s="5" t="n"/>
      <c r="L42" s="4" t="n"/>
      <c r="M42" s="5">
        <f>IF($K42="","",$K42+7)</f>
        <v/>
      </c>
      <c r="N42" s="7">
        <f>IF($O42="","", ROUND($O42/$L42,2))</f>
        <v/>
      </c>
      <c r="O42" s="7">
        <f>IF($G42="","", $G42*(1+$I42) + IF($J42="",0,$J42))</f>
        <v/>
      </c>
      <c r="P42" s="7">
        <f>IF($A42="","", $O42 - SUMIFS(Repayment_Ledger!$E$2:$E$801,Repayment_Ledger!$A$2:$A$801, $A42))</f>
        <v/>
      </c>
      <c r="Q42" s="5">
        <f>IF($P42&lt;=0,"", MINIFS(Repayment_Ledger!$C$2:$C$801, Repayment_Ledger!$A$2:$A$801, $A42, Repayment_Ledger!$F$2:$F$801, "&lt;&gt;Paid"))</f>
        <v/>
      </c>
      <c r="R42" s="4" t="n"/>
      <c r="S42" s="4" t="n"/>
    </row>
    <row r="43">
      <c r="A43" s="4">
        <f>IF($B43="","", "L"&amp;TEXT(ROW()-1,"0000"))</f>
        <v/>
      </c>
      <c r="B43" s="4" t="n"/>
      <c r="C43" s="4" t="n"/>
      <c r="D43" s="4" t="n"/>
      <c r="E43" s="4" t="n"/>
      <c r="F43" s="4" t="n"/>
      <c r="G43" s="7" t="n"/>
      <c r="H43" s="4" t="n"/>
      <c r="I43" s="9" t="n"/>
      <c r="J43" s="7" t="n"/>
      <c r="K43" s="5" t="n"/>
      <c r="L43" s="4" t="n"/>
      <c r="M43" s="5">
        <f>IF($K43="","",$K43+7)</f>
        <v/>
      </c>
      <c r="N43" s="7">
        <f>IF($O43="","", ROUND($O43/$L43,2))</f>
        <v/>
      </c>
      <c r="O43" s="7">
        <f>IF($G43="","", $G43*(1+$I43) + IF($J43="",0,$J43))</f>
        <v/>
      </c>
      <c r="P43" s="7">
        <f>IF($A43="","", $O43 - SUMIFS(Repayment_Ledger!$E$2:$E$801,Repayment_Ledger!$A$2:$A$801, $A43))</f>
        <v/>
      </c>
      <c r="Q43" s="5">
        <f>IF($P43&lt;=0,"", MINIFS(Repayment_Ledger!$C$2:$C$801, Repayment_Ledger!$A$2:$A$801, $A43, Repayment_Ledger!$F$2:$F$801, "&lt;&gt;Paid"))</f>
        <v/>
      </c>
      <c r="R43" s="4" t="n"/>
      <c r="S43" s="4" t="n"/>
    </row>
    <row r="44">
      <c r="A44" s="4">
        <f>IF($B44="","", "L"&amp;TEXT(ROW()-1,"0000"))</f>
        <v/>
      </c>
      <c r="B44" s="4" t="n"/>
      <c r="C44" s="4" t="n"/>
      <c r="D44" s="4" t="n"/>
      <c r="E44" s="4" t="n"/>
      <c r="F44" s="4" t="n"/>
      <c r="G44" s="7" t="n"/>
      <c r="H44" s="4" t="n"/>
      <c r="I44" s="9" t="n"/>
      <c r="J44" s="7" t="n"/>
      <c r="K44" s="5" t="n"/>
      <c r="L44" s="4" t="n"/>
      <c r="M44" s="5">
        <f>IF($K44="","",$K44+7)</f>
        <v/>
      </c>
      <c r="N44" s="7">
        <f>IF($O44="","", ROUND($O44/$L44,2))</f>
        <v/>
      </c>
      <c r="O44" s="7">
        <f>IF($G44="","", $G44*(1+$I44) + IF($J44="",0,$J44))</f>
        <v/>
      </c>
      <c r="P44" s="7">
        <f>IF($A44="","", $O44 - SUMIFS(Repayment_Ledger!$E$2:$E$801,Repayment_Ledger!$A$2:$A$801, $A44))</f>
        <v/>
      </c>
      <c r="Q44" s="5">
        <f>IF($P44&lt;=0,"", MINIFS(Repayment_Ledger!$C$2:$C$801, Repayment_Ledger!$A$2:$A$801, $A44, Repayment_Ledger!$F$2:$F$801, "&lt;&gt;Paid"))</f>
        <v/>
      </c>
      <c r="R44" s="4" t="n"/>
      <c r="S44" s="4" t="n"/>
    </row>
    <row r="45">
      <c r="A45" s="4">
        <f>IF($B45="","", "L"&amp;TEXT(ROW()-1,"0000"))</f>
        <v/>
      </c>
      <c r="B45" s="4" t="n"/>
      <c r="C45" s="4" t="n"/>
      <c r="D45" s="4" t="n"/>
      <c r="E45" s="4" t="n"/>
      <c r="F45" s="4" t="n"/>
      <c r="G45" s="7" t="n"/>
      <c r="H45" s="4" t="n"/>
      <c r="I45" s="9" t="n"/>
      <c r="J45" s="7" t="n"/>
      <c r="K45" s="5" t="n"/>
      <c r="L45" s="4" t="n"/>
      <c r="M45" s="5">
        <f>IF($K45="","",$K45+7)</f>
        <v/>
      </c>
      <c r="N45" s="7">
        <f>IF($O45="","", ROUND($O45/$L45,2))</f>
        <v/>
      </c>
      <c r="O45" s="7">
        <f>IF($G45="","", $G45*(1+$I45) + IF($J45="",0,$J45))</f>
        <v/>
      </c>
      <c r="P45" s="7">
        <f>IF($A45="","", $O45 - SUMIFS(Repayment_Ledger!$E$2:$E$801,Repayment_Ledger!$A$2:$A$801, $A45))</f>
        <v/>
      </c>
      <c r="Q45" s="5">
        <f>IF($P45&lt;=0,"", MINIFS(Repayment_Ledger!$C$2:$C$801, Repayment_Ledger!$A$2:$A$801, $A45, Repayment_Ledger!$F$2:$F$801, "&lt;&gt;Paid"))</f>
        <v/>
      </c>
      <c r="R45" s="4" t="n"/>
      <c r="S45" s="4" t="n"/>
    </row>
    <row r="46">
      <c r="A46" s="4">
        <f>IF($B46="","", "L"&amp;TEXT(ROW()-1,"0000"))</f>
        <v/>
      </c>
      <c r="B46" s="4" t="n"/>
      <c r="C46" s="4" t="n"/>
      <c r="D46" s="4" t="n"/>
      <c r="E46" s="4" t="n"/>
      <c r="F46" s="4" t="n"/>
      <c r="G46" s="7" t="n"/>
      <c r="H46" s="4" t="n"/>
      <c r="I46" s="9" t="n"/>
      <c r="J46" s="7" t="n"/>
      <c r="K46" s="5" t="n"/>
      <c r="L46" s="4" t="n"/>
      <c r="M46" s="5">
        <f>IF($K46="","",$K46+7)</f>
        <v/>
      </c>
      <c r="N46" s="7">
        <f>IF($O46="","", ROUND($O46/$L46,2))</f>
        <v/>
      </c>
      <c r="O46" s="7">
        <f>IF($G46="","", $G46*(1+$I46) + IF($J46="",0,$J46))</f>
        <v/>
      </c>
      <c r="P46" s="7">
        <f>IF($A46="","", $O46 - SUMIFS(Repayment_Ledger!$E$2:$E$801,Repayment_Ledger!$A$2:$A$801, $A46))</f>
        <v/>
      </c>
      <c r="Q46" s="5">
        <f>IF($P46&lt;=0,"", MINIFS(Repayment_Ledger!$C$2:$C$801, Repayment_Ledger!$A$2:$A$801, $A46, Repayment_Ledger!$F$2:$F$801, "&lt;&gt;Paid"))</f>
        <v/>
      </c>
      <c r="R46" s="4" t="n"/>
      <c r="S46" s="4" t="n"/>
    </row>
    <row r="47">
      <c r="A47" s="4">
        <f>IF($B47="","", "L"&amp;TEXT(ROW()-1,"0000"))</f>
        <v/>
      </c>
      <c r="B47" s="4" t="n"/>
      <c r="C47" s="4" t="n"/>
      <c r="D47" s="4" t="n"/>
      <c r="E47" s="4" t="n"/>
      <c r="F47" s="4" t="n"/>
      <c r="G47" s="7" t="n"/>
      <c r="H47" s="4" t="n"/>
      <c r="I47" s="9" t="n"/>
      <c r="J47" s="7" t="n"/>
      <c r="K47" s="5" t="n"/>
      <c r="L47" s="4" t="n"/>
      <c r="M47" s="5">
        <f>IF($K47="","",$K47+7)</f>
        <v/>
      </c>
      <c r="N47" s="7">
        <f>IF($O47="","", ROUND($O47/$L47,2))</f>
        <v/>
      </c>
      <c r="O47" s="7">
        <f>IF($G47="","", $G47*(1+$I47) + IF($J47="",0,$J47))</f>
        <v/>
      </c>
      <c r="P47" s="7">
        <f>IF($A47="","", $O47 - SUMIFS(Repayment_Ledger!$E$2:$E$801,Repayment_Ledger!$A$2:$A$801, $A47))</f>
        <v/>
      </c>
      <c r="Q47" s="5">
        <f>IF($P47&lt;=0,"", MINIFS(Repayment_Ledger!$C$2:$C$801, Repayment_Ledger!$A$2:$A$801, $A47, Repayment_Ledger!$F$2:$F$801, "&lt;&gt;Paid"))</f>
        <v/>
      </c>
      <c r="R47" s="4" t="n"/>
      <c r="S47" s="4" t="n"/>
    </row>
    <row r="48">
      <c r="A48" s="4">
        <f>IF($B48="","", "L"&amp;TEXT(ROW()-1,"0000"))</f>
        <v/>
      </c>
      <c r="B48" s="4" t="n"/>
      <c r="C48" s="4" t="n"/>
      <c r="D48" s="4" t="n"/>
      <c r="E48" s="4" t="n"/>
      <c r="F48" s="4" t="n"/>
      <c r="G48" s="7" t="n"/>
      <c r="H48" s="4" t="n"/>
      <c r="I48" s="9" t="n"/>
      <c r="J48" s="7" t="n"/>
      <c r="K48" s="5" t="n"/>
      <c r="L48" s="4" t="n"/>
      <c r="M48" s="5">
        <f>IF($K48="","",$K48+7)</f>
        <v/>
      </c>
      <c r="N48" s="7">
        <f>IF($O48="","", ROUND($O48/$L48,2))</f>
        <v/>
      </c>
      <c r="O48" s="7">
        <f>IF($G48="","", $G48*(1+$I48) + IF($J48="",0,$J48))</f>
        <v/>
      </c>
      <c r="P48" s="7">
        <f>IF($A48="","", $O48 - SUMIFS(Repayment_Ledger!$E$2:$E$801,Repayment_Ledger!$A$2:$A$801, $A48))</f>
        <v/>
      </c>
      <c r="Q48" s="5">
        <f>IF($P48&lt;=0,"", MINIFS(Repayment_Ledger!$C$2:$C$801, Repayment_Ledger!$A$2:$A$801, $A48, Repayment_Ledger!$F$2:$F$801, "&lt;&gt;Paid"))</f>
        <v/>
      </c>
      <c r="R48" s="4" t="n"/>
      <c r="S48" s="4" t="n"/>
    </row>
    <row r="49">
      <c r="A49" s="4">
        <f>IF($B49="","", "L"&amp;TEXT(ROW()-1,"0000"))</f>
        <v/>
      </c>
      <c r="B49" s="4" t="n"/>
      <c r="C49" s="4" t="n"/>
      <c r="D49" s="4" t="n"/>
      <c r="E49" s="4" t="n"/>
      <c r="F49" s="4" t="n"/>
      <c r="G49" s="7" t="n"/>
      <c r="H49" s="4" t="n"/>
      <c r="I49" s="9" t="n"/>
      <c r="J49" s="7" t="n"/>
      <c r="K49" s="5" t="n"/>
      <c r="L49" s="4" t="n"/>
      <c r="M49" s="5">
        <f>IF($K49="","",$K49+7)</f>
        <v/>
      </c>
      <c r="N49" s="7">
        <f>IF($O49="","", ROUND($O49/$L49,2))</f>
        <v/>
      </c>
      <c r="O49" s="7">
        <f>IF($G49="","", $G49*(1+$I49) + IF($J49="",0,$J49))</f>
        <v/>
      </c>
      <c r="P49" s="7">
        <f>IF($A49="","", $O49 - SUMIFS(Repayment_Ledger!$E$2:$E$801,Repayment_Ledger!$A$2:$A$801, $A49))</f>
        <v/>
      </c>
      <c r="Q49" s="5">
        <f>IF($P49&lt;=0,"", MINIFS(Repayment_Ledger!$C$2:$C$801, Repayment_Ledger!$A$2:$A$801, $A49, Repayment_Ledger!$F$2:$F$801, "&lt;&gt;Paid"))</f>
        <v/>
      </c>
      <c r="R49" s="4" t="n"/>
      <c r="S49" s="4" t="n"/>
    </row>
    <row r="50">
      <c r="A50" s="4">
        <f>IF($B50="","", "L"&amp;TEXT(ROW()-1,"0000"))</f>
        <v/>
      </c>
      <c r="B50" s="4" t="n"/>
      <c r="C50" s="4" t="n"/>
      <c r="D50" s="4" t="n"/>
      <c r="E50" s="4" t="n"/>
      <c r="F50" s="4" t="n"/>
      <c r="G50" s="7" t="n"/>
      <c r="H50" s="4" t="n"/>
      <c r="I50" s="9" t="n"/>
      <c r="J50" s="7" t="n"/>
      <c r="K50" s="5" t="n"/>
      <c r="L50" s="4" t="n"/>
      <c r="M50" s="5">
        <f>IF($K50="","",$K50+7)</f>
        <v/>
      </c>
      <c r="N50" s="7">
        <f>IF($O50="","", ROUND($O50/$L50,2))</f>
        <v/>
      </c>
      <c r="O50" s="7">
        <f>IF($G50="","", $G50*(1+$I50) + IF($J50="",0,$J50))</f>
        <v/>
      </c>
      <c r="P50" s="7">
        <f>IF($A50="","", $O50 - SUMIFS(Repayment_Ledger!$E$2:$E$801,Repayment_Ledger!$A$2:$A$801, $A50))</f>
        <v/>
      </c>
      <c r="Q50" s="5">
        <f>IF($P50&lt;=0,"", MINIFS(Repayment_Ledger!$C$2:$C$801, Repayment_Ledger!$A$2:$A$801, $A50, Repayment_Ledger!$F$2:$F$801, "&lt;&gt;Paid"))</f>
        <v/>
      </c>
      <c r="R50" s="4" t="n"/>
      <c r="S50" s="4" t="n"/>
    </row>
    <row r="51">
      <c r="A51" s="4">
        <f>IF($B51="","", "L"&amp;TEXT(ROW()-1,"0000"))</f>
        <v/>
      </c>
      <c r="B51" s="4" t="n"/>
      <c r="C51" s="4" t="n"/>
      <c r="D51" s="4" t="n"/>
      <c r="E51" s="4" t="n"/>
      <c r="F51" s="4" t="n"/>
      <c r="G51" s="7" t="n"/>
      <c r="H51" s="4" t="n"/>
      <c r="I51" s="9" t="n"/>
      <c r="J51" s="7" t="n"/>
      <c r="K51" s="5" t="n"/>
      <c r="L51" s="4" t="n"/>
      <c r="M51" s="5">
        <f>IF($K51="","",$K51+7)</f>
        <v/>
      </c>
      <c r="N51" s="7">
        <f>IF($O51="","", ROUND($O51/$L51,2))</f>
        <v/>
      </c>
      <c r="O51" s="7">
        <f>IF($G51="","", $G51*(1+$I51) + IF($J51="",0,$J51))</f>
        <v/>
      </c>
      <c r="P51" s="7">
        <f>IF($A51="","", $O51 - SUMIFS(Repayment_Ledger!$E$2:$E$801,Repayment_Ledger!$A$2:$A$801, $A51))</f>
        <v/>
      </c>
      <c r="Q51" s="5">
        <f>IF($P51&lt;=0,"", MINIFS(Repayment_Ledger!$C$2:$C$801, Repayment_Ledger!$A$2:$A$801, $A51, Repayment_Ledger!$F$2:$F$801, "&lt;&gt;Paid"))</f>
        <v/>
      </c>
      <c r="R51" s="4" t="n"/>
      <c r="S51" s="4" t="n"/>
    </row>
    <row r="52">
      <c r="A52" s="4">
        <f>IF($B52="","", "L"&amp;TEXT(ROW()-1,"0000"))</f>
        <v/>
      </c>
      <c r="B52" s="4" t="n"/>
      <c r="C52" s="4" t="n"/>
      <c r="D52" s="4" t="n"/>
      <c r="E52" s="4" t="n"/>
      <c r="F52" s="4" t="n"/>
      <c r="G52" s="7" t="n"/>
      <c r="H52" s="4" t="n"/>
      <c r="I52" s="9" t="n"/>
      <c r="J52" s="7" t="n"/>
      <c r="K52" s="5" t="n"/>
      <c r="L52" s="4" t="n"/>
      <c r="M52" s="5">
        <f>IF($K52="","",$K52+7)</f>
        <v/>
      </c>
      <c r="N52" s="7">
        <f>IF($O52="","", ROUND($O52/$L52,2))</f>
        <v/>
      </c>
      <c r="O52" s="7">
        <f>IF($G52="","", $G52*(1+$I52) + IF($J52="",0,$J52))</f>
        <v/>
      </c>
      <c r="P52" s="7">
        <f>IF($A52="","", $O52 - SUMIFS(Repayment_Ledger!$E$2:$E$801,Repayment_Ledger!$A$2:$A$801, $A52))</f>
        <v/>
      </c>
      <c r="Q52" s="5">
        <f>IF($P52&lt;=0,"", MINIFS(Repayment_Ledger!$C$2:$C$801, Repayment_Ledger!$A$2:$A$801, $A52, Repayment_Ledger!$F$2:$F$801, "&lt;&gt;Paid"))</f>
        <v/>
      </c>
      <c r="R52" s="4" t="n"/>
      <c r="S52" s="4" t="n"/>
    </row>
    <row r="53">
      <c r="A53" s="4">
        <f>IF($B53="","", "L"&amp;TEXT(ROW()-1,"0000"))</f>
        <v/>
      </c>
      <c r="B53" s="4" t="n"/>
      <c r="C53" s="4" t="n"/>
      <c r="D53" s="4" t="n"/>
      <c r="E53" s="4" t="n"/>
      <c r="F53" s="4" t="n"/>
      <c r="G53" s="7" t="n"/>
      <c r="H53" s="4" t="n"/>
      <c r="I53" s="9" t="n"/>
      <c r="J53" s="7" t="n"/>
      <c r="K53" s="5" t="n"/>
      <c r="L53" s="4" t="n"/>
      <c r="M53" s="5">
        <f>IF($K53="","",$K53+7)</f>
        <v/>
      </c>
      <c r="N53" s="7">
        <f>IF($O53="","", ROUND($O53/$L53,2))</f>
        <v/>
      </c>
      <c r="O53" s="7">
        <f>IF($G53="","", $G53*(1+$I53) + IF($J53="",0,$J53))</f>
        <v/>
      </c>
      <c r="P53" s="7">
        <f>IF($A53="","", $O53 - SUMIFS(Repayment_Ledger!$E$2:$E$801,Repayment_Ledger!$A$2:$A$801, $A53))</f>
        <v/>
      </c>
      <c r="Q53" s="5">
        <f>IF($P53&lt;=0,"", MINIFS(Repayment_Ledger!$C$2:$C$801, Repayment_Ledger!$A$2:$A$801, $A53, Repayment_Ledger!$F$2:$F$801, "&lt;&gt;Paid"))</f>
        <v/>
      </c>
      <c r="R53" s="4" t="n"/>
      <c r="S53" s="4" t="n"/>
    </row>
    <row r="54">
      <c r="A54" s="4">
        <f>IF($B54="","", "L"&amp;TEXT(ROW()-1,"0000"))</f>
        <v/>
      </c>
      <c r="B54" s="4" t="n"/>
      <c r="C54" s="4" t="n"/>
      <c r="D54" s="4" t="n"/>
      <c r="E54" s="4" t="n"/>
      <c r="F54" s="4" t="n"/>
      <c r="G54" s="7" t="n"/>
      <c r="H54" s="4" t="n"/>
      <c r="I54" s="9" t="n"/>
      <c r="J54" s="7" t="n"/>
      <c r="K54" s="5" t="n"/>
      <c r="L54" s="4" t="n"/>
      <c r="M54" s="5">
        <f>IF($K54="","",$K54+7)</f>
        <v/>
      </c>
      <c r="N54" s="7">
        <f>IF($O54="","", ROUND($O54/$L54,2))</f>
        <v/>
      </c>
      <c r="O54" s="7">
        <f>IF($G54="","", $G54*(1+$I54) + IF($J54="",0,$J54))</f>
        <v/>
      </c>
      <c r="P54" s="7">
        <f>IF($A54="","", $O54 - SUMIFS(Repayment_Ledger!$E$2:$E$801,Repayment_Ledger!$A$2:$A$801, $A54))</f>
        <v/>
      </c>
      <c r="Q54" s="5">
        <f>IF($P54&lt;=0,"", MINIFS(Repayment_Ledger!$C$2:$C$801, Repayment_Ledger!$A$2:$A$801, $A54, Repayment_Ledger!$F$2:$F$801, "&lt;&gt;Paid"))</f>
        <v/>
      </c>
      <c r="R54" s="4" t="n"/>
      <c r="S54" s="4" t="n"/>
    </row>
    <row r="55">
      <c r="A55" s="4">
        <f>IF($B55="","", "L"&amp;TEXT(ROW()-1,"0000"))</f>
        <v/>
      </c>
      <c r="B55" s="4" t="n"/>
      <c r="C55" s="4" t="n"/>
      <c r="D55" s="4" t="n"/>
      <c r="E55" s="4" t="n"/>
      <c r="F55" s="4" t="n"/>
      <c r="G55" s="7" t="n"/>
      <c r="H55" s="4" t="n"/>
      <c r="I55" s="9" t="n"/>
      <c r="J55" s="7" t="n"/>
      <c r="K55" s="5" t="n"/>
      <c r="L55" s="4" t="n"/>
      <c r="M55" s="5">
        <f>IF($K55="","",$K55+7)</f>
        <v/>
      </c>
      <c r="N55" s="7">
        <f>IF($O55="","", ROUND($O55/$L55,2))</f>
        <v/>
      </c>
      <c r="O55" s="7">
        <f>IF($G55="","", $G55*(1+$I55) + IF($J55="",0,$J55))</f>
        <v/>
      </c>
      <c r="P55" s="7">
        <f>IF($A55="","", $O55 - SUMIFS(Repayment_Ledger!$E$2:$E$801,Repayment_Ledger!$A$2:$A$801, $A55))</f>
        <v/>
      </c>
      <c r="Q55" s="5">
        <f>IF($P55&lt;=0,"", MINIFS(Repayment_Ledger!$C$2:$C$801, Repayment_Ledger!$A$2:$A$801, $A55, Repayment_Ledger!$F$2:$F$801, "&lt;&gt;Paid"))</f>
        <v/>
      </c>
      <c r="R55" s="4" t="n"/>
      <c r="S55" s="4" t="n"/>
    </row>
    <row r="56">
      <c r="A56" s="4">
        <f>IF($B56="","", "L"&amp;TEXT(ROW()-1,"0000"))</f>
        <v/>
      </c>
      <c r="B56" s="4" t="n"/>
      <c r="C56" s="4" t="n"/>
      <c r="D56" s="4" t="n"/>
      <c r="E56" s="4" t="n"/>
      <c r="F56" s="4" t="n"/>
      <c r="G56" s="7" t="n"/>
      <c r="H56" s="4" t="n"/>
      <c r="I56" s="9" t="n"/>
      <c r="J56" s="7" t="n"/>
      <c r="K56" s="5" t="n"/>
      <c r="L56" s="4" t="n"/>
      <c r="M56" s="5">
        <f>IF($K56="","",$K56+7)</f>
        <v/>
      </c>
      <c r="N56" s="7">
        <f>IF($O56="","", ROUND($O56/$L56,2))</f>
        <v/>
      </c>
      <c r="O56" s="7">
        <f>IF($G56="","", $G56*(1+$I56) + IF($J56="",0,$J56))</f>
        <v/>
      </c>
      <c r="P56" s="7">
        <f>IF($A56="","", $O56 - SUMIFS(Repayment_Ledger!$E$2:$E$801,Repayment_Ledger!$A$2:$A$801, $A56))</f>
        <v/>
      </c>
      <c r="Q56" s="5">
        <f>IF($P56&lt;=0,"", MINIFS(Repayment_Ledger!$C$2:$C$801, Repayment_Ledger!$A$2:$A$801, $A56, Repayment_Ledger!$F$2:$F$801, "&lt;&gt;Paid"))</f>
        <v/>
      </c>
      <c r="R56" s="4" t="n"/>
      <c r="S56" s="4" t="n"/>
    </row>
    <row r="57">
      <c r="A57" s="4">
        <f>IF($B57="","", "L"&amp;TEXT(ROW()-1,"0000"))</f>
        <v/>
      </c>
      <c r="B57" s="4" t="n"/>
      <c r="C57" s="4" t="n"/>
      <c r="D57" s="4" t="n"/>
      <c r="E57" s="4" t="n"/>
      <c r="F57" s="4" t="n"/>
      <c r="G57" s="7" t="n"/>
      <c r="H57" s="4" t="n"/>
      <c r="I57" s="9" t="n"/>
      <c r="J57" s="7" t="n"/>
      <c r="K57" s="5" t="n"/>
      <c r="L57" s="4" t="n"/>
      <c r="M57" s="5">
        <f>IF($K57="","",$K57+7)</f>
        <v/>
      </c>
      <c r="N57" s="7">
        <f>IF($O57="","", ROUND($O57/$L57,2))</f>
        <v/>
      </c>
      <c r="O57" s="7">
        <f>IF($G57="","", $G57*(1+$I57) + IF($J57="",0,$J57))</f>
        <v/>
      </c>
      <c r="P57" s="7">
        <f>IF($A57="","", $O57 - SUMIFS(Repayment_Ledger!$E$2:$E$801,Repayment_Ledger!$A$2:$A$801, $A57))</f>
        <v/>
      </c>
      <c r="Q57" s="5">
        <f>IF($P57&lt;=0,"", MINIFS(Repayment_Ledger!$C$2:$C$801, Repayment_Ledger!$A$2:$A$801, $A57, Repayment_Ledger!$F$2:$F$801, "&lt;&gt;Paid"))</f>
        <v/>
      </c>
      <c r="R57" s="4" t="n"/>
      <c r="S57" s="4" t="n"/>
    </row>
    <row r="58">
      <c r="A58" s="4">
        <f>IF($B58="","", "L"&amp;TEXT(ROW()-1,"0000"))</f>
        <v/>
      </c>
      <c r="B58" s="4" t="n"/>
      <c r="C58" s="4" t="n"/>
      <c r="D58" s="4" t="n"/>
      <c r="E58" s="4" t="n"/>
      <c r="F58" s="4" t="n"/>
      <c r="G58" s="7" t="n"/>
      <c r="H58" s="4" t="n"/>
      <c r="I58" s="9" t="n"/>
      <c r="J58" s="7" t="n"/>
      <c r="K58" s="5" t="n"/>
      <c r="L58" s="4" t="n"/>
      <c r="M58" s="5">
        <f>IF($K58="","",$K58+7)</f>
        <v/>
      </c>
      <c r="N58" s="7">
        <f>IF($O58="","", ROUND($O58/$L58,2))</f>
        <v/>
      </c>
      <c r="O58" s="7">
        <f>IF($G58="","", $G58*(1+$I58) + IF($J58="",0,$J58))</f>
        <v/>
      </c>
      <c r="P58" s="7">
        <f>IF($A58="","", $O58 - SUMIFS(Repayment_Ledger!$E$2:$E$801,Repayment_Ledger!$A$2:$A$801, $A58))</f>
        <v/>
      </c>
      <c r="Q58" s="5">
        <f>IF($P58&lt;=0,"", MINIFS(Repayment_Ledger!$C$2:$C$801, Repayment_Ledger!$A$2:$A$801, $A58, Repayment_Ledger!$F$2:$F$801, "&lt;&gt;Paid"))</f>
        <v/>
      </c>
      <c r="R58" s="4" t="n"/>
      <c r="S58" s="4" t="n"/>
    </row>
    <row r="59">
      <c r="A59" s="4">
        <f>IF($B59="","", "L"&amp;TEXT(ROW()-1,"0000"))</f>
        <v/>
      </c>
      <c r="B59" s="4" t="n"/>
      <c r="C59" s="4" t="n"/>
      <c r="D59" s="4" t="n"/>
      <c r="E59" s="4" t="n"/>
      <c r="F59" s="4" t="n"/>
      <c r="G59" s="7" t="n"/>
      <c r="H59" s="4" t="n"/>
      <c r="I59" s="9" t="n"/>
      <c r="J59" s="7" t="n"/>
      <c r="K59" s="5" t="n"/>
      <c r="L59" s="4" t="n"/>
      <c r="M59" s="5">
        <f>IF($K59="","",$K59+7)</f>
        <v/>
      </c>
      <c r="N59" s="7">
        <f>IF($O59="","", ROUND($O59/$L59,2))</f>
        <v/>
      </c>
      <c r="O59" s="7">
        <f>IF($G59="","", $G59*(1+$I59) + IF($J59="",0,$J59))</f>
        <v/>
      </c>
      <c r="P59" s="7">
        <f>IF($A59="","", $O59 - SUMIFS(Repayment_Ledger!$E$2:$E$801,Repayment_Ledger!$A$2:$A$801, $A59))</f>
        <v/>
      </c>
      <c r="Q59" s="5">
        <f>IF($P59&lt;=0,"", MINIFS(Repayment_Ledger!$C$2:$C$801, Repayment_Ledger!$A$2:$A$801, $A59, Repayment_Ledger!$F$2:$F$801, "&lt;&gt;Paid"))</f>
        <v/>
      </c>
      <c r="R59" s="4" t="n"/>
      <c r="S59" s="4" t="n"/>
    </row>
    <row r="60">
      <c r="A60" s="4">
        <f>IF($B60="","", "L"&amp;TEXT(ROW()-1,"0000"))</f>
        <v/>
      </c>
      <c r="B60" s="4" t="n"/>
      <c r="C60" s="4" t="n"/>
      <c r="D60" s="4" t="n"/>
      <c r="E60" s="4" t="n"/>
      <c r="F60" s="4" t="n"/>
      <c r="G60" s="7" t="n"/>
      <c r="H60" s="4" t="n"/>
      <c r="I60" s="9" t="n"/>
      <c r="J60" s="7" t="n"/>
      <c r="K60" s="5" t="n"/>
      <c r="L60" s="4" t="n"/>
      <c r="M60" s="5">
        <f>IF($K60="","",$K60+7)</f>
        <v/>
      </c>
      <c r="N60" s="7">
        <f>IF($O60="","", ROUND($O60/$L60,2))</f>
        <v/>
      </c>
      <c r="O60" s="7">
        <f>IF($G60="","", $G60*(1+$I60) + IF($J60="",0,$J60))</f>
        <v/>
      </c>
      <c r="P60" s="7">
        <f>IF($A60="","", $O60 - SUMIFS(Repayment_Ledger!$E$2:$E$801,Repayment_Ledger!$A$2:$A$801, $A60))</f>
        <v/>
      </c>
      <c r="Q60" s="5">
        <f>IF($P60&lt;=0,"", MINIFS(Repayment_Ledger!$C$2:$C$801, Repayment_Ledger!$A$2:$A$801, $A60, Repayment_Ledger!$F$2:$F$801, "&lt;&gt;Paid"))</f>
        <v/>
      </c>
      <c r="R60" s="4" t="n"/>
      <c r="S60" s="4" t="n"/>
    </row>
    <row r="61">
      <c r="A61" s="4">
        <f>IF($B61="","", "L"&amp;TEXT(ROW()-1,"0000"))</f>
        <v/>
      </c>
      <c r="B61" s="4" t="n"/>
      <c r="C61" s="4" t="n"/>
      <c r="D61" s="4" t="n"/>
      <c r="E61" s="4" t="n"/>
      <c r="F61" s="4" t="n"/>
      <c r="G61" s="7" t="n"/>
      <c r="H61" s="4" t="n"/>
      <c r="I61" s="9" t="n"/>
      <c r="J61" s="7" t="n"/>
      <c r="K61" s="5" t="n"/>
      <c r="L61" s="4" t="n"/>
      <c r="M61" s="5">
        <f>IF($K61="","",$K61+7)</f>
        <v/>
      </c>
      <c r="N61" s="7">
        <f>IF($O61="","", ROUND($O61/$L61,2))</f>
        <v/>
      </c>
      <c r="O61" s="7">
        <f>IF($G61="","", $G61*(1+$I61) + IF($J61="",0,$J61))</f>
        <v/>
      </c>
      <c r="P61" s="7">
        <f>IF($A61="","", $O61 - SUMIFS(Repayment_Ledger!$E$2:$E$801,Repayment_Ledger!$A$2:$A$801, $A61))</f>
        <v/>
      </c>
      <c r="Q61" s="5">
        <f>IF($P61&lt;=0,"", MINIFS(Repayment_Ledger!$C$2:$C$801, Repayment_Ledger!$A$2:$A$801, $A61, Repayment_Ledger!$F$2:$F$801, "&lt;&gt;Paid"))</f>
        <v/>
      </c>
      <c r="R61" s="4" t="n"/>
      <c r="S61" s="4" t="n"/>
    </row>
    <row r="62">
      <c r="A62" s="4">
        <f>IF($B62="","", "L"&amp;TEXT(ROW()-1,"0000"))</f>
        <v/>
      </c>
      <c r="B62" s="4" t="n"/>
      <c r="C62" s="4" t="n"/>
      <c r="D62" s="4" t="n"/>
      <c r="E62" s="4" t="n"/>
      <c r="F62" s="4" t="n"/>
      <c r="G62" s="7" t="n"/>
      <c r="H62" s="4" t="n"/>
      <c r="I62" s="9" t="n"/>
      <c r="J62" s="7" t="n"/>
      <c r="K62" s="5" t="n"/>
      <c r="L62" s="4" t="n"/>
      <c r="M62" s="5">
        <f>IF($K62="","",$K62+7)</f>
        <v/>
      </c>
      <c r="N62" s="7">
        <f>IF($O62="","", ROUND($O62/$L62,2))</f>
        <v/>
      </c>
      <c r="O62" s="7">
        <f>IF($G62="","", $G62*(1+$I62) + IF($J62="",0,$J62))</f>
        <v/>
      </c>
      <c r="P62" s="7">
        <f>IF($A62="","", $O62 - SUMIFS(Repayment_Ledger!$E$2:$E$801,Repayment_Ledger!$A$2:$A$801, $A62))</f>
        <v/>
      </c>
      <c r="Q62" s="5">
        <f>IF($P62&lt;=0,"", MINIFS(Repayment_Ledger!$C$2:$C$801, Repayment_Ledger!$A$2:$A$801, $A62, Repayment_Ledger!$F$2:$F$801, "&lt;&gt;Paid"))</f>
        <v/>
      </c>
      <c r="R62" s="4" t="n"/>
      <c r="S62" s="4" t="n"/>
    </row>
    <row r="63">
      <c r="A63" s="4">
        <f>IF($B63="","", "L"&amp;TEXT(ROW()-1,"0000"))</f>
        <v/>
      </c>
      <c r="B63" s="4" t="n"/>
      <c r="C63" s="4" t="n"/>
      <c r="D63" s="4" t="n"/>
      <c r="E63" s="4" t="n"/>
      <c r="F63" s="4" t="n"/>
      <c r="G63" s="7" t="n"/>
      <c r="H63" s="4" t="n"/>
      <c r="I63" s="9" t="n"/>
      <c r="J63" s="7" t="n"/>
      <c r="K63" s="5" t="n"/>
      <c r="L63" s="4" t="n"/>
      <c r="M63" s="5">
        <f>IF($K63="","",$K63+7)</f>
        <v/>
      </c>
      <c r="N63" s="7">
        <f>IF($O63="","", ROUND($O63/$L63,2))</f>
        <v/>
      </c>
      <c r="O63" s="7">
        <f>IF($G63="","", $G63*(1+$I63) + IF($J63="",0,$J63))</f>
        <v/>
      </c>
      <c r="P63" s="7">
        <f>IF($A63="","", $O63 - SUMIFS(Repayment_Ledger!$E$2:$E$801,Repayment_Ledger!$A$2:$A$801, $A63))</f>
        <v/>
      </c>
      <c r="Q63" s="5">
        <f>IF($P63&lt;=0,"", MINIFS(Repayment_Ledger!$C$2:$C$801, Repayment_Ledger!$A$2:$A$801, $A63, Repayment_Ledger!$F$2:$F$801, "&lt;&gt;Paid"))</f>
        <v/>
      </c>
      <c r="R63" s="4" t="n"/>
      <c r="S63" s="4" t="n"/>
    </row>
    <row r="64">
      <c r="A64" s="4">
        <f>IF($B64="","", "L"&amp;TEXT(ROW()-1,"0000"))</f>
        <v/>
      </c>
      <c r="B64" s="4" t="n"/>
      <c r="C64" s="4" t="n"/>
      <c r="D64" s="4" t="n"/>
      <c r="E64" s="4" t="n"/>
      <c r="F64" s="4" t="n"/>
      <c r="G64" s="7" t="n"/>
      <c r="H64" s="4" t="n"/>
      <c r="I64" s="9" t="n"/>
      <c r="J64" s="7" t="n"/>
      <c r="K64" s="5" t="n"/>
      <c r="L64" s="4" t="n"/>
      <c r="M64" s="5">
        <f>IF($K64="","",$K64+7)</f>
        <v/>
      </c>
      <c r="N64" s="7">
        <f>IF($O64="","", ROUND($O64/$L64,2))</f>
        <v/>
      </c>
      <c r="O64" s="7">
        <f>IF($G64="","", $G64*(1+$I64) + IF($J64="",0,$J64))</f>
        <v/>
      </c>
      <c r="P64" s="7">
        <f>IF($A64="","", $O64 - SUMIFS(Repayment_Ledger!$E$2:$E$801,Repayment_Ledger!$A$2:$A$801, $A64))</f>
        <v/>
      </c>
      <c r="Q64" s="5">
        <f>IF($P64&lt;=0,"", MINIFS(Repayment_Ledger!$C$2:$C$801, Repayment_Ledger!$A$2:$A$801, $A64, Repayment_Ledger!$F$2:$F$801, "&lt;&gt;Paid"))</f>
        <v/>
      </c>
      <c r="R64" s="4" t="n"/>
      <c r="S64" s="4" t="n"/>
    </row>
    <row r="65">
      <c r="A65" s="4">
        <f>IF($B65="","", "L"&amp;TEXT(ROW()-1,"0000"))</f>
        <v/>
      </c>
      <c r="B65" s="4" t="n"/>
      <c r="C65" s="4" t="n"/>
      <c r="D65" s="4" t="n"/>
      <c r="E65" s="4" t="n"/>
      <c r="F65" s="4" t="n"/>
      <c r="G65" s="7" t="n"/>
      <c r="H65" s="4" t="n"/>
      <c r="I65" s="9" t="n"/>
      <c r="J65" s="7" t="n"/>
      <c r="K65" s="5" t="n"/>
      <c r="L65" s="4" t="n"/>
      <c r="M65" s="5">
        <f>IF($K65="","",$K65+7)</f>
        <v/>
      </c>
      <c r="N65" s="7">
        <f>IF($O65="","", ROUND($O65/$L65,2))</f>
        <v/>
      </c>
      <c r="O65" s="7">
        <f>IF($G65="","", $G65*(1+$I65) + IF($J65="",0,$J65))</f>
        <v/>
      </c>
      <c r="P65" s="7">
        <f>IF($A65="","", $O65 - SUMIFS(Repayment_Ledger!$E$2:$E$801,Repayment_Ledger!$A$2:$A$801, $A65))</f>
        <v/>
      </c>
      <c r="Q65" s="5">
        <f>IF($P65&lt;=0,"", MINIFS(Repayment_Ledger!$C$2:$C$801, Repayment_Ledger!$A$2:$A$801, $A65, Repayment_Ledger!$F$2:$F$801, "&lt;&gt;Paid"))</f>
        <v/>
      </c>
      <c r="R65" s="4" t="n"/>
      <c r="S65" s="4" t="n"/>
    </row>
    <row r="66">
      <c r="A66" s="4">
        <f>IF($B66="","", "L"&amp;TEXT(ROW()-1,"0000"))</f>
        <v/>
      </c>
      <c r="B66" s="4" t="n"/>
      <c r="C66" s="4" t="n"/>
      <c r="D66" s="4" t="n"/>
      <c r="E66" s="4" t="n"/>
      <c r="F66" s="4" t="n"/>
      <c r="G66" s="7" t="n"/>
      <c r="H66" s="4" t="n"/>
      <c r="I66" s="9" t="n"/>
      <c r="J66" s="7" t="n"/>
      <c r="K66" s="5" t="n"/>
      <c r="L66" s="4" t="n"/>
      <c r="M66" s="5">
        <f>IF($K66="","",$K66+7)</f>
        <v/>
      </c>
      <c r="N66" s="7">
        <f>IF($O66="","", ROUND($O66/$L66,2))</f>
        <v/>
      </c>
      <c r="O66" s="7">
        <f>IF($G66="","", $G66*(1+$I66) + IF($J66="",0,$J66))</f>
        <v/>
      </c>
      <c r="P66" s="7">
        <f>IF($A66="","", $O66 - SUMIFS(Repayment_Ledger!$E$2:$E$801,Repayment_Ledger!$A$2:$A$801, $A66))</f>
        <v/>
      </c>
      <c r="Q66" s="5">
        <f>IF($P66&lt;=0,"", MINIFS(Repayment_Ledger!$C$2:$C$801, Repayment_Ledger!$A$2:$A$801, $A66, Repayment_Ledger!$F$2:$F$801, "&lt;&gt;Paid"))</f>
        <v/>
      </c>
      <c r="R66" s="4" t="n"/>
      <c r="S66" s="4" t="n"/>
    </row>
    <row r="67">
      <c r="A67" s="4">
        <f>IF($B67="","", "L"&amp;TEXT(ROW()-1,"0000"))</f>
        <v/>
      </c>
      <c r="B67" s="4" t="n"/>
      <c r="C67" s="4" t="n"/>
      <c r="D67" s="4" t="n"/>
      <c r="E67" s="4" t="n"/>
      <c r="F67" s="4" t="n"/>
      <c r="G67" s="7" t="n"/>
      <c r="H67" s="4" t="n"/>
      <c r="I67" s="9" t="n"/>
      <c r="J67" s="7" t="n"/>
      <c r="K67" s="5" t="n"/>
      <c r="L67" s="4" t="n"/>
      <c r="M67" s="5">
        <f>IF($K67="","",$K67+7)</f>
        <v/>
      </c>
      <c r="N67" s="7">
        <f>IF($O67="","", ROUND($O67/$L67,2))</f>
        <v/>
      </c>
      <c r="O67" s="7">
        <f>IF($G67="","", $G67*(1+$I67) + IF($J67="",0,$J67))</f>
        <v/>
      </c>
      <c r="P67" s="7">
        <f>IF($A67="","", $O67 - SUMIFS(Repayment_Ledger!$E$2:$E$801,Repayment_Ledger!$A$2:$A$801, $A67))</f>
        <v/>
      </c>
      <c r="Q67" s="5">
        <f>IF($P67&lt;=0,"", MINIFS(Repayment_Ledger!$C$2:$C$801, Repayment_Ledger!$A$2:$A$801, $A67, Repayment_Ledger!$F$2:$F$801, "&lt;&gt;Paid"))</f>
        <v/>
      </c>
      <c r="R67" s="4" t="n"/>
      <c r="S67" s="4" t="n"/>
    </row>
    <row r="68">
      <c r="A68" s="4">
        <f>IF($B68="","", "L"&amp;TEXT(ROW()-1,"0000"))</f>
        <v/>
      </c>
      <c r="B68" s="4" t="n"/>
      <c r="C68" s="4" t="n"/>
      <c r="D68" s="4" t="n"/>
      <c r="E68" s="4" t="n"/>
      <c r="F68" s="4" t="n"/>
      <c r="G68" s="7" t="n"/>
      <c r="H68" s="4" t="n"/>
      <c r="I68" s="9" t="n"/>
      <c r="J68" s="7" t="n"/>
      <c r="K68" s="5" t="n"/>
      <c r="L68" s="4" t="n"/>
      <c r="M68" s="5">
        <f>IF($K68="","",$K68+7)</f>
        <v/>
      </c>
      <c r="N68" s="7">
        <f>IF($O68="","", ROUND($O68/$L68,2))</f>
        <v/>
      </c>
      <c r="O68" s="7">
        <f>IF($G68="","", $G68*(1+$I68) + IF($J68="",0,$J68))</f>
        <v/>
      </c>
      <c r="P68" s="7">
        <f>IF($A68="","", $O68 - SUMIFS(Repayment_Ledger!$E$2:$E$801,Repayment_Ledger!$A$2:$A$801, $A68))</f>
        <v/>
      </c>
      <c r="Q68" s="5">
        <f>IF($P68&lt;=0,"", MINIFS(Repayment_Ledger!$C$2:$C$801, Repayment_Ledger!$A$2:$A$801, $A68, Repayment_Ledger!$F$2:$F$801, "&lt;&gt;Paid"))</f>
        <v/>
      </c>
      <c r="R68" s="4" t="n"/>
      <c r="S68" s="4" t="n"/>
    </row>
    <row r="69">
      <c r="A69" s="4">
        <f>IF($B69="","", "L"&amp;TEXT(ROW()-1,"0000"))</f>
        <v/>
      </c>
      <c r="B69" s="4" t="n"/>
      <c r="C69" s="4" t="n"/>
      <c r="D69" s="4" t="n"/>
      <c r="E69" s="4" t="n"/>
      <c r="F69" s="4" t="n"/>
      <c r="G69" s="7" t="n"/>
      <c r="H69" s="4" t="n"/>
      <c r="I69" s="9" t="n"/>
      <c r="J69" s="7" t="n"/>
      <c r="K69" s="5" t="n"/>
      <c r="L69" s="4" t="n"/>
      <c r="M69" s="5">
        <f>IF($K69="","",$K69+7)</f>
        <v/>
      </c>
      <c r="N69" s="7">
        <f>IF($O69="","", ROUND($O69/$L69,2))</f>
        <v/>
      </c>
      <c r="O69" s="7">
        <f>IF($G69="","", $G69*(1+$I69) + IF($J69="",0,$J69))</f>
        <v/>
      </c>
      <c r="P69" s="7">
        <f>IF($A69="","", $O69 - SUMIFS(Repayment_Ledger!$E$2:$E$801,Repayment_Ledger!$A$2:$A$801, $A69))</f>
        <v/>
      </c>
      <c r="Q69" s="5">
        <f>IF($P69&lt;=0,"", MINIFS(Repayment_Ledger!$C$2:$C$801, Repayment_Ledger!$A$2:$A$801, $A69, Repayment_Ledger!$F$2:$F$801, "&lt;&gt;Paid"))</f>
        <v/>
      </c>
      <c r="R69" s="4" t="n"/>
      <c r="S69" s="4" t="n"/>
    </row>
    <row r="70">
      <c r="A70" s="4">
        <f>IF($B70="","", "L"&amp;TEXT(ROW()-1,"0000"))</f>
        <v/>
      </c>
      <c r="B70" s="4" t="n"/>
      <c r="C70" s="4" t="n"/>
      <c r="D70" s="4" t="n"/>
      <c r="E70" s="4" t="n"/>
      <c r="F70" s="4" t="n"/>
      <c r="G70" s="7" t="n"/>
      <c r="H70" s="4" t="n"/>
      <c r="I70" s="9" t="n"/>
      <c r="J70" s="7" t="n"/>
      <c r="K70" s="5" t="n"/>
      <c r="L70" s="4" t="n"/>
      <c r="M70" s="5">
        <f>IF($K70="","",$K70+7)</f>
        <v/>
      </c>
      <c r="N70" s="7">
        <f>IF($O70="","", ROUND($O70/$L70,2))</f>
        <v/>
      </c>
      <c r="O70" s="7">
        <f>IF($G70="","", $G70*(1+$I70) + IF($J70="",0,$J70))</f>
        <v/>
      </c>
      <c r="P70" s="7">
        <f>IF($A70="","", $O70 - SUMIFS(Repayment_Ledger!$E$2:$E$801,Repayment_Ledger!$A$2:$A$801, $A70))</f>
        <v/>
      </c>
      <c r="Q70" s="5">
        <f>IF($P70&lt;=0,"", MINIFS(Repayment_Ledger!$C$2:$C$801, Repayment_Ledger!$A$2:$A$801, $A70, Repayment_Ledger!$F$2:$F$801, "&lt;&gt;Paid"))</f>
        <v/>
      </c>
      <c r="R70" s="4" t="n"/>
      <c r="S70" s="4" t="n"/>
    </row>
    <row r="71">
      <c r="A71" s="4">
        <f>IF($B71="","", "L"&amp;TEXT(ROW()-1,"0000"))</f>
        <v/>
      </c>
      <c r="B71" s="4" t="n"/>
      <c r="C71" s="4" t="n"/>
      <c r="D71" s="4" t="n"/>
      <c r="E71" s="4" t="n"/>
      <c r="F71" s="4" t="n"/>
      <c r="G71" s="7" t="n"/>
      <c r="H71" s="4" t="n"/>
      <c r="I71" s="9" t="n"/>
      <c r="J71" s="7" t="n"/>
      <c r="K71" s="5" t="n"/>
      <c r="L71" s="4" t="n"/>
      <c r="M71" s="5">
        <f>IF($K71="","",$K71+7)</f>
        <v/>
      </c>
      <c r="N71" s="7">
        <f>IF($O71="","", ROUND($O71/$L71,2))</f>
        <v/>
      </c>
      <c r="O71" s="7">
        <f>IF($G71="","", $G71*(1+$I71) + IF($J71="",0,$J71))</f>
        <v/>
      </c>
      <c r="P71" s="7">
        <f>IF($A71="","", $O71 - SUMIFS(Repayment_Ledger!$E$2:$E$801,Repayment_Ledger!$A$2:$A$801, $A71))</f>
        <v/>
      </c>
      <c r="Q71" s="5">
        <f>IF($P71&lt;=0,"", MINIFS(Repayment_Ledger!$C$2:$C$801, Repayment_Ledger!$A$2:$A$801, $A71, Repayment_Ledger!$F$2:$F$801, "&lt;&gt;Paid"))</f>
        <v/>
      </c>
      <c r="R71" s="4" t="n"/>
      <c r="S71" s="4" t="n"/>
    </row>
    <row r="72">
      <c r="A72" s="4">
        <f>IF($B72="","", "L"&amp;TEXT(ROW()-1,"0000"))</f>
        <v/>
      </c>
      <c r="B72" s="4" t="n"/>
      <c r="C72" s="4" t="n"/>
      <c r="D72" s="4" t="n"/>
      <c r="E72" s="4" t="n"/>
      <c r="F72" s="4" t="n"/>
      <c r="G72" s="7" t="n"/>
      <c r="H72" s="4" t="n"/>
      <c r="I72" s="9" t="n"/>
      <c r="J72" s="7" t="n"/>
      <c r="K72" s="5" t="n"/>
      <c r="L72" s="4" t="n"/>
      <c r="M72" s="5">
        <f>IF($K72="","",$K72+7)</f>
        <v/>
      </c>
      <c r="N72" s="7">
        <f>IF($O72="","", ROUND($O72/$L72,2))</f>
        <v/>
      </c>
      <c r="O72" s="7">
        <f>IF($G72="","", $G72*(1+$I72) + IF($J72="",0,$J72))</f>
        <v/>
      </c>
      <c r="P72" s="7">
        <f>IF($A72="","", $O72 - SUMIFS(Repayment_Ledger!$E$2:$E$801,Repayment_Ledger!$A$2:$A$801, $A72))</f>
        <v/>
      </c>
      <c r="Q72" s="5">
        <f>IF($P72&lt;=0,"", MINIFS(Repayment_Ledger!$C$2:$C$801, Repayment_Ledger!$A$2:$A$801, $A72, Repayment_Ledger!$F$2:$F$801, "&lt;&gt;Paid"))</f>
        <v/>
      </c>
      <c r="R72" s="4" t="n"/>
      <c r="S72" s="4" t="n"/>
    </row>
    <row r="73">
      <c r="A73" s="4">
        <f>IF($B73="","", "L"&amp;TEXT(ROW()-1,"0000"))</f>
        <v/>
      </c>
      <c r="B73" s="4" t="n"/>
      <c r="C73" s="4" t="n"/>
      <c r="D73" s="4" t="n"/>
      <c r="E73" s="4" t="n"/>
      <c r="F73" s="4" t="n"/>
      <c r="G73" s="7" t="n"/>
      <c r="H73" s="4" t="n"/>
      <c r="I73" s="9" t="n"/>
      <c r="J73" s="7" t="n"/>
      <c r="K73" s="5" t="n"/>
      <c r="L73" s="4" t="n"/>
      <c r="M73" s="5">
        <f>IF($K73="","",$K73+7)</f>
        <v/>
      </c>
      <c r="N73" s="7">
        <f>IF($O73="","", ROUND($O73/$L73,2))</f>
        <v/>
      </c>
      <c r="O73" s="7">
        <f>IF($G73="","", $G73*(1+$I73) + IF($J73="",0,$J73))</f>
        <v/>
      </c>
      <c r="P73" s="7">
        <f>IF($A73="","", $O73 - SUMIFS(Repayment_Ledger!$E$2:$E$801,Repayment_Ledger!$A$2:$A$801, $A73))</f>
        <v/>
      </c>
      <c r="Q73" s="5">
        <f>IF($P73&lt;=0,"", MINIFS(Repayment_Ledger!$C$2:$C$801, Repayment_Ledger!$A$2:$A$801, $A73, Repayment_Ledger!$F$2:$F$801, "&lt;&gt;Paid"))</f>
        <v/>
      </c>
      <c r="R73" s="4" t="n"/>
      <c r="S73" s="4" t="n"/>
    </row>
    <row r="74">
      <c r="A74" s="4">
        <f>IF($B74="","", "L"&amp;TEXT(ROW()-1,"0000"))</f>
        <v/>
      </c>
      <c r="B74" s="4" t="n"/>
      <c r="C74" s="4" t="n"/>
      <c r="D74" s="4" t="n"/>
      <c r="E74" s="4" t="n"/>
      <c r="F74" s="4" t="n"/>
      <c r="G74" s="7" t="n"/>
      <c r="H74" s="4" t="n"/>
      <c r="I74" s="9" t="n"/>
      <c r="J74" s="7" t="n"/>
      <c r="K74" s="5" t="n"/>
      <c r="L74" s="4" t="n"/>
      <c r="M74" s="5">
        <f>IF($K74="","",$K74+7)</f>
        <v/>
      </c>
      <c r="N74" s="7">
        <f>IF($O74="","", ROUND($O74/$L74,2))</f>
        <v/>
      </c>
      <c r="O74" s="7">
        <f>IF($G74="","", $G74*(1+$I74) + IF($J74="",0,$J74))</f>
        <v/>
      </c>
      <c r="P74" s="7">
        <f>IF($A74="","", $O74 - SUMIFS(Repayment_Ledger!$E$2:$E$801,Repayment_Ledger!$A$2:$A$801, $A74))</f>
        <v/>
      </c>
      <c r="Q74" s="5">
        <f>IF($P74&lt;=0,"", MINIFS(Repayment_Ledger!$C$2:$C$801, Repayment_Ledger!$A$2:$A$801, $A74, Repayment_Ledger!$F$2:$F$801, "&lt;&gt;Paid"))</f>
        <v/>
      </c>
      <c r="R74" s="4" t="n"/>
      <c r="S74" s="4" t="n"/>
    </row>
    <row r="75">
      <c r="A75" s="4">
        <f>IF($B75="","", "L"&amp;TEXT(ROW()-1,"0000"))</f>
        <v/>
      </c>
      <c r="B75" s="4" t="n"/>
      <c r="C75" s="4" t="n"/>
      <c r="D75" s="4" t="n"/>
      <c r="E75" s="4" t="n"/>
      <c r="F75" s="4" t="n"/>
      <c r="G75" s="7" t="n"/>
      <c r="H75" s="4" t="n"/>
      <c r="I75" s="9" t="n"/>
      <c r="J75" s="7" t="n"/>
      <c r="K75" s="5" t="n"/>
      <c r="L75" s="4" t="n"/>
      <c r="M75" s="5">
        <f>IF($K75="","",$K75+7)</f>
        <v/>
      </c>
      <c r="N75" s="7">
        <f>IF($O75="","", ROUND($O75/$L75,2))</f>
        <v/>
      </c>
      <c r="O75" s="7">
        <f>IF($G75="","", $G75*(1+$I75) + IF($J75="",0,$J75))</f>
        <v/>
      </c>
      <c r="P75" s="7">
        <f>IF($A75="","", $O75 - SUMIFS(Repayment_Ledger!$E$2:$E$801,Repayment_Ledger!$A$2:$A$801, $A75))</f>
        <v/>
      </c>
      <c r="Q75" s="5">
        <f>IF($P75&lt;=0,"", MINIFS(Repayment_Ledger!$C$2:$C$801, Repayment_Ledger!$A$2:$A$801, $A75, Repayment_Ledger!$F$2:$F$801, "&lt;&gt;Paid"))</f>
        <v/>
      </c>
      <c r="R75" s="4" t="n"/>
      <c r="S75" s="4" t="n"/>
    </row>
    <row r="76">
      <c r="A76" s="4">
        <f>IF($B76="","", "L"&amp;TEXT(ROW()-1,"0000"))</f>
        <v/>
      </c>
      <c r="B76" s="4" t="n"/>
      <c r="C76" s="4" t="n"/>
      <c r="D76" s="4" t="n"/>
      <c r="E76" s="4" t="n"/>
      <c r="F76" s="4" t="n"/>
      <c r="G76" s="7" t="n"/>
      <c r="H76" s="4" t="n"/>
      <c r="I76" s="9" t="n"/>
      <c r="J76" s="7" t="n"/>
      <c r="K76" s="5" t="n"/>
      <c r="L76" s="4" t="n"/>
      <c r="M76" s="5">
        <f>IF($K76="","",$K76+7)</f>
        <v/>
      </c>
      <c r="N76" s="7">
        <f>IF($O76="","", ROUND($O76/$L76,2))</f>
        <v/>
      </c>
      <c r="O76" s="7">
        <f>IF($G76="","", $G76*(1+$I76) + IF($J76="",0,$J76))</f>
        <v/>
      </c>
      <c r="P76" s="7">
        <f>IF($A76="","", $O76 - SUMIFS(Repayment_Ledger!$E$2:$E$801,Repayment_Ledger!$A$2:$A$801, $A76))</f>
        <v/>
      </c>
      <c r="Q76" s="5">
        <f>IF($P76&lt;=0,"", MINIFS(Repayment_Ledger!$C$2:$C$801, Repayment_Ledger!$A$2:$A$801, $A76, Repayment_Ledger!$F$2:$F$801, "&lt;&gt;Paid"))</f>
        <v/>
      </c>
      <c r="R76" s="4" t="n"/>
      <c r="S76" s="4" t="n"/>
    </row>
    <row r="77">
      <c r="A77" s="4">
        <f>IF($B77="","", "L"&amp;TEXT(ROW()-1,"0000"))</f>
        <v/>
      </c>
      <c r="B77" s="4" t="n"/>
      <c r="C77" s="4" t="n"/>
      <c r="D77" s="4" t="n"/>
      <c r="E77" s="4" t="n"/>
      <c r="F77" s="4" t="n"/>
      <c r="G77" s="7" t="n"/>
      <c r="H77" s="4" t="n"/>
      <c r="I77" s="9" t="n"/>
      <c r="J77" s="7" t="n"/>
      <c r="K77" s="5" t="n"/>
      <c r="L77" s="4" t="n"/>
      <c r="M77" s="5">
        <f>IF($K77="","",$K77+7)</f>
        <v/>
      </c>
      <c r="N77" s="7">
        <f>IF($O77="","", ROUND($O77/$L77,2))</f>
        <v/>
      </c>
      <c r="O77" s="7">
        <f>IF($G77="","", $G77*(1+$I77) + IF($J77="",0,$J77))</f>
        <v/>
      </c>
      <c r="P77" s="7">
        <f>IF($A77="","", $O77 - SUMIFS(Repayment_Ledger!$E$2:$E$801,Repayment_Ledger!$A$2:$A$801, $A77))</f>
        <v/>
      </c>
      <c r="Q77" s="5">
        <f>IF($P77&lt;=0,"", MINIFS(Repayment_Ledger!$C$2:$C$801, Repayment_Ledger!$A$2:$A$801, $A77, Repayment_Ledger!$F$2:$F$801, "&lt;&gt;Paid"))</f>
        <v/>
      </c>
      <c r="R77" s="4" t="n"/>
      <c r="S77" s="4" t="n"/>
    </row>
    <row r="78">
      <c r="A78" s="4">
        <f>IF($B78="","", "L"&amp;TEXT(ROW()-1,"0000"))</f>
        <v/>
      </c>
      <c r="B78" s="4" t="n"/>
      <c r="C78" s="4" t="n"/>
      <c r="D78" s="4" t="n"/>
      <c r="E78" s="4" t="n"/>
      <c r="F78" s="4" t="n"/>
      <c r="G78" s="7" t="n"/>
      <c r="H78" s="4" t="n"/>
      <c r="I78" s="9" t="n"/>
      <c r="J78" s="7" t="n"/>
      <c r="K78" s="5" t="n"/>
      <c r="L78" s="4" t="n"/>
      <c r="M78" s="5">
        <f>IF($K78="","",$K78+7)</f>
        <v/>
      </c>
      <c r="N78" s="7">
        <f>IF($O78="","", ROUND($O78/$L78,2))</f>
        <v/>
      </c>
      <c r="O78" s="7">
        <f>IF($G78="","", $G78*(1+$I78) + IF($J78="",0,$J78))</f>
        <v/>
      </c>
      <c r="P78" s="7">
        <f>IF($A78="","", $O78 - SUMIFS(Repayment_Ledger!$E$2:$E$801,Repayment_Ledger!$A$2:$A$801, $A78))</f>
        <v/>
      </c>
      <c r="Q78" s="5">
        <f>IF($P78&lt;=0,"", MINIFS(Repayment_Ledger!$C$2:$C$801, Repayment_Ledger!$A$2:$A$801, $A78, Repayment_Ledger!$F$2:$F$801, "&lt;&gt;Paid"))</f>
        <v/>
      </c>
      <c r="R78" s="4" t="n"/>
      <c r="S78" s="4" t="n"/>
    </row>
    <row r="79">
      <c r="A79" s="4">
        <f>IF($B79="","", "L"&amp;TEXT(ROW()-1,"0000"))</f>
        <v/>
      </c>
      <c r="B79" s="4" t="n"/>
      <c r="C79" s="4" t="n"/>
      <c r="D79" s="4" t="n"/>
      <c r="E79" s="4" t="n"/>
      <c r="F79" s="4" t="n"/>
      <c r="G79" s="7" t="n"/>
      <c r="H79" s="4" t="n"/>
      <c r="I79" s="9" t="n"/>
      <c r="J79" s="7" t="n"/>
      <c r="K79" s="5" t="n"/>
      <c r="L79" s="4" t="n"/>
      <c r="M79" s="5">
        <f>IF($K79="","",$K79+7)</f>
        <v/>
      </c>
      <c r="N79" s="7">
        <f>IF($O79="","", ROUND($O79/$L79,2))</f>
        <v/>
      </c>
      <c r="O79" s="7">
        <f>IF($G79="","", $G79*(1+$I79) + IF($J79="",0,$J79))</f>
        <v/>
      </c>
      <c r="P79" s="7">
        <f>IF($A79="","", $O79 - SUMIFS(Repayment_Ledger!$E$2:$E$801,Repayment_Ledger!$A$2:$A$801, $A79))</f>
        <v/>
      </c>
      <c r="Q79" s="5">
        <f>IF($P79&lt;=0,"", MINIFS(Repayment_Ledger!$C$2:$C$801, Repayment_Ledger!$A$2:$A$801, $A79, Repayment_Ledger!$F$2:$F$801, "&lt;&gt;Paid"))</f>
        <v/>
      </c>
      <c r="R79" s="4" t="n"/>
      <c r="S79" s="4" t="n"/>
    </row>
    <row r="80">
      <c r="A80" s="4">
        <f>IF($B80="","", "L"&amp;TEXT(ROW()-1,"0000"))</f>
        <v/>
      </c>
      <c r="B80" s="4" t="n"/>
      <c r="C80" s="4" t="n"/>
      <c r="D80" s="4" t="n"/>
      <c r="E80" s="4" t="n"/>
      <c r="F80" s="4" t="n"/>
      <c r="G80" s="7" t="n"/>
      <c r="H80" s="4" t="n"/>
      <c r="I80" s="9" t="n"/>
      <c r="J80" s="7" t="n"/>
      <c r="K80" s="5" t="n"/>
      <c r="L80" s="4" t="n"/>
      <c r="M80" s="5">
        <f>IF($K80="","",$K80+7)</f>
        <v/>
      </c>
      <c r="N80" s="7">
        <f>IF($O80="","", ROUND($O80/$L80,2))</f>
        <v/>
      </c>
      <c r="O80" s="7">
        <f>IF($G80="","", $G80*(1+$I80) + IF($J80="",0,$J80))</f>
        <v/>
      </c>
      <c r="P80" s="7">
        <f>IF($A80="","", $O80 - SUMIFS(Repayment_Ledger!$E$2:$E$801,Repayment_Ledger!$A$2:$A$801, $A80))</f>
        <v/>
      </c>
      <c r="Q80" s="5">
        <f>IF($P80&lt;=0,"", MINIFS(Repayment_Ledger!$C$2:$C$801, Repayment_Ledger!$A$2:$A$801, $A80, Repayment_Ledger!$F$2:$F$801, "&lt;&gt;Paid"))</f>
        <v/>
      </c>
      <c r="R80" s="4" t="n"/>
      <c r="S80" s="4" t="n"/>
    </row>
    <row r="81">
      <c r="A81" s="4">
        <f>IF($B81="","", "L"&amp;TEXT(ROW()-1,"0000"))</f>
        <v/>
      </c>
      <c r="B81" s="4" t="n"/>
      <c r="C81" s="4" t="n"/>
      <c r="D81" s="4" t="n"/>
      <c r="E81" s="4" t="n"/>
      <c r="F81" s="4" t="n"/>
      <c r="G81" s="7" t="n"/>
      <c r="H81" s="4" t="n"/>
      <c r="I81" s="9" t="n"/>
      <c r="J81" s="7" t="n"/>
      <c r="K81" s="5" t="n"/>
      <c r="L81" s="4" t="n"/>
      <c r="M81" s="5">
        <f>IF($K81="","",$K81+7)</f>
        <v/>
      </c>
      <c r="N81" s="7">
        <f>IF($O81="","", ROUND($O81/$L81,2))</f>
        <v/>
      </c>
      <c r="O81" s="7">
        <f>IF($G81="","", $G81*(1+$I81) + IF($J81="",0,$J81))</f>
        <v/>
      </c>
      <c r="P81" s="7">
        <f>IF($A81="","", $O81 - SUMIFS(Repayment_Ledger!$E$2:$E$801,Repayment_Ledger!$A$2:$A$801, $A81))</f>
        <v/>
      </c>
      <c r="Q81" s="5">
        <f>IF($P81&lt;=0,"", MINIFS(Repayment_Ledger!$C$2:$C$801, Repayment_Ledger!$A$2:$A$801, $A81, Repayment_Ledger!$F$2:$F$801, "&lt;&gt;Paid"))</f>
        <v/>
      </c>
      <c r="R81" s="4" t="n"/>
      <c r="S81" s="4" t="n"/>
    </row>
    <row r="82">
      <c r="A82" s="4">
        <f>IF($B82="","", "L"&amp;TEXT(ROW()-1,"0000"))</f>
        <v/>
      </c>
      <c r="B82" s="4" t="n"/>
      <c r="C82" s="4" t="n"/>
      <c r="D82" s="4" t="n"/>
      <c r="E82" s="4" t="n"/>
      <c r="F82" s="4" t="n"/>
      <c r="G82" s="7" t="n"/>
      <c r="H82" s="4" t="n"/>
      <c r="I82" s="9" t="n"/>
      <c r="J82" s="7" t="n"/>
      <c r="K82" s="5" t="n"/>
      <c r="L82" s="4" t="n"/>
      <c r="M82" s="5">
        <f>IF($K82="","",$K82+7)</f>
        <v/>
      </c>
      <c r="N82" s="7">
        <f>IF($O82="","", ROUND($O82/$L82,2))</f>
        <v/>
      </c>
      <c r="O82" s="7">
        <f>IF($G82="","", $G82*(1+$I82) + IF($J82="",0,$J82))</f>
        <v/>
      </c>
      <c r="P82" s="7">
        <f>IF($A82="","", $O82 - SUMIFS(Repayment_Ledger!$E$2:$E$801,Repayment_Ledger!$A$2:$A$801, $A82))</f>
        <v/>
      </c>
      <c r="Q82" s="5">
        <f>IF($P82&lt;=0,"", MINIFS(Repayment_Ledger!$C$2:$C$801, Repayment_Ledger!$A$2:$A$801, $A82, Repayment_Ledger!$F$2:$F$801, "&lt;&gt;Paid"))</f>
        <v/>
      </c>
      <c r="R82" s="4" t="n"/>
      <c r="S82" s="4" t="n"/>
    </row>
    <row r="83">
      <c r="A83" s="4">
        <f>IF($B83="","", "L"&amp;TEXT(ROW()-1,"0000"))</f>
        <v/>
      </c>
      <c r="B83" s="4" t="n"/>
      <c r="C83" s="4" t="n"/>
      <c r="D83" s="4" t="n"/>
      <c r="E83" s="4" t="n"/>
      <c r="F83" s="4" t="n"/>
      <c r="G83" s="7" t="n"/>
      <c r="H83" s="4" t="n"/>
      <c r="I83" s="9" t="n"/>
      <c r="J83" s="7" t="n"/>
      <c r="K83" s="5" t="n"/>
      <c r="L83" s="4" t="n"/>
      <c r="M83" s="5">
        <f>IF($K83="","",$K83+7)</f>
        <v/>
      </c>
      <c r="N83" s="7">
        <f>IF($O83="","", ROUND($O83/$L83,2))</f>
        <v/>
      </c>
      <c r="O83" s="7">
        <f>IF($G83="","", $G83*(1+$I83) + IF($J83="",0,$J83))</f>
        <v/>
      </c>
      <c r="P83" s="7">
        <f>IF($A83="","", $O83 - SUMIFS(Repayment_Ledger!$E$2:$E$801,Repayment_Ledger!$A$2:$A$801, $A83))</f>
        <v/>
      </c>
      <c r="Q83" s="5">
        <f>IF($P83&lt;=0,"", MINIFS(Repayment_Ledger!$C$2:$C$801, Repayment_Ledger!$A$2:$A$801, $A83, Repayment_Ledger!$F$2:$F$801, "&lt;&gt;Paid"))</f>
        <v/>
      </c>
      <c r="R83" s="4" t="n"/>
      <c r="S83" s="4" t="n"/>
    </row>
    <row r="84">
      <c r="A84" s="4">
        <f>IF($B84="","", "L"&amp;TEXT(ROW()-1,"0000"))</f>
        <v/>
      </c>
      <c r="B84" s="4" t="n"/>
      <c r="C84" s="4" t="n"/>
      <c r="D84" s="4" t="n"/>
      <c r="E84" s="4" t="n"/>
      <c r="F84" s="4" t="n"/>
      <c r="G84" s="7" t="n"/>
      <c r="H84" s="4" t="n"/>
      <c r="I84" s="9" t="n"/>
      <c r="J84" s="7" t="n"/>
      <c r="K84" s="5" t="n"/>
      <c r="L84" s="4" t="n"/>
      <c r="M84" s="5">
        <f>IF($K84="","",$K84+7)</f>
        <v/>
      </c>
      <c r="N84" s="7">
        <f>IF($O84="","", ROUND($O84/$L84,2))</f>
        <v/>
      </c>
      <c r="O84" s="7">
        <f>IF($G84="","", $G84*(1+$I84) + IF($J84="",0,$J84))</f>
        <v/>
      </c>
      <c r="P84" s="7">
        <f>IF($A84="","", $O84 - SUMIFS(Repayment_Ledger!$E$2:$E$801,Repayment_Ledger!$A$2:$A$801, $A84))</f>
        <v/>
      </c>
      <c r="Q84" s="5">
        <f>IF($P84&lt;=0,"", MINIFS(Repayment_Ledger!$C$2:$C$801, Repayment_Ledger!$A$2:$A$801, $A84, Repayment_Ledger!$F$2:$F$801, "&lt;&gt;Paid"))</f>
        <v/>
      </c>
      <c r="R84" s="4" t="n"/>
      <c r="S84" s="4" t="n"/>
    </row>
    <row r="85">
      <c r="A85" s="4">
        <f>IF($B85="","", "L"&amp;TEXT(ROW()-1,"0000"))</f>
        <v/>
      </c>
      <c r="B85" s="4" t="n"/>
      <c r="C85" s="4" t="n"/>
      <c r="D85" s="4" t="n"/>
      <c r="E85" s="4" t="n"/>
      <c r="F85" s="4" t="n"/>
      <c r="G85" s="7" t="n"/>
      <c r="H85" s="4" t="n"/>
      <c r="I85" s="9" t="n"/>
      <c r="J85" s="7" t="n"/>
      <c r="K85" s="5" t="n"/>
      <c r="L85" s="4" t="n"/>
      <c r="M85" s="5">
        <f>IF($K85="","",$K85+7)</f>
        <v/>
      </c>
      <c r="N85" s="7">
        <f>IF($O85="","", ROUND($O85/$L85,2))</f>
        <v/>
      </c>
      <c r="O85" s="7">
        <f>IF($G85="","", $G85*(1+$I85) + IF($J85="",0,$J85))</f>
        <v/>
      </c>
      <c r="P85" s="7">
        <f>IF($A85="","", $O85 - SUMIFS(Repayment_Ledger!$E$2:$E$801,Repayment_Ledger!$A$2:$A$801, $A85))</f>
        <v/>
      </c>
      <c r="Q85" s="5">
        <f>IF($P85&lt;=0,"", MINIFS(Repayment_Ledger!$C$2:$C$801, Repayment_Ledger!$A$2:$A$801, $A85, Repayment_Ledger!$F$2:$F$801, "&lt;&gt;Paid"))</f>
        <v/>
      </c>
      <c r="R85" s="4" t="n"/>
      <c r="S85" s="4" t="n"/>
    </row>
    <row r="86">
      <c r="A86" s="4">
        <f>IF($B86="","", "L"&amp;TEXT(ROW()-1,"0000"))</f>
        <v/>
      </c>
      <c r="B86" s="4" t="n"/>
      <c r="C86" s="4" t="n"/>
      <c r="D86" s="4" t="n"/>
      <c r="E86" s="4" t="n"/>
      <c r="F86" s="4" t="n"/>
      <c r="G86" s="7" t="n"/>
      <c r="H86" s="4" t="n"/>
      <c r="I86" s="9" t="n"/>
      <c r="J86" s="7" t="n"/>
      <c r="K86" s="5" t="n"/>
      <c r="L86" s="4" t="n"/>
      <c r="M86" s="5">
        <f>IF($K86="","",$K86+7)</f>
        <v/>
      </c>
      <c r="N86" s="7">
        <f>IF($O86="","", ROUND($O86/$L86,2))</f>
        <v/>
      </c>
      <c r="O86" s="7">
        <f>IF($G86="","", $G86*(1+$I86) + IF($J86="",0,$J86))</f>
        <v/>
      </c>
      <c r="P86" s="7">
        <f>IF($A86="","", $O86 - SUMIFS(Repayment_Ledger!$E$2:$E$801,Repayment_Ledger!$A$2:$A$801, $A86))</f>
        <v/>
      </c>
      <c r="Q86" s="5">
        <f>IF($P86&lt;=0,"", MINIFS(Repayment_Ledger!$C$2:$C$801, Repayment_Ledger!$A$2:$A$801, $A86, Repayment_Ledger!$F$2:$F$801, "&lt;&gt;Paid"))</f>
        <v/>
      </c>
      <c r="R86" s="4" t="n"/>
      <c r="S86" s="4" t="n"/>
    </row>
    <row r="87">
      <c r="A87" s="4">
        <f>IF($B87="","", "L"&amp;TEXT(ROW()-1,"0000"))</f>
        <v/>
      </c>
      <c r="B87" s="4" t="n"/>
      <c r="C87" s="4" t="n"/>
      <c r="D87" s="4" t="n"/>
      <c r="E87" s="4" t="n"/>
      <c r="F87" s="4" t="n"/>
      <c r="G87" s="7" t="n"/>
      <c r="H87" s="4" t="n"/>
      <c r="I87" s="9" t="n"/>
      <c r="J87" s="7" t="n"/>
      <c r="K87" s="5" t="n"/>
      <c r="L87" s="4" t="n"/>
      <c r="M87" s="5">
        <f>IF($K87="","",$K87+7)</f>
        <v/>
      </c>
      <c r="N87" s="7">
        <f>IF($O87="","", ROUND($O87/$L87,2))</f>
        <v/>
      </c>
      <c r="O87" s="7">
        <f>IF($G87="","", $G87*(1+$I87) + IF($J87="",0,$J87))</f>
        <v/>
      </c>
      <c r="P87" s="7">
        <f>IF($A87="","", $O87 - SUMIFS(Repayment_Ledger!$E$2:$E$801,Repayment_Ledger!$A$2:$A$801, $A87))</f>
        <v/>
      </c>
      <c r="Q87" s="5">
        <f>IF($P87&lt;=0,"", MINIFS(Repayment_Ledger!$C$2:$C$801, Repayment_Ledger!$A$2:$A$801, $A87, Repayment_Ledger!$F$2:$F$801, "&lt;&gt;Paid"))</f>
        <v/>
      </c>
      <c r="R87" s="4" t="n"/>
      <c r="S87" s="4" t="n"/>
    </row>
    <row r="88">
      <c r="A88" s="4">
        <f>IF($B88="","", "L"&amp;TEXT(ROW()-1,"0000"))</f>
        <v/>
      </c>
      <c r="B88" s="4" t="n"/>
      <c r="C88" s="4" t="n"/>
      <c r="D88" s="4" t="n"/>
      <c r="E88" s="4" t="n"/>
      <c r="F88" s="4" t="n"/>
      <c r="G88" s="7" t="n"/>
      <c r="H88" s="4" t="n"/>
      <c r="I88" s="9" t="n"/>
      <c r="J88" s="7" t="n"/>
      <c r="K88" s="5" t="n"/>
      <c r="L88" s="4" t="n"/>
      <c r="M88" s="5">
        <f>IF($K88="","",$K88+7)</f>
        <v/>
      </c>
      <c r="N88" s="7">
        <f>IF($O88="","", ROUND($O88/$L88,2))</f>
        <v/>
      </c>
      <c r="O88" s="7">
        <f>IF($G88="","", $G88*(1+$I88) + IF($J88="",0,$J88))</f>
        <v/>
      </c>
      <c r="P88" s="7">
        <f>IF($A88="","", $O88 - SUMIFS(Repayment_Ledger!$E$2:$E$801,Repayment_Ledger!$A$2:$A$801, $A88))</f>
        <v/>
      </c>
      <c r="Q88" s="5">
        <f>IF($P88&lt;=0,"", MINIFS(Repayment_Ledger!$C$2:$C$801, Repayment_Ledger!$A$2:$A$801, $A88, Repayment_Ledger!$F$2:$F$801, "&lt;&gt;Paid"))</f>
        <v/>
      </c>
      <c r="R88" s="4" t="n"/>
      <c r="S88" s="4" t="n"/>
    </row>
    <row r="89">
      <c r="A89" s="4">
        <f>IF($B89="","", "L"&amp;TEXT(ROW()-1,"0000"))</f>
        <v/>
      </c>
      <c r="B89" s="4" t="n"/>
      <c r="C89" s="4" t="n"/>
      <c r="D89" s="4" t="n"/>
      <c r="E89" s="4" t="n"/>
      <c r="F89" s="4" t="n"/>
      <c r="G89" s="7" t="n"/>
      <c r="H89" s="4" t="n"/>
      <c r="I89" s="9" t="n"/>
      <c r="J89" s="7" t="n"/>
      <c r="K89" s="5" t="n"/>
      <c r="L89" s="4" t="n"/>
      <c r="M89" s="5">
        <f>IF($K89="","",$K89+7)</f>
        <v/>
      </c>
      <c r="N89" s="7">
        <f>IF($O89="","", ROUND($O89/$L89,2))</f>
        <v/>
      </c>
      <c r="O89" s="7">
        <f>IF($G89="","", $G89*(1+$I89) + IF($J89="",0,$J89))</f>
        <v/>
      </c>
      <c r="P89" s="7">
        <f>IF($A89="","", $O89 - SUMIFS(Repayment_Ledger!$E$2:$E$801,Repayment_Ledger!$A$2:$A$801, $A89))</f>
        <v/>
      </c>
      <c r="Q89" s="5">
        <f>IF($P89&lt;=0,"", MINIFS(Repayment_Ledger!$C$2:$C$801, Repayment_Ledger!$A$2:$A$801, $A89, Repayment_Ledger!$F$2:$F$801, "&lt;&gt;Paid"))</f>
        <v/>
      </c>
      <c r="R89" s="4" t="n"/>
      <c r="S89" s="4" t="n"/>
    </row>
    <row r="90">
      <c r="A90" s="4">
        <f>IF($B90="","", "L"&amp;TEXT(ROW()-1,"0000"))</f>
        <v/>
      </c>
      <c r="B90" s="4" t="n"/>
      <c r="C90" s="4" t="n"/>
      <c r="D90" s="4" t="n"/>
      <c r="E90" s="4" t="n"/>
      <c r="F90" s="4" t="n"/>
      <c r="G90" s="7" t="n"/>
      <c r="H90" s="4" t="n"/>
      <c r="I90" s="9" t="n"/>
      <c r="J90" s="7" t="n"/>
      <c r="K90" s="5" t="n"/>
      <c r="L90" s="4" t="n"/>
      <c r="M90" s="5">
        <f>IF($K90="","",$K90+7)</f>
        <v/>
      </c>
      <c r="N90" s="7">
        <f>IF($O90="","", ROUND($O90/$L90,2))</f>
        <v/>
      </c>
      <c r="O90" s="7">
        <f>IF($G90="","", $G90*(1+$I90) + IF($J90="",0,$J90))</f>
        <v/>
      </c>
      <c r="P90" s="7">
        <f>IF($A90="","", $O90 - SUMIFS(Repayment_Ledger!$E$2:$E$801,Repayment_Ledger!$A$2:$A$801, $A90))</f>
        <v/>
      </c>
      <c r="Q90" s="5">
        <f>IF($P90&lt;=0,"", MINIFS(Repayment_Ledger!$C$2:$C$801, Repayment_Ledger!$A$2:$A$801, $A90, Repayment_Ledger!$F$2:$F$801, "&lt;&gt;Paid"))</f>
        <v/>
      </c>
      <c r="R90" s="4" t="n"/>
      <c r="S90" s="4" t="n"/>
    </row>
    <row r="91">
      <c r="A91" s="4">
        <f>IF($B91="","", "L"&amp;TEXT(ROW()-1,"0000"))</f>
        <v/>
      </c>
      <c r="B91" s="4" t="n"/>
      <c r="C91" s="4" t="n"/>
      <c r="D91" s="4" t="n"/>
      <c r="E91" s="4" t="n"/>
      <c r="F91" s="4" t="n"/>
      <c r="G91" s="7" t="n"/>
      <c r="H91" s="4" t="n"/>
      <c r="I91" s="9" t="n"/>
      <c r="J91" s="7" t="n"/>
      <c r="K91" s="5" t="n"/>
      <c r="L91" s="4" t="n"/>
      <c r="M91" s="5">
        <f>IF($K91="","",$K91+7)</f>
        <v/>
      </c>
      <c r="N91" s="7">
        <f>IF($O91="","", ROUND($O91/$L91,2))</f>
        <v/>
      </c>
      <c r="O91" s="7">
        <f>IF($G91="","", $G91*(1+$I91) + IF($J91="",0,$J91))</f>
        <v/>
      </c>
      <c r="P91" s="7">
        <f>IF($A91="","", $O91 - SUMIFS(Repayment_Ledger!$E$2:$E$801,Repayment_Ledger!$A$2:$A$801, $A91))</f>
        <v/>
      </c>
      <c r="Q91" s="5">
        <f>IF($P91&lt;=0,"", MINIFS(Repayment_Ledger!$C$2:$C$801, Repayment_Ledger!$A$2:$A$801, $A91, Repayment_Ledger!$F$2:$F$801, "&lt;&gt;Paid"))</f>
        <v/>
      </c>
      <c r="R91" s="4" t="n"/>
      <c r="S91" s="4" t="n"/>
    </row>
    <row r="92">
      <c r="A92" s="4">
        <f>IF($B92="","", "L"&amp;TEXT(ROW()-1,"0000"))</f>
        <v/>
      </c>
      <c r="B92" s="4" t="n"/>
      <c r="C92" s="4" t="n"/>
      <c r="D92" s="4" t="n"/>
      <c r="E92" s="4" t="n"/>
      <c r="F92" s="4" t="n"/>
      <c r="G92" s="7" t="n"/>
      <c r="H92" s="4" t="n"/>
      <c r="I92" s="9" t="n"/>
      <c r="J92" s="7" t="n"/>
      <c r="K92" s="5" t="n"/>
      <c r="L92" s="4" t="n"/>
      <c r="M92" s="5">
        <f>IF($K92="","",$K92+7)</f>
        <v/>
      </c>
      <c r="N92" s="7">
        <f>IF($O92="","", ROUND($O92/$L92,2))</f>
        <v/>
      </c>
      <c r="O92" s="7">
        <f>IF($G92="","", $G92*(1+$I92) + IF($J92="",0,$J92))</f>
        <v/>
      </c>
      <c r="P92" s="7">
        <f>IF($A92="","", $O92 - SUMIFS(Repayment_Ledger!$E$2:$E$801,Repayment_Ledger!$A$2:$A$801, $A92))</f>
        <v/>
      </c>
      <c r="Q92" s="5">
        <f>IF($P92&lt;=0,"", MINIFS(Repayment_Ledger!$C$2:$C$801, Repayment_Ledger!$A$2:$A$801, $A92, Repayment_Ledger!$F$2:$F$801, "&lt;&gt;Paid"))</f>
        <v/>
      </c>
      <c r="R92" s="4" t="n"/>
      <c r="S92" s="4" t="n"/>
    </row>
    <row r="93">
      <c r="A93" s="4">
        <f>IF($B93="","", "L"&amp;TEXT(ROW()-1,"0000"))</f>
        <v/>
      </c>
      <c r="B93" s="4" t="n"/>
      <c r="C93" s="4" t="n"/>
      <c r="D93" s="4" t="n"/>
      <c r="E93" s="4" t="n"/>
      <c r="F93" s="4" t="n"/>
      <c r="G93" s="7" t="n"/>
      <c r="H93" s="4" t="n"/>
      <c r="I93" s="9" t="n"/>
      <c r="J93" s="7" t="n"/>
      <c r="K93" s="5" t="n"/>
      <c r="L93" s="4" t="n"/>
      <c r="M93" s="5">
        <f>IF($K93="","",$K93+7)</f>
        <v/>
      </c>
      <c r="N93" s="7">
        <f>IF($O93="","", ROUND($O93/$L93,2))</f>
        <v/>
      </c>
      <c r="O93" s="7">
        <f>IF($G93="","", $G93*(1+$I93) + IF($J93="",0,$J93))</f>
        <v/>
      </c>
      <c r="P93" s="7">
        <f>IF($A93="","", $O93 - SUMIFS(Repayment_Ledger!$E$2:$E$801,Repayment_Ledger!$A$2:$A$801, $A93))</f>
        <v/>
      </c>
      <c r="Q93" s="5">
        <f>IF($P93&lt;=0,"", MINIFS(Repayment_Ledger!$C$2:$C$801, Repayment_Ledger!$A$2:$A$801, $A93, Repayment_Ledger!$F$2:$F$801, "&lt;&gt;Paid"))</f>
        <v/>
      </c>
      <c r="R93" s="4" t="n"/>
      <c r="S93" s="4" t="n"/>
    </row>
    <row r="94">
      <c r="A94" s="4">
        <f>IF($B94="","", "L"&amp;TEXT(ROW()-1,"0000"))</f>
        <v/>
      </c>
      <c r="B94" s="4" t="n"/>
      <c r="C94" s="4" t="n"/>
      <c r="D94" s="4" t="n"/>
      <c r="E94" s="4" t="n"/>
      <c r="F94" s="4" t="n"/>
      <c r="G94" s="7" t="n"/>
      <c r="H94" s="4" t="n"/>
      <c r="I94" s="9" t="n"/>
      <c r="J94" s="7" t="n"/>
      <c r="K94" s="5" t="n"/>
      <c r="L94" s="4" t="n"/>
      <c r="M94" s="5">
        <f>IF($K94="","",$K94+7)</f>
        <v/>
      </c>
      <c r="N94" s="7">
        <f>IF($O94="","", ROUND($O94/$L94,2))</f>
        <v/>
      </c>
      <c r="O94" s="7">
        <f>IF($G94="","", $G94*(1+$I94) + IF($J94="",0,$J94))</f>
        <v/>
      </c>
      <c r="P94" s="7">
        <f>IF($A94="","", $O94 - SUMIFS(Repayment_Ledger!$E$2:$E$801,Repayment_Ledger!$A$2:$A$801, $A94))</f>
        <v/>
      </c>
      <c r="Q94" s="5">
        <f>IF($P94&lt;=0,"", MINIFS(Repayment_Ledger!$C$2:$C$801, Repayment_Ledger!$A$2:$A$801, $A94, Repayment_Ledger!$F$2:$F$801, "&lt;&gt;Paid"))</f>
        <v/>
      </c>
      <c r="R94" s="4" t="n"/>
      <c r="S94" s="4" t="n"/>
    </row>
    <row r="95">
      <c r="A95" s="4">
        <f>IF($B95="","", "L"&amp;TEXT(ROW()-1,"0000"))</f>
        <v/>
      </c>
      <c r="B95" s="4" t="n"/>
      <c r="C95" s="4" t="n"/>
      <c r="D95" s="4" t="n"/>
      <c r="E95" s="4" t="n"/>
      <c r="F95" s="4" t="n"/>
      <c r="G95" s="7" t="n"/>
      <c r="H95" s="4" t="n"/>
      <c r="I95" s="9" t="n"/>
      <c r="J95" s="7" t="n"/>
      <c r="K95" s="5" t="n"/>
      <c r="L95" s="4" t="n"/>
      <c r="M95" s="5">
        <f>IF($K95="","",$K95+7)</f>
        <v/>
      </c>
      <c r="N95" s="7">
        <f>IF($O95="","", ROUND($O95/$L95,2))</f>
        <v/>
      </c>
      <c r="O95" s="7">
        <f>IF($G95="","", $G95*(1+$I95) + IF($J95="",0,$J95))</f>
        <v/>
      </c>
      <c r="P95" s="7">
        <f>IF($A95="","", $O95 - SUMIFS(Repayment_Ledger!$E$2:$E$801,Repayment_Ledger!$A$2:$A$801, $A95))</f>
        <v/>
      </c>
      <c r="Q95" s="5">
        <f>IF($P95&lt;=0,"", MINIFS(Repayment_Ledger!$C$2:$C$801, Repayment_Ledger!$A$2:$A$801, $A95, Repayment_Ledger!$F$2:$F$801, "&lt;&gt;Paid"))</f>
        <v/>
      </c>
      <c r="R95" s="4" t="n"/>
      <c r="S95" s="4" t="n"/>
    </row>
    <row r="96">
      <c r="A96" s="4">
        <f>IF($B96="","", "L"&amp;TEXT(ROW()-1,"0000"))</f>
        <v/>
      </c>
      <c r="B96" s="4" t="n"/>
      <c r="C96" s="4" t="n"/>
      <c r="D96" s="4" t="n"/>
      <c r="E96" s="4" t="n"/>
      <c r="F96" s="4" t="n"/>
      <c r="G96" s="7" t="n"/>
      <c r="H96" s="4" t="n"/>
      <c r="I96" s="9" t="n"/>
      <c r="J96" s="7" t="n"/>
      <c r="K96" s="5" t="n"/>
      <c r="L96" s="4" t="n"/>
      <c r="M96" s="5">
        <f>IF($K96="","",$K96+7)</f>
        <v/>
      </c>
      <c r="N96" s="7">
        <f>IF($O96="","", ROUND($O96/$L96,2))</f>
        <v/>
      </c>
      <c r="O96" s="7">
        <f>IF($G96="","", $G96*(1+$I96) + IF($J96="",0,$J96))</f>
        <v/>
      </c>
      <c r="P96" s="7">
        <f>IF($A96="","", $O96 - SUMIFS(Repayment_Ledger!$E$2:$E$801,Repayment_Ledger!$A$2:$A$801, $A96))</f>
        <v/>
      </c>
      <c r="Q96" s="5">
        <f>IF($P96&lt;=0,"", MINIFS(Repayment_Ledger!$C$2:$C$801, Repayment_Ledger!$A$2:$A$801, $A96, Repayment_Ledger!$F$2:$F$801, "&lt;&gt;Paid"))</f>
        <v/>
      </c>
      <c r="R96" s="4" t="n"/>
      <c r="S96" s="4" t="n"/>
    </row>
    <row r="97">
      <c r="A97" s="4">
        <f>IF($B97="","", "L"&amp;TEXT(ROW()-1,"0000"))</f>
        <v/>
      </c>
      <c r="B97" s="4" t="n"/>
      <c r="C97" s="4" t="n"/>
      <c r="D97" s="4" t="n"/>
      <c r="E97" s="4" t="n"/>
      <c r="F97" s="4" t="n"/>
      <c r="G97" s="7" t="n"/>
      <c r="H97" s="4" t="n"/>
      <c r="I97" s="9" t="n"/>
      <c r="J97" s="7" t="n"/>
      <c r="K97" s="5" t="n"/>
      <c r="L97" s="4" t="n"/>
      <c r="M97" s="5">
        <f>IF($K97="","",$K97+7)</f>
        <v/>
      </c>
      <c r="N97" s="7">
        <f>IF($O97="","", ROUND($O97/$L97,2))</f>
        <v/>
      </c>
      <c r="O97" s="7">
        <f>IF($G97="","", $G97*(1+$I97) + IF($J97="",0,$J97))</f>
        <v/>
      </c>
      <c r="P97" s="7">
        <f>IF($A97="","", $O97 - SUMIFS(Repayment_Ledger!$E$2:$E$801,Repayment_Ledger!$A$2:$A$801, $A97))</f>
        <v/>
      </c>
      <c r="Q97" s="5">
        <f>IF($P97&lt;=0,"", MINIFS(Repayment_Ledger!$C$2:$C$801, Repayment_Ledger!$A$2:$A$801, $A97, Repayment_Ledger!$F$2:$F$801, "&lt;&gt;Paid"))</f>
        <v/>
      </c>
      <c r="R97" s="4" t="n"/>
      <c r="S97" s="4" t="n"/>
    </row>
    <row r="98">
      <c r="A98" s="4">
        <f>IF($B98="","", "L"&amp;TEXT(ROW()-1,"0000"))</f>
        <v/>
      </c>
      <c r="B98" s="4" t="n"/>
      <c r="C98" s="4" t="n"/>
      <c r="D98" s="4" t="n"/>
      <c r="E98" s="4" t="n"/>
      <c r="F98" s="4" t="n"/>
      <c r="G98" s="7" t="n"/>
      <c r="H98" s="4" t="n"/>
      <c r="I98" s="9" t="n"/>
      <c r="J98" s="7" t="n"/>
      <c r="K98" s="5" t="n"/>
      <c r="L98" s="4" t="n"/>
      <c r="M98" s="5">
        <f>IF($K98="","",$K98+7)</f>
        <v/>
      </c>
      <c r="N98" s="7">
        <f>IF($O98="","", ROUND($O98/$L98,2))</f>
        <v/>
      </c>
      <c r="O98" s="7">
        <f>IF($G98="","", $G98*(1+$I98) + IF($J98="",0,$J98))</f>
        <v/>
      </c>
      <c r="P98" s="7">
        <f>IF($A98="","", $O98 - SUMIFS(Repayment_Ledger!$E$2:$E$801,Repayment_Ledger!$A$2:$A$801, $A98))</f>
        <v/>
      </c>
      <c r="Q98" s="5">
        <f>IF($P98&lt;=0,"", MINIFS(Repayment_Ledger!$C$2:$C$801, Repayment_Ledger!$A$2:$A$801, $A98, Repayment_Ledger!$F$2:$F$801, "&lt;&gt;Paid"))</f>
        <v/>
      </c>
      <c r="R98" s="4" t="n"/>
      <c r="S98" s="4" t="n"/>
    </row>
    <row r="99">
      <c r="A99" s="4">
        <f>IF($B99="","", "L"&amp;TEXT(ROW()-1,"0000"))</f>
        <v/>
      </c>
      <c r="B99" s="4" t="n"/>
      <c r="C99" s="4" t="n"/>
      <c r="D99" s="4" t="n"/>
      <c r="E99" s="4" t="n"/>
      <c r="F99" s="4" t="n"/>
      <c r="G99" s="7" t="n"/>
      <c r="H99" s="4" t="n"/>
      <c r="I99" s="9" t="n"/>
      <c r="J99" s="7" t="n"/>
      <c r="K99" s="5" t="n"/>
      <c r="L99" s="4" t="n"/>
      <c r="M99" s="5">
        <f>IF($K99="","",$K99+7)</f>
        <v/>
      </c>
      <c r="N99" s="7">
        <f>IF($O99="","", ROUND($O99/$L99,2))</f>
        <v/>
      </c>
      <c r="O99" s="7">
        <f>IF($G99="","", $G99*(1+$I99) + IF($J99="",0,$J99))</f>
        <v/>
      </c>
      <c r="P99" s="7">
        <f>IF($A99="","", $O99 - SUMIFS(Repayment_Ledger!$E$2:$E$801,Repayment_Ledger!$A$2:$A$801, $A99))</f>
        <v/>
      </c>
      <c r="Q99" s="5">
        <f>IF($P99&lt;=0,"", MINIFS(Repayment_Ledger!$C$2:$C$801, Repayment_Ledger!$A$2:$A$801, $A99, Repayment_Ledger!$F$2:$F$801, "&lt;&gt;Paid"))</f>
        <v/>
      </c>
      <c r="R99" s="4" t="n"/>
      <c r="S99" s="4" t="n"/>
    </row>
    <row r="100">
      <c r="A100" s="4">
        <f>IF($B100="","", "L"&amp;TEXT(ROW()-1,"0000"))</f>
        <v/>
      </c>
      <c r="B100" s="4" t="n"/>
      <c r="C100" s="4" t="n"/>
      <c r="D100" s="4" t="n"/>
      <c r="E100" s="4" t="n"/>
      <c r="F100" s="4" t="n"/>
      <c r="G100" s="7" t="n"/>
      <c r="H100" s="4" t="n"/>
      <c r="I100" s="9" t="n"/>
      <c r="J100" s="7" t="n"/>
      <c r="K100" s="5" t="n"/>
      <c r="L100" s="4" t="n"/>
      <c r="M100" s="5">
        <f>IF($K100="","",$K100+7)</f>
        <v/>
      </c>
      <c r="N100" s="7">
        <f>IF($O100="","", ROUND($O100/$L100,2))</f>
        <v/>
      </c>
      <c r="O100" s="7">
        <f>IF($G100="","", $G100*(1+$I100) + IF($J100="",0,$J100))</f>
        <v/>
      </c>
      <c r="P100" s="7">
        <f>IF($A100="","", $O100 - SUMIFS(Repayment_Ledger!$E$2:$E$801,Repayment_Ledger!$A$2:$A$801, $A100))</f>
        <v/>
      </c>
      <c r="Q100" s="5">
        <f>IF($P100&lt;=0,"", MINIFS(Repayment_Ledger!$C$2:$C$801, Repayment_Ledger!$A$2:$A$801, $A100, Repayment_Ledger!$F$2:$F$801, "&lt;&gt;Paid"))</f>
        <v/>
      </c>
      <c r="R100" s="4" t="n"/>
      <c r="S100" s="4" t="n"/>
    </row>
    <row r="101">
      <c r="A101">
        <f>IF($B101="","", "L"&amp;TEXT(ROW()-1,"0000"))</f>
        <v/>
      </c>
      <c r="G101" s="8" t="n"/>
      <c r="I101" s="10" t="n"/>
      <c r="J101" s="8" t="n"/>
      <c r="K101" s="6" t="n"/>
      <c r="M101" s="6">
        <f>IF($K101="","",$K101+7)</f>
        <v/>
      </c>
      <c r="N101" s="8">
        <f>IF($O101="","", ROUND($O101/$L101,2))</f>
        <v/>
      </c>
      <c r="O101" s="8">
        <f>IF($G101="","", $G101*(1+$I101) + IF($J101="",0,$J101))</f>
        <v/>
      </c>
      <c r="P101" s="8">
        <f>IF($A101="","", $O101 - SUMIFS(Repayment_Ledger!$E$2:$E$801,Repayment_Ledger!$A$2:$A$801, $A101))</f>
        <v/>
      </c>
      <c r="Q101" s="6">
        <f>IF($P101&lt;=0,"", MINIFS(Repayment_Ledger!$C$2:$C$801, Repayment_Ledger!$A$2:$A$801, $A101, Repayment_Ledger!$F$2:$F$801, "&lt;&gt;Paid"))</f>
        <v/>
      </c>
    </row>
    <row r="102">
      <c r="A102">
        <f>IF($B102="","", "L"&amp;TEXT(ROW()-1,"0000"))</f>
        <v/>
      </c>
      <c r="G102" s="8" t="n"/>
      <c r="I102" s="10" t="n"/>
      <c r="J102" s="8" t="n"/>
      <c r="K102" s="6" t="n"/>
      <c r="M102" s="6">
        <f>IF($K102="","",$K102+7)</f>
        <v/>
      </c>
      <c r="N102" s="8">
        <f>IF($O102="","", ROUND($O102/$L102,2))</f>
        <v/>
      </c>
      <c r="O102" s="8">
        <f>IF($G102="","", $G102*(1+$I102) + IF($J102="",0,$J102))</f>
        <v/>
      </c>
      <c r="P102" s="8">
        <f>IF($A102="","", $O102 - SUMIFS(Repayment_Ledger!$E$2:$E$801,Repayment_Ledger!$A$2:$A$801, $A102))</f>
        <v/>
      </c>
      <c r="Q102" s="6">
        <f>IF($P102&lt;=0,"", MINIFS(Repayment_Ledger!$C$2:$C$801, Repayment_Ledger!$A$2:$A$801, $A102, Repayment_Ledger!$F$2:$F$801, "&lt;&gt;Paid"))</f>
        <v/>
      </c>
    </row>
    <row r="103">
      <c r="A103">
        <f>IF($B103="","", "L"&amp;TEXT(ROW()-1,"0000"))</f>
        <v/>
      </c>
      <c r="G103" s="8" t="n"/>
      <c r="I103" s="10" t="n"/>
      <c r="J103" s="8" t="n"/>
      <c r="K103" s="6" t="n"/>
      <c r="M103" s="6">
        <f>IF($K103="","",$K103+7)</f>
        <v/>
      </c>
      <c r="N103" s="8">
        <f>IF($O103="","", ROUND($O103/$L103,2))</f>
        <v/>
      </c>
      <c r="O103" s="8">
        <f>IF($G103="","", $G103*(1+$I103) + IF($J103="",0,$J103))</f>
        <v/>
      </c>
      <c r="P103" s="8">
        <f>IF($A103="","", $O103 - SUMIFS(Repayment_Ledger!$E$2:$E$801,Repayment_Ledger!$A$2:$A$801, $A103))</f>
        <v/>
      </c>
      <c r="Q103" s="6">
        <f>IF($P103&lt;=0,"", MINIFS(Repayment_Ledger!$C$2:$C$801, Repayment_Ledger!$A$2:$A$801, $A103, Repayment_Ledger!$F$2:$F$801, "&lt;&gt;Paid"))</f>
        <v/>
      </c>
    </row>
    <row r="104">
      <c r="A104">
        <f>IF($B104="","", "L"&amp;TEXT(ROW()-1,"0000"))</f>
        <v/>
      </c>
      <c r="G104" s="8" t="n"/>
      <c r="I104" s="10" t="n"/>
      <c r="J104" s="8" t="n"/>
      <c r="K104" s="6" t="n"/>
      <c r="M104" s="6">
        <f>IF($K104="","",$K104+7)</f>
        <v/>
      </c>
      <c r="N104" s="8">
        <f>IF($O104="","", ROUND($O104/$L104,2))</f>
        <v/>
      </c>
      <c r="O104" s="8">
        <f>IF($G104="","", $G104*(1+$I104) + IF($J104="",0,$J104))</f>
        <v/>
      </c>
      <c r="P104" s="8">
        <f>IF($A104="","", $O104 - SUMIFS(Repayment_Ledger!$E$2:$E$801,Repayment_Ledger!$A$2:$A$801, $A104))</f>
        <v/>
      </c>
      <c r="Q104" s="6">
        <f>IF($P104&lt;=0,"", MINIFS(Repayment_Ledger!$C$2:$C$801, Repayment_Ledger!$A$2:$A$801, $A104, Repayment_Ledger!$F$2:$F$801, "&lt;&gt;Paid"))</f>
        <v/>
      </c>
    </row>
    <row r="105">
      <c r="A105">
        <f>IF($B105="","", "L"&amp;TEXT(ROW()-1,"0000"))</f>
        <v/>
      </c>
      <c r="G105" s="8" t="n"/>
      <c r="I105" s="10" t="n"/>
      <c r="J105" s="8" t="n"/>
      <c r="K105" s="6" t="n"/>
      <c r="M105" s="6">
        <f>IF($K105="","",$K105+7)</f>
        <v/>
      </c>
      <c r="N105" s="8">
        <f>IF($O105="","", ROUND($O105/$L105,2))</f>
        <v/>
      </c>
      <c r="O105" s="8">
        <f>IF($G105="","", $G105*(1+$I105) + IF($J105="",0,$J105))</f>
        <v/>
      </c>
      <c r="P105" s="8">
        <f>IF($A105="","", $O105 - SUMIFS(Repayment_Ledger!$E$2:$E$801,Repayment_Ledger!$A$2:$A$801, $A105))</f>
        <v/>
      </c>
      <c r="Q105" s="6">
        <f>IF($P105&lt;=0,"", MINIFS(Repayment_Ledger!$C$2:$C$801, Repayment_Ledger!$A$2:$A$801, $A105, Repayment_Ledger!$F$2:$F$801, "&lt;&gt;Paid"))</f>
        <v/>
      </c>
    </row>
    <row r="106">
      <c r="A106">
        <f>IF($B106="","", "L"&amp;TEXT(ROW()-1,"0000"))</f>
        <v/>
      </c>
      <c r="G106" s="8" t="n"/>
      <c r="I106" s="10" t="n"/>
      <c r="J106" s="8" t="n"/>
      <c r="K106" s="6" t="n"/>
      <c r="M106" s="6">
        <f>IF($K106="","",$K106+7)</f>
        <v/>
      </c>
      <c r="N106" s="8">
        <f>IF($O106="","", ROUND($O106/$L106,2))</f>
        <v/>
      </c>
      <c r="O106" s="8">
        <f>IF($G106="","", $G106*(1+$I106) + IF($J106="",0,$J106))</f>
        <v/>
      </c>
      <c r="P106" s="8">
        <f>IF($A106="","", $O106 - SUMIFS(Repayment_Ledger!$E$2:$E$801,Repayment_Ledger!$A$2:$A$801, $A106))</f>
        <v/>
      </c>
      <c r="Q106" s="6">
        <f>IF($P106&lt;=0,"", MINIFS(Repayment_Ledger!$C$2:$C$801, Repayment_Ledger!$A$2:$A$801, $A106, Repayment_Ledger!$F$2:$F$801, "&lt;&gt;Paid"))</f>
        <v/>
      </c>
    </row>
    <row r="107">
      <c r="A107">
        <f>IF($B107="","", "L"&amp;TEXT(ROW()-1,"0000"))</f>
        <v/>
      </c>
      <c r="G107" s="8" t="n"/>
      <c r="I107" s="10" t="n"/>
      <c r="J107" s="8" t="n"/>
      <c r="K107" s="6" t="n"/>
      <c r="M107" s="6">
        <f>IF($K107="","",$K107+7)</f>
        <v/>
      </c>
      <c r="N107" s="8">
        <f>IF($O107="","", ROUND($O107/$L107,2))</f>
        <v/>
      </c>
      <c r="O107" s="8">
        <f>IF($G107="","", $G107*(1+$I107) + IF($J107="",0,$J107))</f>
        <v/>
      </c>
      <c r="P107" s="8">
        <f>IF($A107="","", $O107 - SUMIFS(Repayment_Ledger!$E$2:$E$801,Repayment_Ledger!$A$2:$A$801, $A107))</f>
        <v/>
      </c>
      <c r="Q107" s="6">
        <f>IF($P107&lt;=0,"", MINIFS(Repayment_Ledger!$C$2:$C$801, Repayment_Ledger!$A$2:$A$801, $A107, Repayment_Ledger!$F$2:$F$801, "&lt;&gt;Paid"))</f>
        <v/>
      </c>
    </row>
    <row r="108">
      <c r="A108">
        <f>IF($B108="","", "L"&amp;TEXT(ROW()-1,"0000"))</f>
        <v/>
      </c>
      <c r="G108" s="8" t="n"/>
      <c r="I108" s="10" t="n"/>
      <c r="J108" s="8" t="n"/>
      <c r="K108" s="6" t="n"/>
      <c r="M108" s="6">
        <f>IF($K108="","",$K108+7)</f>
        <v/>
      </c>
      <c r="N108" s="8">
        <f>IF($O108="","", ROUND($O108/$L108,2))</f>
        <v/>
      </c>
      <c r="O108" s="8">
        <f>IF($G108="","", $G108*(1+$I108) + IF($J108="",0,$J108))</f>
        <v/>
      </c>
      <c r="P108" s="8">
        <f>IF($A108="","", $O108 - SUMIFS(Repayment_Ledger!$E$2:$E$801,Repayment_Ledger!$A$2:$A$801, $A108))</f>
        <v/>
      </c>
      <c r="Q108" s="6">
        <f>IF($P108&lt;=0,"", MINIFS(Repayment_Ledger!$C$2:$C$801, Repayment_Ledger!$A$2:$A$801, $A108, Repayment_Ledger!$F$2:$F$801, "&lt;&gt;Paid"))</f>
        <v/>
      </c>
    </row>
    <row r="109">
      <c r="A109">
        <f>IF($B109="","", "L"&amp;TEXT(ROW()-1,"0000"))</f>
        <v/>
      </c>
      <c r="G109" s="8" t="n"/>
      <c r="I109" s="10" t="n"/>
      <c r="J109" s="8" t="n"/>
      <c r="K109" s="6" t="n"/>
      <c r="M109" s="6">
        <f>IF($K109="","",$K109+7)</f>
        <v/>
      </c>
      <c r="N109" s="8">
        <f>IF($O109="","", ROUND($O109/$L109,2))</f>
        <v/>
      </c>
      <c r="O109" s="8">
        <f>IF($G109="","", $G109*(1+$I109) + IF($J109="",0,$J109))</f>
        <v/>
      </c>
      <c r="P109" s="8">
        <f>IF($A109="","", $O109 - SUMIFS(Repayment_Ledger!$E$2:$E$801,Repayment_Ledger!$A$2:$A$801, $A109))</f>
        <v/>
      </c>
      <c r="Q109" s="6">
        <f>IF($P109&lt;=0,"", MINIFS(Repayment_Ledger!$C$2:$C$801, Repayment_Ledger!$A$2:$A$801, $A109, Repayment_Ledger!$F$2:$F$801, "&lt;&gt;Paid"))</f>
        <v/>
      </c>
    </row>
    <row r="110">
      <c r="A110">
        <f>IF($B110="","", "L"&amp;TEXT(ROW()-1,"0000"))</f>
        <v/>
      </c>
      <c r="G110" s="8" t="n"/>
      <c r="I110" s="10" t="n"/>
      <c r="J110" s="8" t="n"/>
      <c r="K110" s="6" t="n"/>
      <c r="M110" s="6">
        <f>IF($K110="","",$K110+7)</f>
        <v/>
      </c>
      <c r="N110" s="8">
        <f>IF($O110="","", ROUND($O110/$L110,2))</f>
        <v/>
      </c>
      <c r="O110" s="8">
        <f>IF($G110="","", $G110*(1+$I110) + IF($J110="",0,$J110))</f>
        <v/>
      </c>
      <c r="P110" s="8">
        <f>IF($A110="","", $O110 - SUMIFS(Repayment_Ledger!$E$2:$E$801,Repayment_Ledger!$A$2:$A$801, $A110))</f>
        <v/>
      </c>
      <c r="Q110" s="6">
        <f>IF($P110&lt;=0,"", MINIFS(Repayment_Ledger!$C$2:$C$801, Repayment_Ledger!$A$2:$A$801, $A110, Repayment_Ledger!$F$2:$F$801, "&lt;&gt;Paid"))</f>
        <v/>
      </c>
    </row>
    <row r="111">
      <c r="A111">
        <f>IF($B111="","", "L"&amp;TEXT(ROW()-1,"0000"))</f>
        <v/>
      </c>
      <c r="G111" s="8" t="n"/>
      <c r="I111" s="10" t="n"/>
      <c r="J111" s="8" t="n"/>
      <c r="K111" s="6" t="n"/>
      <c r="M111" s="6">
        <f>IF($K111="","",$K111+7)</f>
        <v/>
      </c>
      <c r="N111" s="8">
        <f>IF($O111="","", ROUND($O111/$L111,2))</f>
        <v/>
      </c>
      <c r="O111" s="8">
        <f>IF($G111="","", $G111*(1+$I111) + IF($J111="",0,$J111))</f>
        <v/>
      </c>
      <c r="P111" s="8">
        <f>IF($A111="","", $O111 - SUMIFS(Repayment_Ledger!$E$2:$E$801,Repayment_Ledger!$A$2:$A$801, $A111))</f>
        <v/>
      </c>
      <c r="Q111" s="6">
        <f>IF($P111&lt;=0,"", MINIFS(Repayment_Ledger!$C$2:$C$801, Repayment_Ledger!$A$2:$A$801, $A111, Repayment_Ledger!$F$2:$F$801, "&lt;&gt;Paid"))</f>
        <v/>
      </c>
    </row>
    <row r="112">
      <c r="A112">
        <f>IF($B112="","", "L"&amp;TEXT(ROW()-1,"0000"))</f>
        <v/>
      </c>
      <c r="G112" s="8" t="n"/>
      <c r="I112" s="10" t="n"/>
      <c r="J112" s="8" t="n"/>
      <c r="K112" s="6" t="n"/>
      <c r="M112" s="6">
        <f>IF($K112="","",$K112+7)</f>
        <v/>
      </c>
      <c r="N112" s="8">
        <f>IF($O112="","", ROUND($O112/$L112,2))</f>
        <v/>
      </c>
      <c r="O112" s="8">
        <f>IF($G112="","", $G112*(1+$I112) + IF($J112="",0,$J112))</f>
        <v/>
      </c>
      <c r="P112" s="8">
        <f>IF($A112="","", $O112 - SUMIFS(Repayment_Ledger!$E$2:$E$801,Repayment_Ledger!$A$2:$A$801, $A112))</f>
        <v/>
      </c>
      <c r="Q112" s="6">
        <f>IF($P112&lt;=0,"", MINIFS(Repayment_Ledger!$C$2:$C$801, Repayment_Ledger!$A$2:$A$801, $A112, Repayment_Ledger!$F$2:$F$801, "&lt;&gt;Paid"))</f>
        <v/>
      </c>
    </row>
    <row r="113">
      <c r="A113">
        <f>IF($B113="","", "L"&amp;TEXT(ROW()-1,"0000"))</f>
        <v/>
      </c>
      <c r="G113" s="8" t="n"/>
      <c r="I113" s="10" t="n"/>
      <c r="J113" s="8" t="n"/>
      <c r="K113" s="6" t="n"/>
      <c r="M113" s="6">
        <f>IF($K113="","",$K113+7)</f>
        <v/>
      </c>
      <c r="N113" s="8">
        <f>IF($O113="","", ROUND($O113/$L113,2))</f>
        <v/>
      </c>
      <c r="O113" s="8">
        <f>IF($G113="","", $G113*(1+$I113) + IF($J113="",0,$J113))</f>
        <v/>
      </c>
      <c r="P113" s="8">
        <f>IF($A113="","", $O113 - SUMIFS(Repayment_Ledger!$E$2:$E$801,Repayment_Ledger!$A$2:$A$801, $A113))</f>
        <v/>
      </c>
      <c r="Q113" s="6">
        <f>IF($P113&lt;=0,"", MINIFS(Repayment_Ledger!$C$2:$C$801, Repayment_Ledger!$A$2:$A$801, $A113, Repayment_Ledger!$F$2:$F$801, "&lt;&gt;Paid"))</f>
        <v/>
      </c>
    </row>
    <row r="114">
      <c r="A114">
        <f>IF($B114="","", "L"&amp;TEXT(ROW()-1,"0000"))</f>
        <v/>
      </c>
      <c r="G114" s="8" t="n"/>
      <c r="I114" s="10" t="n"/>
      <c r="J114" s="8" t="n"/>
      <c r="K114" s="6" t="n"/>
      <c r="M114" s="6">
        <f>IF($K114="","",$K114+7)</f>
        <v/>
      </c>
      <c r="N114" s="8">
        <f>IF($O114="","", ROUND($O114/$L114,2))</f>
        <v/>
      </c>
      <c r="O114" s="8">
        <f>IF($G114="","", $G114*(1+$I114) + IF($J114="",0,$J114))</f>
        <v/>
      </c>
      <c r="P114" s="8">
        <f>IF($A114="","", $O114 - SUMIFS(Repayment_Ledger!$E$2:$E$801,Repayment_Ledger!$A$2:$A$801, $A114))</f>
        <v/>
      </c>
      <c r="Q114" s="6">
        <f>IF($P114&lt;=0,"", MINIFS(Repayment_Ledger!$C$2:$C$801, Repayment_Ledger!$A$2:$A$801, $A114, Repayment_Ledger!$F$2:$F$801, "&lt;&gt;Paid"))</f>
        <v/>
      </c>
    </row>
    <row r="115">
      <c r="A115">
        <f>IF($B115="","", "L"&amp;TEXT(ROW()-1,"0000"))</f>
        <v/>
      </c>
      <c r="G115" s="8" t="n"/>
      <c r="I115" s="10" t="n"/>
      <c r="J115" s="8" t="n"/>
      <c r="K115" s="6" t="n"/>
      <c r="M115" s="6">
        <f>IF($K115="","",$K115+7)</f>
        <v/>
      </c>
      <c r="N115" s="8">
        <f>IF($O115="","", ROUND($O115/$L115,2))</f>
        <v/>
      </c>
      <c r="O115" s="8">
        <f>IF($G115="","", $G115*(1+$I115) + IF($J115="",0,$J115))</f>
        <v/>
      </c>
      <c r="P115" s="8">
        <f>IF($A115="","", $O115 - SUMIFS(Repayment_Ledger!$E$2:$E$801,Repayment_Ledger!$A$2:$A$801, $A115))</f>
        <v/>
      </c>
      <c r="Q115" s="6">
        <f>IF($P115&lt;=0,"", MINIFS(Repayment_Ledger!$C$2:$C$801, Repayment_Ledger!$A$2:$A$801, $A115, Repayment_Ledger!$F$2:$F$801, "&lt;&gt;Paid"))</f>
        <v/>
      </c>
    </row>
    <row r="116">
      <c r="A116">
        <f>IF($B116="","", "L"&amp;TEXT(ROW()-1,"0000"))</f>
        <v/>
      </c>
      <c r="G116" s="8" t="n"/>
      <c r="I116" s="10" t="n"/>
      <c r="J116" s="8" t="n"/>
      <c r="K116" s="6" t="n"/>
      <c r="M116" s="6">
        <f>IF($K116="","",$K116+7)</f>
        <v/>
      </c>
      <c r="N116" s="8">
        <f>IF($O116="","", ROUND($O116/$L116,2))</f>
        <v/>
      </c>
      <c r="O116" s="8">
        <f>IF($G116="","", $G116*(1+$I116) + IF($J116="",0,$J116))</f>
        <v/>
      </c>
      <c r="P116" s="8">
        <f>IF($A116="","", $O116 - SUMIFS(Repayment_Ledger!$E$2:$E$801,Repayment_Ledger!$A$2:$A$801, $A116))</f>
        <v/>
      </c>
      <c r="Q116" s="6">
        <f>IF($P116&lt;=0,"", MINIFS(Repayment_Ledger!$C$2:$C$801, Repayment_Ledger!$A$2:$A$801, $A116, Repayment_Ledger!$F$2:$F$801, "&lt;&gt;Paid"))</f>
        <v/>
      </c>
    </row>
    <row r="117">
      <c r="A117">
        <f>IF($B117="","", "L"&amp;TEXT(ROW()-1,"0000"))</f>
        <v/>
      </c>
      <c r="G117" s="8" t="n"/>
      <c r="I117" s="10" t="n"/>
      <c r="J117" s="8" t="n"/>
      <c r="K117" s="6" t="n"/>
      <c r="M117" s="6">
        <f>IF($K117="","",$K117+7)</f>
        <v/>
      </c>
      <c r="N117" s="8">
        <f>IF($O117="","", ROUND($O117/$L117,2))</f>
        <v/>
      </c>
      <c r="O117" s="8">
        <f>IF($G117="","", $G117*(1+$I117) + IF($J117="",0,$J117))</f>
        <v/>
      </c>
      <c r="P117" s="8">
        <f>IF($A117="","", $O117 - SUMIFS(Repayment_Ledger!$E$2:$E$801,Repayment_Ledger!$A$2:$A$801, $A117))</f>
        <v/>
      </c>
      <c r="Q117" s="6">
        <f>IF($P117&lt;=0,"", MINIFS(Repayment_Ledger!$C$2:$C$801, Repayment_Ledger!$A$2:$A$801, $A117, Repayment_Ledger!$F$2:$F$801, "&lt;&gt;Paid"))</f>
        <v/>
      </c>
    </row>
    <row r="118">
      <c r="A118">
        <f>IF($B118="","", "L"&amp;TEXT(ROW()-1,"0000"))</f>
        <v/>
      </c>
      <c r="G118" s="8" t="n"/>
      <c r="I118" s="10" t="n"/>
      <c r="J118" s="8" t="n"/>
      <c r="K118" s="6" t="n"/>
      <c r="M118" s="6">
        <f>IF($K118="","",$K118+7)</f>
        <v/>
      </c>
      <c r="N118" s="8">
        <f>IF($O118="","", ROUND($O118/$L118,2))</f>
        <v/>
      </c>
      <c r="O118" s="8">
        <f>IF($G118="","", $G118*(1+$I118) + IF($J118="",0,$J118))</f>
        <v/>
      </c>
      <c r="P118" s="8">
        <f>IF($A118="","", $O118 - SUMIFS(Repayment_Ledger!$E$2:$E$801,Repayment_Ledger!$A$2:$A$801, $A118))</f>
        <v/>
      </c>
      <c r="Q118" s="6">
        <f>IF($P118&lt;=0,"", MINIFS(Repayment_Ledger!$C$2:$C$801, Repayment_Ledger!$A$2:$A$801, $A118, Repayment_Ledger!$F$2:$F$801, "&lt;&gt;Paid"))</f>
        <v/>
      </c>
    </row>
    <row r="119">
      <c r="A119">
        <f>IF($B119="","", "L"&amp;TEXT(ROW()-1,"0000"))</f>
        <v/>
      </c>
      <c r="G119" s="8" t="n"/>
      <c r="I119" s="10" t="n"/>
      <c r="J119" s="8" t="n"/>
      <c r="K119" s="6" t="n"/>
      <c r="M119" s="6">
        <f>IF($K119="","",$K119+7)</f>
        <v/>
      </c>
      <c r="N119" s="8">
        <f>IF($O119="","", ROUND($O119/$L119,2))</f>
        <v/>
      </c>
      <c r="O119" s="8">
        <f>IF($G119="","", $G119*(1+$I119) + IF($J119="",0,$J119))</f>
        <v/>
      </c>
      <c r="P119" s="8">
        <f>IF($A119="","", $O119 - SUMIFS(Repayment_Ledger!$E$2:$E$801,Repayment_Ledger!$A$2:$A$801, $A119))</f>
        <v/>
      </c>
      <c r="Q119" s="6">
        <f>IF($P119&lt;=0,"", MINIFS(Repayment_Ledger!$C$2:$C$801, Repayment_Ledger!$A$2:$A$801, $A119, Repayment_Ledger!$F$2:$F$801, "&lt;&gt;Paid"))</f>
        <v/>
      </c>
    </row>
    <row r="120">
      <c r="A120">
        <f>IF($B120="","", "L"&amp;TEXT(ROW()-1,"0000"))</f>
        <v/>
      </c>
      <c r="G120" s="8" t="n"/>
      <c r="I120" s="10" t="n"/>
      <c r="J120" s="8" t="n"/>
      <c r="K120" s="6" t="n"/>
      <c r="M120" s="6">
        <f>IF($K120="","",$K120+7)</f>
        <v/>
      </c>
      <c r="N120" s="8">
        <f>IF($O120="","", ROUND($O120/$L120,2))</f>
        <v/>
      </c>
      <c r="O120" s="8">
        <f>IF($G120="","", $G120*(1+$I120) + IF($J120="",0,$J120))</f>
        <v/>
      </c>
      <c r="P120" s="8">
        <f>IF($A120="","", $O120 - SUMIFS(Repayment_Ledger!$E$2:$E$801,Repayment_Ledger!$A$2:$A$801, $A120))</f>
        <v/>
      </c>
      <c r="Q120" s="6">
        <f>IF($P120&lt;=0,"", MINIFS(Repayment_Ledger!$C$2:$C$801, Repayment_Ledger!$A$2:$A$801, $A120, Repayment_Ledger!$F$2:$F$801, "&lt;&gt;Paid"))</f>
        <v/>
      </c>
    </row>
    <row r="121">
      <c r="A121">
        <f>IF($B121="","", "L"&amp;TEXT(ROW()-1,"0000"))</f>
        <v/>
      </c>
      <c r="G121" s="8" t="n"/>
      <c r="I121" s="10" t="n"/>
      <c r="J121" s="8" t="n"/>
      <c r="K121" s="6" t="n"/>
      <c r="M121" s="6">
        <f>IF($K121="","",$K121+7)</f>
        <v/>
      </c>
      <c r="N121" s="8">
        <f>IF($O121="","", ROUND($O121/$L121,2))</f>
        <v/>
      </c>
      <c r="O121" s="8">
        <f>IF($G121="","", $G121*(1+$I121) + IF($J121="",0,$J121))</f>
        <v/>
      </c>
      <c r="P121" s="8">
        <f>IF($A121="","", $O121 - SUMIFS(Repayment_Ledger!$E$2:$E$801,Repayment_Ledger!$A$2:$A$801, $A121))</f>
        <v/>
      </c>
      <c r="Q121" s="6">
        <f>IF($P121&lt;=0,"", MINIFS(Repayment_Ledger!$C$2:$C$801, Repayment_Ledger!$A$2:$A$801, $A121, Repayment_Ledger!$F$2:$F$801, "&lt;&gt;Paid"))</f>
        <v/>
      </c>
    </row>
    <row r="122">
      <c r="A122">
        <f>IF($B122="","", "L"&amp;TEXT(ROW()-1,"0000"))</f>
        <v/>
      </c>
      <c r="G122" s="8" t="n"/>
      <c r="I122" s="10" t="n"/>
      <c r="J122" s="8" t="n"/>
      <c r="K122" s="6" t="n"/>
      <c r="M122" s="6">
        <f>IF($K122="","",$K122+7)</f>
        <v/>
      </c>
      <c r="N122" s="8">
        <f>IF($O122="","", ROUND($O122/$L122,2))</f>
        <v/>
      </c>
      <c r="O122" s="8">
        <f>IF($G122="","", $G122*(1+$I122) + IF($J122="",0,$J122))</f>
        <v/>
      </c>
      <c r="P122" s="8">
        <f>IF($A122="","", $O122 - SUMIFS(Repayment_Ledger!$E$2:$E$801,Repayment_Ledger!$A$2:$A$801, $A122))</f>
        <v/>
      </c>
      <c r="Q122" s="6">
        <f>IF($P122&lt;=0,"", MINIFS(Repayment_Ledger!$C$2:$C$801, Repayment_Ledger!$A$2:$A$801, $A122, Repayment_Ledger!$F$2:$F$801, "&lt;&gt;Paid"))</f>
        <v/>
      </c>
    </row>
    <row r="123">
      <c r="A123">
        <f>IF($B123="","", "L"&amp;TEXT(ROW()-1,"0000"))</f>
        <v/>
      </c>
      <c r="G123" s="8" t="n"/>
      <c r="I123" s="10" t="n"/>
      <c r="J123" s="8" t="n"/>
      <c r="K123" s="6" t="n"/>
      <c r="M123" s="6">
        <f>IF($K123="","",$K123+7)</f>
        <v/>
      </c>
      <c r="N123" s="8">
        <f>IF($O123="","", ROUND($O123/$L123,2))</f>
        <v/>
      </c>
      <c r="O123" s="8">
        <f>IF($G123="","", $G123*(1+$I123) + IF($J123="",0,$J123))</f>
        <v/>
      </c>
      <c r="P123" s="8">
        <f>IF($A123="","", $O123 - SUMIFS(Repayment_Ledger!$E$2:$E$801,Repayment_Ledger!$A$2:$A$801, $A123))</f>
        <v/>
      </c>
      <c r="Q123" s="6">
        <f>IF($P123&lt;=0,"", MINIFS(Repayment_Ledger!$C$2:$C$801, Repayment_Ledger!$A$2:$A$801, $A123, Repayment_Ledger!$F$2:$F$801, "&lt;&gt;Paid"))</f>
        <v/>
      </c>
    </row>
    <row r="124">
      <c r="A124">
        <f>IF($B124="","", "L"&amp;TEXT(ROW()-1,"0000"))</f>
        <v/>
      </c>
      <c r="G124" s="8" t="n"/>
      <c r="I124" s="10" t="n"/>
      <c r="J124" s="8" t="n"/>
      <c r="K124" s="6" t="n"/>
      <c r="M124" s="6">
        <f>IF($K124="","",$K124+7)</f>
        <v/>
      </c>
      <c r="N124" s="8">
        <f>IF($O124="","", ROUND($O124/$L124,2))</f>
        <v/>
      </c>
      <c r="O124" s="8">
        <f>IF($G124="","", $G124*(1+$I124) + IF($J124="",0,$J124))</f>
        <v/>
      </c>
      <c r="P124" s="8">
        <f>IF($A124="","", $O124 - SUMIFS(Repayment_Ledger!$E$2:$E$801,Repayment_Ledger!$A$2:$A$801, $A124))</f>
        <v/>
      </c>
      <c r="Q124" s="6">
        <f>IF($P124&lt;=0,"", MINIFS(Repayment_Ledger!$C$2:$C$801, Repayment_Ledger!$A$2:$A$801, $A124, Repayment_Ledger!$F$2:$F$801, "&lt;&gt;Paid"))</f>
        <v/>
      </c>
    </row>
    <row r="125">
      <c r="A125">
        <f>IF($B125="","", "L"&amp;TEXT(ROW()-1,"0000"))</f>
        <v/>
      </c>
      <c r="G125" s="8" t="n"/>
      <c r="I125" s="10" t="n"/>
      <c r="J125" s="8" t="n"/>
      <c r="K125" s="6" t="n"/>
      <c r="M125" s="6">
        <f>IF($K125="","",$K125+7)</f>
        <v/>
      </c>
      <c r="N125" s="8">
        <f>IF($O125="","", ROUND($O125/$L125,2))</f>
        <v/>
      </c>
      <c r="O125" s="8">
        <f>IF($G125="","", $G125*(1+$I125) + IF($J125="",0,$J125))</f>
        <v/>
      </c>
      <c r="P125" s="8">
        <f>IF($A125="","", $O125 - SUMIFS(Repayment_Ledger!$E$2:$E$801,Repayment_Ledger!$A$2:$A$801, $A125))</f>
        <v/>
      </c>
      <c r="Q125" s="6">
        <f>IF($P125&lt;=0,"", MINIFS(Repayment_Ledger!$C$2:$C$801, Repayment_Ledger!$A$2:$A$801, $A125, Repayment_Ledger!$F$2:$F$801, "&lt;&gt;Paid"))</f>
        <v/>
      </c>
    </row>
    <row r="126">
      <c r="A126">
        <f>IF($B126="","", "L"&amp;TEXT(ROW()-1,"0000"))</f>
        <v/>
      </c>
      <c r="G126" s="8" t="n"/>
      <c r="I126" s="10" t="n"/>
      <c r="J126" s="8" t="n"/>
      <c r="K126" s="6" t="n"/>
      <c r="M126" s="6">
        <f>IF($K126="","",$K126+7)</f>
        <v/>
      </c>
      <c r="N126" s="8">
        <f>IF($O126="","", ROUND($O126/$L126,2))</f>
        <v/>
      </c>
      <c r="O126" s="8">
        <f>IF($G126="","", $G126*(1+$I126) + IF($J126="",0,$J126))</f>
        <v/>
      </c>
      <c r="P126" s="8">
        <f>IF($A126="","", $O126 - SUMIFS(Repayment_Ledger!$E$2:$E$801,Repayment_Ledger!$A$2:$A$801, $A126))</f>
        <v/>
      </c>
      <c r="Q126" s="6">
        <f>IF($P126&lt;=0,"", MINIFS(Repayment_Ledger!$C$2:$C$801, Repayment_Ledger!$A$2:$A$801, $A126, Repayment_Ledger!$F$2:$F$801, "&lt;&gt;Paid"))</f>
        <v/>
      </c>
    </row>
    <row r="127">
      <c r="A127">
        <f>IF($B127="","", "L"&amp;TEXT(ROW()-1,"0000"))</f>
        <v/>
      </c>
      <c r="G127" s="8" t="n"/>
      <c r="I127" s="10" t="n"/>
      <c r="J127" s="8" t="n"/>
      <c r="K127" s="6" t="n"/>
      <c r="M127" s="6">
        <f>IF($K127="","",$K127+7)</f>
        <v/>
      </c>
      <c r="N127" s="8">
        <f>IF($O127="","", ROUND($O127/$L127,2))</f>
        <v/>
      </c>
      <c r="O127" s="8">
        <f>IF($G127="","", $G127*(1+$I127) + IF($J127="",0,$J127))</f>
        <v/>
      </c>
      <c r="P127" s="8">
        <f>IF($A127="","", $O127 - SUMIFS(Repayment_Ledger!$E$2:$E$801,Repayment_Ledger!$A$2:$A$801, $A127))</f>
        <v/>
      </c>
      <c r="Q127" s="6">
        <f>IF($P127&lt;=0,"", MINIFS(Repayment_Ledger!$C$2:$C$801, Repayment_Ledger!$A$2:$A$801, $A127, Repayment_Ledger!$F$2:$F$801, "&lt;&gt;Paid"))</f>
        <v/>
      </c>
    </row>
    <row r="128">
      <c r="A128">
        <f>IF($B128="","", "L"&amp;TEXT(ROW()-1,"0000"))</f>
        <v/>
      </c>
      <c r="G128" s="8" t="n"/>
      <c r="I128" s="10" t="n"/>
      <c r="J128" s="8" t="n"/>
      <c r="K128" s="6" t="n"/>
      <c r="M128" s="6">
        <f>IF($K128="","",$K128+7)</f>
        <v/>
      </c>
      <c r="N128" s="8">
        <f>IF($O128="","", ROUND($O128/$L128,2))</f>
        <v/>
      </c>
      <c r="O128" s="8">
        <f>IF($G128="","", $G128*(1+$I128) + IF($J128="",0,$J128))</f>
        <v/>
      </c>
      <c r="P128" s="8">
        <f>IF($A128="","", $O128 - SUMIFS(Repayment_Ledger!$E$2:$E$801,Repayment_Ledger!$A$2:$A$801, $A128))</f>
        <v/>
      </c>
      <c r="Q128" s="6">
        <f>IF($P128&lt;=0,"", MINIFS(Repayment_Ledger!$C$2:$C$801, Repayment_Ledger!$A$2:$A$801, $A128, Repayment_Ledger!$F$2:$F$801, "&lt;&gt;Paid"))</f>
        <v/>
      </c>
    </row>
    <row r="129">
      <c r="A129">
        <f>IF($B129="","", "L"&amp;TEXT(ROW()-1,"0000"))</f>
        <v/>
      </c>
      <c r="G129" s="8" t="n"/>
      <c r="I129" s="10" t="n"/>
      <c r="J129" s="8" t="n"/>
      <c r="K129" s="6" t="n"/>
      <c r="M129" s="6">
        <f>IF($K129="","",$K129+7)</f>
        <v/>
      </c>
      <c r="N129" s="8">
        <f>IF($O129="","", ROUND($O129/$L129,2))</f>
        <v/>
      </c>
      <c r="O129" s="8">
        <f>IF($G129="","", $G129*(1+$I129) + IF($J129="",0,$J129))</f>
        <v/>
      </c>
      <c r="P129" s="8">
        <f>IF($A129="","", $O129 - SUMIFS(Repayment_Ledger!$E$2:$E$801,Repayment_Ledger!$A$2:$A$801, $A129))</f>
        <v/>
      </c>
      <c r="Q129" s="6">
        <f>IF($P129&lt;=0,"", MINIFS(Repayment_Ledger!$C$2:$C$801, Repayment_Ledger!$A$2:$A$801, $A129, Repayment_Ledger!$F$2:$F$801, "&lt;&gt;Paid"))</f>
        <v/>
      </c>
    </row>
    <row r="130">
      <c r="A130">
        <f>IF($B130="","", "L"&amp;TEXT(ROW()-1,"0000"))</f>
        <v/>
      </c>
      <c r="G130" s="8" t="n"/>
      <c r="I130" s="10" t="n"/>
      <c r="J130" s="8" t="n"/>
      <c r="K130" s="6" t="n"/>
      <c r="M130" s="6">
        <f>IF($K130="","",$K130+7)</f>
        <v/>
      </c>
      <c r="N130" s="8">
        <f>IF($O130="","", ROUND($O130/$L130,2))</f>
        <v/>
      </c>
      <c r="O130" s="8">
        <f>IF($G130="","", $G130*(1+$I130) + IF($J130="",0,$J130))</f>
        <v/>
      </c>
      <c r="P130" s="8">
        <f>IF($A130="","", $O130 - SUMIFS(Repayment_Ledger!$E$2:$E$801,Repayment_Ledger!$A$2:$A$801, $A130))</f>
        <v/>
      </c>
      <c r="Q130" s="6">
        <f>IF($P130&lt;=0,"", MINIFS(Repayment_Ledger!$C$2:$C$801, Repayment_Ledger!$A$2:$A$801, $A130, Repayment_Ledger!$F$2:$F$801, "&lt;&gt;Paid"))</f>
        <v/>
      </c>
    </row>
    <row r="131">
      <c r="A131">
        <f>IF($B131="","", "L"&amp;TEXT(ROW()-1,"0000"))</f>
        <v/>
      </c>
      <c r="G131" s="8" t="n"/>
      <c r="I131" s="10" t="n"/>
      <c r="J131" s="8" t="n"/>
      <c r="K131" s="6" t="n"/>
      <c r="M131" s="6">
        <f>IF($K131="","",$K131+7)</f>
        <v/>
      </c>
      <c r="N131" s="8">
        <f>IF($O131="","", ROUND($O131/$L131,2))</f>
        <v/>
      </c>
      <c r="O131" s="8">
        <f>IF($G131="","", $G131*(1+$I131) + IF($J131="",0,$J131))</f>
        <v/>
      </c>
      <c r="P131" s="8">
        <f>IF($A131="","", $O131 - SUMIFS(Repayment_Ledger!$E$2:$E$801,Repayment_Ledger!$A$2:$A$801, $A131))</f>
        <v/>
      </c>
      <c r="Q131" s="6">
        <f>IF($P131&lt;=0,"", MINIFS(Repayment_Ledger!$C$2:$C$801, Repayment_Ledger!$A$2:$A$801, $A131, Repayment_Ledger!$F$2:$F$801, "&lt;&gt;Paid"))</f>
        <v/>
      </c>
    </row>
    <row r="132">
      <c r="A132">
        <f>IF($B132="","", "L"&amp;TEXT(ROW()-1,"0000"))</f>
        <v/>
      </c>
      <c r="G132" s="8" t="n"/>
      <c r="I132" s="10" t="n"/>
      <c r="J132" s="8" t="n"/>
      <c r="K132" s="6" t="n"/>
      <c r="M132" s="6">
        <f>IF($K132="","",$K132+7)</f>
        <v/>
      </c>
      <c r="N132" s="8">
        <f>IF($O132="","", ROUND($O132/$L132,2))</f>
        <v/>
      </c>
      <c r="O132" s="8">
        <f>IF($G132="","", $G132*(1+$I132) + IF($J132="",0,$J132))</f>
        <v/>
      </c>
      <c r="P132" s="8">
        <f>IF($A132="","", $O132 - SUMIFS(Repayment_Ledger!$E$2:$E$801,Repayment_Ledger!$A$2:$A$801, $A132))</f>
        <v/>
      </c>
      <c r="Q132" s="6">
        <f>IF($P132&lt;=0,"", MINIFS(Repayment_Ledger!$C$2:$C$801, Repayment_Ledger!$A$2:$A$801, $A132, Repayment_Ledger!$F$2:$F$801, "&lt;&gt;Paid"))</f>
        <v/>
      </c>
    </row>
    <row r="133">
      <c r="A133">
        <f>IF($B133="","", "L"&amp;TEXT(ROW()-1,"0000"))</f>
        <v/>
      </c>
      <c r="G133" s="8" t="n"/>
      <c r="I133" s="10" t="n"/>
      <c r="J133" s="8" t="n"/>
      <c r="K133" s="6" t="n"/>
      <c r="M133" s="6">
        <f>IF($K133="","",$K133+7)</f>
        <v/>
      </c>
      <c r="N133" s="8">
        <f>IF($O133="","", ROUND($O133/$L133,2))</f>
        <v/>
      </c>
      <c r="O133" s="8">
        <f>IF($G133="","", $G133*(1+$I133) + IF($J133="",0,$J133))</f>
        <v/>
      </c>
      <c r="P133" s="8">
        <f>IF($A133="","", $O133 - SUMIFS(Repayment_Ledger!$E$2:$E$801,Repayment_Ledger!$A$2:$A$801, $A133))</f>
        <v/>
      </c>
      <c r="Q133" s="6">
        <f>IF($P133&lt;=0,"", MINIFS(Repayment_Ledger!$C$2:$C$801, Repayment_Ledger!$A$2:$A$801, $A133, Repayment_Ledger!$F$2:$F$801, "&lt;&gt;Paid"))</f>
        <v/>
      </c>
    </row>
    <row r="134">
      <c r="A134">
        <f>IF($B134="","", "L"&amp;TEXT(ROW()-1,"0000"))</f>
        <v/>
      </c>
      <c r="G134" s="8" t="n"/>
      <c r="I134" s="10" t="n"/>
      <c r="J134" s="8" t="n"/>
      <c r="K134" s="6" t="n"/>
      <c r="M134" s="6">
        <f>IF($K134="","",$K134+7)</f>
        <v/>
      </c>
      <c r="N134" s="8">
        <f>IF($O134="","", ROUND($O134/$L134,2))</f>
        <v/>
      </c>
      <c r="O134" s="8">
        <f>IF($G134="","", $G134*(1+$I134) + IF($J134="",0,$J134))</f>
        <v/>
      </c>
      <c r="P134" s="8">
        <f>IF($A134="","", $O134 - SUMIFS(Repayment_Ledger!$E$2:$E$801,Repayment_Ledger!$A$2:$A$801, $A134))</f>
        <v/>
      </c>
      <c r="Q134" s="6">
        <f>IF($P134&lt;=0,"", MINIFS(Repayment_Ledger!$C$2:$C$801, Repayment_Ledger!$A$2:$A$801, $A134, Repayment_Ledger!$F$2:$F$801, "&lt;&gt;Paid"))</f>
        <v/>
      </c>
    </row>
    <row r="135">
      <c r="A135">
        <f>IF($B135="","", "L"&amp;TEXT(ROW()-1,"0000"))</f>
        <v/>
      </c>
      <c r="G135" s="8" t="n"/>
      <c r="I135" s="10" t="n"/>
      <c r="J135" s="8" t="n"/>
      <c r="K135" s="6" t="n"/>
      <c r="M135" s="6">
        <f>IF($K135="","",$K135+7)</f>
        <v/>
      </c>
      <c r="N135" s="8">
        <f>IF($O135="","", ROUND($O135/$L135,2))</f>
        <v/>
      </c>
      <c r="O135" s="8">
        <f>IF($G135="","", $G135*(1+$I135) + IF($J135="",0,$J135))</f>
        <v/>
      </c>
      <c r="P135" s="8">
        <f>IF($A135="","", $O135 - SUMIFS(Repayment_Ledger!$E$2:$E$801,Repayment_Ledger!$A$2:$A$801, $A135))</f>
        <v/>
      </c>
      <c r="Q135" s="6">
        <f>IF($P135&lt;=0,"", MINIFS(Repayment_Ledger!$C$2:$C$801, Repayment_Ledger!$A$2:$A$801, $A135, Repayment_Ledger!$F$2:$F$801, "&lt;&gt;Paid"))</f>
        <v/>
      </c>
    </row>
    <row r="136">
      <c r="A136">
        <f>IF($B136="","", "L"&amp;TEXT(ROW()-1,"0000"))</f>
        <v/>
      </c>
      <c r="G136" s="8" t="n"/>
      <c r="I136" s="10" t="n"/>
      <c r="J136" s="8" t="n"/>
      <c r="K136" s="6" t="n"/>
      <c r="M136" s="6">
        <f>IF($K136="","",$K136+7)</f>
        <v/>
      </c>
      <c r="N136" s="8">
        <f>IF($O136="","", ROUND($O136/$L136,2))</f>
        <v/>
      </c>
      <c r="O136" s="8">
        <f>IF($G136="","", $G136*(1+$I136) + IF($J136="",0,$J136))</f>
        <v/>
      </c>
      <c r="P136" s="8">
        <f>IF($A136="","", $O136 - SUMIFS(Repayment_Ledger!$E$2:$E$801,Repayment_Ledger!$A$2:$A$801, $A136))</f>
        <v/>
      </c>
      <c r="Q136" s="6">
        <f>IF($P136&lt;=0,"", MINIFS(Repayment_Ledger!$C$2:$C$801, Repayment_Ledger!$A$2:$A$801, $A136, Repayment_Ledger!$F$2:$F$801, "&lt;&gt;Paid"))</f>
        <v/>
      </c>
    </row>
    <row r="137">
      <c r="A137">
        <f>IF($B137="","", "L"&amp;TEXT(ROW()-1,"0000"))</f>
        <v/>
      </c>
      <c r="G137" s="8" t="n"/>
      <c r="I137" s="10" t="n"/>
      <c r="J137" s="8" t="n"/>
      <c r="K137" s="6" t="n"/>
      <c r="M137" s="6">
        <f>IF($K137="","",$K137+7)</f>
        <v/>
      </c>
      <c r="N137" s="8">
        <f>IF($O137="","", ROUND($O137/$L137,2))</f>
        <v/>
      </c>
      <c r="O137" s="8">
        <f>IF($G137="","", $G137*(1+$I137) + IF($J137="",0,$J137))</f>
        <v/>
      </c>
      <c r="P137" s="8">
        <f>IF($A137="","", $O137 - SUMIFS(Repayment_Ledger!$E$2:$E$801,Repayment_Ledger!$A$2:$A$801, $A137))</f>
        <v/>
      </c>
      <c r="Q137" s="6">
        <f>IF($P137&lt;=0,"", MINIFS(Repayment_Ledger!$C$2:$C$801, Repayment_Ledger!$A$2:$A$801, $A137, Repayment_Ledger!$F$2:$F$801, "&lt;&gt;Paid"))</f>
        <v/>
      </c>
    </row>
    <row r="138">
      <c r="A138">
        <f>IF($B138="","", "L"&amp;TEXT(ROW()-1,"0000"))</f>
        <v/>
      </c>
      <c r="G138" s="8" t="n"/>
      <c r="I138" s="10" t="n"/>
      <c r="J138" s="8" t="n"/>
      <c r="K138" s="6" t="n"/>
      <c r="M138" s="6">
        <f>IF($K138="","",$K138+7)</f>
        <v/>
      </c>
      <c r="N138" s="8">
        <f>IF($O138="","", ROUND($O138/$L138,2))</f>
        <v/>
      </c>
      <c r="O138" s="8">
        <f>IF($G138="","", $G138*(1+$I138) + IF($J138="",0,$J138))</f>
        <v/>
      </c>
      <c r="P138" s="8">
        <f>IF($A138="","", $O138 - SUMIFS(Repayment_Ledger!$E$2:$E$801,Repayment_Ledger!$A$2:$A$801, $A138))</f>
        <v/>
      </c>
      <c r="Q138" s="6">
        <f>IF($P138&lt;=0,"", MINIFS(Repayment_Ledger!$C$2:$C$801, Repayment_Ledger!$A$2:$A$801, $A138, Repayment_Ledger!$F$2:$F$801, "&lt;&gt;Paid"))</f>
        <v/>
      </c>
    </row>
    <row r="139">
      <c r="A139">
        <f>IF($B139="","", "L"&amp;TEXT(ROW()-1,"0000"))</f>
        <v/>
      </c>
      <c r="G139" s="8" t="n"/>
      <c r="I139" s="10" t="n"/>
      <c r="J139" s="8" t="n"/>
      <c r="K139" s="6" t="n"/>
      <c r="M139" s="6">
        <f>IF($K139="","",$K139+7)</f>
        <v/>
      </c>
      <c r="N139" s="8">
        <f>IF($O139="","", ROUND($O139/$L139,2))</f>
        <v/>
      </c>
      <c r="O139" s="8">
        <f>IF($G139="","", $G139*(1+$I139) + IF($J139="",0,$J139))</f>
        <v/>
      </c>
      <c r="P139" s="8">
        <f>IF($A139="","", $O139 - SUMIFS(Repayment_Ledger!$E$2:$E$801,Repayment_Ledger!$A$2:$A$801, $A139))</f>
        <v/>
      </c>
      <c r="Q139" s="6">
        <f>IF($P139&lt;=0,"", MINIFS(Repayment_Ledger!$C$2:$C$801, Repayment_Ledger!$A$2:$A$801, $A139, Repayment_Ledger!$F$2:$F$801, "&lt;&gt;Paid"))</f>
        <v/>
      </c>
    </row>
    <row r="140">
      <c r="A140">
        <f>IF($B140="","", "L"&amp;TEXT(ROW()-1,"0000"))</f>
        <v/>
      </c>
      <c r="G140" s="8" t="n"/>
      <c r="I140" s="10" t="n"/>
      <c r="J140" s="8" t="n"/>
      <c r="K140" s="6" t="n"/>
      <c r="M140" s="6">
        <f>IF($K140="","",$K140+7)</f>
        <v/>
      </c>
      <c r="N140" s="8">
        <f>IF($O140="","", ROUND($O140/$L140,2))</f>
        <v/>
      </c>
      <c r="O140" s="8">
        <f>IF($G140="","", $G140*(1+$I140) + IF($J140="",0,$J140))</f>
        <v/>
      </c>
      <c r="P140" s="8">
        <f>IF($A140="","", $O140 - SUMIFS(Repayment_Ledger!$E$2:$E$801,Repayment_Ledger!$A$2:$A$801, $A140))</f>
        <v/>
      </c>
      <c r="Q140" s="6">
        <f>IF($P140&lt;=0,"", MINIFS(Repayment_Ledger!$C$2:$C$801, Repayment_Ledger!$A$2:$A$801, $A140, Repayment_Ledger!$F$2:$F$801, "&lt;&gt;Paid"))</f>
        <v/>
      </c>
    </row>
    <row r="141">
      <c r="A141">
        <f>IF($B141="","", "L"&amp;TEXT(ROW()-1,"0000"))</f>
        <v/>
      </c>
      <c r="G141" s="8" t="n"/>
      <c r="I141" s="10" t="n"/>
      <c r="J141" s="8" t="n"/>
      <c r="K141" s="6" t="n"/>
      <c r="M141" s="6">
        <f>IF($K141="","",$K141+7)</f>
        <v/>
      </c>
      <c r="N141" s="8">
        <f>IF($O141="","", ROUND($O141/$L141,2))</f>
        <v/>
      </c>
      <c r="O141" s="8">
        <f>IF($G141="","", $G141*(1+$I141) + IF($J141="",0,$J141))</f>
        <v/>
      </c>
      <c r="P141" s="8">
        <f>IF($A141="","", $O141 - SUMIFS(Repayment_Ledger!$E$2:$E$801,Repayment_Ledger!$A$2:$A$801, $A141))</f>
        <v/>
      </c>
      <c r="Q141" s="6">
        <f>IF($P141&lt;=0,"", MINIFS(Repayment_Ledger!$C$2:$C$801, Repayment_Ledger!$A$2:$A$801, $A141, Repayment_Ledger!$F$2:$F$801, "&lt;&gt;Paid"))</f>
        <v/>
      </c>
    </row>
    <row r="142">
      <c r="A142">
        <f>IF($B142="","", "L"&amp;TEXT(ROW()-1,"0000"))</f>
        <v/>
      </c>
      <c r="G142" s="8" t="n"/>
      <c r="I142" s="10" t="n"/>
      <c r="J142" s="8" t="n"/>
      <c r="K142" s="6" t="n"/>
      <c r="M142" s="6">
        <f>IF($K142="","",$K142+7)</f>
        <v/>
      </c>
      <c r="N142" s="8">
        <f>IF($O142="","", ROUND($O142/$L142,2))</f>
        <v/>
      </c>
      <c r="O142" s="8">
        <f>IF($G142="","", $G142*(1+$I142) + IF($J142="",0,$J142))</f>
        <v/>
      </c>
      <c r="P142" s="8">
        <f>IF($A142="","", $O142 - SUMIFS(Repayment_Ledger!$E$2:$E$801,Repayment_Ledger!$A$2:$A$801, $A142))</f>
        <v/>
      </c>
      <c r="Q142" s="6">
        <f>IF($P142&lt;=0,"", MINIFS(Repayment_Ledger!$C$2:$C$801, Repayment_Ledger!$A$2:$A$801, $A142, Repayment_Ledger!$F$2:$F$801, "&lt;&gt;Paid"))</f>
        <v/>
      </c>
    </row>
    <row r="143">
      <c r="A143">
        <f>IF($B143="","", "L"&amp;TEXT(ROW()-1,"0000"))</f>
        <v/>
      </c>
      <c r="G143" s="8" t="n"/>
      <c r="I143" s="10" t="n"/>
      <c r="J143" s="8" t="n"/>
      <c r="K143" s="6" t="n"/>
      <c r="M143" s="6">
        <f>IF($K143="","",$K143+7)</f>
        <v/>
      </c>
      <c r="N143" s="8">
        <f>IF($O143="","", ROUND($O143/$L143,2))</f>
        <v/>
      </c>
      <c r="O143" s="8">
        <f>IF($G143="","", $G143*(1+$I143) + IF($J143="",0,$J143))</f>
        <v/>
      </c>
      <c r="P143" s="8">
        <f>IF($A143="","", $O143 - SUMIFS(Repayment_Ledger!$E$2:$E$801,Repayment_Ledger!$A$2:$A$801, $A143))</f>
        <v/>
      </c>
      <c r="Q143" s="6">
        <f>IF($P143&lt;=0,"", MINIFS(Repayment_Ledger!$C$2:$C$801, Repayment_Ledger!$A$2:$A$801, $A143, Repayment_Ledger!$F$2:$F$801, "&lt;&gt;Paid"))</f>
        <v/>
      </c>
    </row>
    <row r="144">
      <c r="A144">
        <f>IF($B144="","", "L"&amp;TEXT(ROW()-1,"0000"))</f>
        <v/>
      </c>
      <c r="G144" s="8" t="n"/>
      <c r="I144" s="10" t="n"/>
      <c r="J144" s="8" t="n"/>
      <c r="K144" s="6" t="n"/>
      <c r="M144" s="6">
        <f>IF($K144="","",$K144+7)</f>
        <v/>
      </c>
      <c r="N144" s="8">
        <f>IF($O144="","", ROUND($O144/$L144,2))</f>
        <v/>
      </c>
      <c r="O144" s="8">
        <f>IF($G144="","", $G144*(1+$I144) + IF($J144="",0,$J144))</f>
        <v/>
      </c>
      <c r="P144" s="8">
        <f>IF($A144="","", $O144 - SUMIFS(Repayment_Ledger!$E$2:$E$801,Repayment_Ledger!$A$2:$A$801, $A144))</f>
        <v/>
      </c>
      <c r="Q144" s="6">
        <f>IF($P144&lt;=0,"", MINIFS(Repayment_Ledger!$C$2:$C$801, Repayment_Ledger!$A$2:$A$801, $A144, Repayment_Ledger!$F$2:$F$801, "&lt;&gt;Paid"))</f>
        <v/>
      </c>
    </row>
    <row r="145">
      <c r="A145">
        <f>IF($B145="","", "L"&amp;TEXT(ROW()-1,"0000"))</f>
        <v/>
      </c>
      <c r="G145" s="8" t="n"/>
      <c r="I145" s="10" t="n"/>
      <c r="J145" s="8" t="n"/>
      <c r="K145" s="6" t="n"/>
      <c r="M145" s="6">
        <f>IF($K145="","",$K145+7)</f>
        <v/>
      </c>
      <c r="N145" s="8">
        <f>IF($O145="","", ROUND($O145/$L145,2))</f>
        <v/>
      </c>
      <c r="O145" s="8">
        <f>IF($G145="","", $G145*(1+$I145) + IF($J145="",0,$J145))</f>
        <v/>
      </c>
      <c r="P145" s="8">
        <f>IF($A145="","", $O145 - SUMIFS(Repayment_Ledger!$E$2:$E$801,Repayment_Ledger!$A$2:$A$801, $A145))</f>
        <v/>
      </c>
      <c r="Q145" s="6">
        <f>IF($P145&lt;=0,"", MINIFS(Repayment_Ledger!$C$2:$C$801, Repayment_Ledger!$A$2:$A$801, $A145, Repayment_Ledger!$F$2:$F$801, "&lt;&gt;Paid"))</f>
        <v/>
      </c>
    </row>
    <row r="146">
      <c r="A146">
        <f>IF($B146="","", "L"&amp;TEXT(ROW()-1,"0000"))</f>
        <v/>
      </c>
      <c r="G146" s="8" t="n"/>
      <c r="I146" s="10" t="n"/>
      <c r="J146" s="8" t="n"/>
      <c r="K146" s="6" t="n"/>
      <c r="M146" s="6">
        <f>IF($K146="","",$K146+7)</f>
        <v/>
      </c>
      <c r="N146" s="8">
        <f>IF($O146="","", ROUND($O146/$L146,2))</f>
        <v/>
      </c>
      <c r="O146" s="8">
        <f>IF($G146="","", $G146*(1+$I146) + IF($J146="",0,$J146))</f>
        <v/>
      </c>
      <c r="P146" s="8">
        <f>IF($A146="","", $O146 - SUMIFS(Repayment_Ledger!$E$2:$E$801,Repayment_Ledger!$A$2:$A$801, $A146))</f>
        <v/>
      </c>
      <c r="Q146" s="6">
        <f>IF($P146&lt;=0,"", MINIFS(Repayment_Ledger!$C$2:$C$801, Repayment_Ledger!$A$2:$A$801, $A146, Repayment_Ledger!$F$2:$F$801, "&lt;&gt;Paid"))</f>
        <v/>
      </c>
    </row>
    <row r="147">
      <c r="A147">
        <f>IF($B147="","", "L"&amp;TEXT(ROW()-1,"0000"))</f>
        <v/>
      </c>
      <c r="G147" s="8" t="n"/>
      <c r="I147" s="10" t="n"/>
      <c r="J147" s="8" t="n"/>
      <c r="K147" s="6" t="n"/>
      <c r="M147" s="6">
        <f>IF($K147="","",$K147+7)</f>
        <v/>
      </c>
      <c r="N147" s="8">
        <f>IF($O147="","", ROUND($O147/$L147,2))</f>
        <v/>
      </c>
      <c r="O147" s="8">
        <f>IF($G147="","", $G147*(1+$I147) + IF($J147="",0,$J147))</f>
        <v/>
      </c>
      <c r="P147" s="8">
        <f>IF($A147="","", $O147 - SUMIFS(Repayment_Ledger!$E$2:$E$801,Repayment_Ledger!$A$2:$A$801, $A147))</f>
        <v/>
      </c>
      <c r="Q147" s="6">
        <f>IF($P147&lt;=0,"", MINIFS(Repayment_Ledger!$C$2:$C$801, Repayment_Ledger!$A$2:$A$801, $A147, Repayment_Ledger!$F$2:$F$801, "&lt;&gt;Paid"))</f>
        <v/>
      </c>
    </row>
    <row r="148">
      <c r="A148">
        <f>IF($B148="","", "L"&amp;TEXT(ROW()-1,"0000"))</f>
        <v/>
      </c>
      <c r="G148" s="8" t="n"/>
      <c r="I148" s="10" t="n"/>
      <c r="J148" s="8" t="n"/>
      <c r="K148" s="6" t="n"/>
      <c r="M148" s="6">
        <f>IF($K148="","",$K148+7)</f>
        <v/>
      </c>
      <c r="N148" s="8">
        <f>IF($O148="","", ROUND($O148/$L148,2))</f>
        <v/>
      </c>
      <c r="O148" s="8">
        <f>IF($G148="","", $G148*(1+$I148) + IF($J148="",0,$J148))</f>
        <v/>
      </c>
      <c r="P148" s="8">
        <f>IF($A148="","", $O148 - SUMIFS(Repayment_Ledger!$E$2:$E$801,Repayment_Ledger!$A$2:$A$801, $A148))</f>
        <v/>
      </c>
      <c r="Q148" s="6">
        <f>IF($P148&lt;=0,"", MINIFS(Repayment_Ledger!$C$2:$C$801, Repayment_Ledger!$A$2:$A$801, $A148, Repayment_Ledger!$F$2:$F$801, "&lt;&gt;Paid"))</f>
        <v/>
      </c>
    </row>
    <row r="149">
      <c r="A149">
        <f>IF($B149="","", "L"&amp;TEXT(ROW()-1,"0000"))</f>
        <v/>
      </c>
      <c r="G149" s="8" t="n"/>
      <c r="I149" s="10" t="n"/>
      <c r="J149" s="8" t="n"/>
      <c r="K149" s="6" t="n"/>
      <c r="M149" s="6">
        <f>IF($K149="","",$K149+7)</f>
        <v/>
      </c>
      <c r="N149" s="8">
        <f>IF($O149="","", ROUND($O149/$L149,2))</f>
        <v/>
      </c>
      <c r="O149" s="8">
        <f>IF($G149="","", $G149*(1+$I149) + IF($J149="",0,$J149))</f>
        <v/>
      </c>
      <c r="P149" s="8">
        <f>IF($A149="","", $O149 - SUMIFS(Repayment_Ledger!$E$2:$E$801,Repayment_Ledger!$A$2:$A$801, $A149))</f>
        <v/>
      </c>
      <c r="Q149" s="6">
        <f>IF($P149&lt;=0,"", MINIFS(Repayment_Ledger!$C$2:$C$801, Repayment_Ledger!$A$2:$A$801, $A149, Repayment_Ledger!$F$2:$F$801, "&lt;&gt;Paid"))</f>
        <v/>
      </c>
    </row>
    <row r="150">
      <c r="A150">
        <f>IF($B150="","", "L"&amp;TEXT(ROW()-1,"0000"))</f>
        <v/>
      </c>
      <c r="G150" s="8" t="n"/>
      <c r="I150" s="10" t="n"/>
      <c r="J150" s="8" t="n"/>
      <c r="K150" s="6" t="n"/>
      <c r="M150" s="6">
        <f>IF($K150="","",$K150+7)</f>
        <v/>
      </c>
      <c r="N150" s="8">
        <f>IF($O150="","", ROUND($O150/$L150,2))</f>
        <v/>
      </c>
      <c r="O150" s="8">
        <f>IF($G150="","", $G150*(1+$I150) + IF($J150="",0,$J150))</f>
        <v/>
      </c>
      <c r="P150" s="8">
        <f>IF($A150="","", $O150 - SUMIFS(Repayment_Ledger!$E$2:$E$801,Repayment_Ledger!$A$2:$A$801, $A150))</f>
        <v/>
      </c>
      <c r="Q150" s="6">
        <f>IF($P150&lt;=0,"", MINIFS(Repayment_Ledger!$C$2:$C$801, Repayment_Ledger!$A$2:$A$801, $A150, Repayment_Ledger!$F$2:$F$801, "&lt;&gt;Paid"))</f>
        <v/>
      </c>
    </row>
    <row r="151">
      <c r="A151">
        <f>IF($B151="","", "L"&amp;TEXT(ROW()-1,"0000"))</f>
        <v/>
      </c>
      <c r="G151" s="8" t="n"/>
      <c r="I151" s="10" t="n"/>
      <c r="J151" s="8" t="n"/>
      <c r="K151" s="6" t="n"/>
      <c r="M151" s="6">
        <f>IF($K151="","",$K151+7)</f>
        <v/>
      </c>
      <c r="N151" s="8">
        <f>IF($O151="","", ROUND($O151/$L151,2))</f>
        <v/>
      </c>
      <c r="O151" s="8">
        <f>IF($G151="","", $G151*(1+$I151) + IF($J151="",0,$J151))</f>
        <v/>
      </c>
      <c r="P151" s="8">
        <f>IF($A151="","", $O151 - SUMIFS(Repayment_Ledger!$E$2:$E$801,Repayment_Ledger!$A$2:$A$801, $A151))</f>
        <v/>
      </c>
      <c r="Q151" s="6">
        <f>IF($P151&lt;=0,"", MINIFS(Repayment_Ledger!$C$2:$C$801, Repayment_Ledger!$A$2:$A$801, $A151, Repayment_Ledger!$F$2:$F$801, "&lt;&gt;Paid"))</f>
        <v/>
      </c>
    </row>
    <row r="152">
      <c r="A152">
        <f>IF($B152="","", "L"&amp;TEXT(ROW()-1,"0000"))</f>
        <v/>
      </c>
      <c r="G152" s="8" t="n"/>
      <c r="I152" s="10" t="n"/>
      <c r="J152" s="8" t="n"/>
      <c r="K152" s="6" t="n"/>
      <c r="M152" s="6">
        <f>IF($K152="","",$K152+7)</f>
        <v/>
      </c>
      <c r="N152" s="8">
        <f>IF($O152="","", ROUND($O152/$L152,2))</f>
        <v/>
      </c>
      <c r="O152" s="8">
        <f>IF($G152="","", $G152*(1+$I152) + IF($J152="",0,$J152))</f>
        <v/>
      </c>
      <c r="P152" s="8">
        <f>IF($A152="","", $O152 - SUMIFS(Repayment_Ledger!$E$2:$E$801,Repayment_Ledger!$A$2:$A$801, $A152))</f>
        <v/>
      </c>
      <c r="Q152" s="6">
        <f>IF($P152&lt;=0,"", MINIFS(Repayment_Ledger!$C$2:$C$801, Repayment_Ledger!$A$2:$A$801, $A152, Repayment_Ledger!$F$2:$F$801, "&lt;&gt;Paid"))</f>
        <v/>
      </c>
    </row>
    <row r="153">
      <c r="A153">
        <f>IF($B153="","", "L"&amp;TEXT(ROW()-1,"0000"))</f>
        <v/>
      </c>
      <c r="G153" s="8" t="n"/>
      <c r="I153" s="10" t="n"/>
      <c r="J153" s="8" t="n"/>
      <c r="K153" s="6" t="n"/>
      <c r="M153" s="6">
        <f>IF($K153="","",$K153+7)</f>
        <v/>
      </c>
      <c r="N153" s="8">
        <f>IF($O153="","", ROUND($O153/$L153,2))</f>
        <v/>
      </c>
      <c r="O153" s="8">
        <f>IF($G153="","", $G153*(1+$I153) + IF($J153="",0,$J153))</f>
        <v/>
      </c>
      <c r="P153" s="8">
        <f>IF($A153="","", $O153 - SUMIFS(Repayment_Ledger!$E$2:$E$801,Repayment_Ledger!$A$2:$A$801, $A153))</f>
        <v/>
      </c>
      <c r="Q153" s="6">
        <f>IF($P153&lt;=0,"", MINIFS(Repayment_Ledger!$C$2:$C$801, Repayment_Ledger!$A$2:$A$801, $A153, Repayment_Ledger!$F$2:$F$801, "&lt;&gt;Paid"))</f>
        <v/>
      </c>
    </row>
    <row r="154">
      <c r="A154">
        <f>IF($B154="","", "L"&amp;TEXT(ROW()-1,"0000"))</f>
        <v/>
      </c>
      <c r="G154" s="8" t="n"/>
      <c r="I154" s="10" t="n"/>
      <c r="J154" s="8" t="n"/>
      <c r="K154" s="6" t="n"/>
      <c r="M154" s="6">
        <f>IF($K154="","",$K154+7)</f>
        <v/>
      </c>
      <c r="N154" s="8">
        <f>IF($O154="","", ROUND($O154/$L154,2))</f>
        <v/>
      </c>
      <c r="O154" s="8">
        <f>IF($G154="","", $G154*(1+$I154) + IF($J154="",0,$J154))</f>
        <v/>
      </c>
      <c r="P154" s="8">
        <f>IF($A154="","", $O154 - SUMIFS(Repayment_Ledger!$E$2:$E$801,Repayment_Ledger!$A$2:$A$801, $A154))</f>
        <v/>
      </c>
      <c r="Q154" s="6">
        <f>IF($P154&lt;=0,"", MINIFS(Repayment_Ledger!$C$2:$C$801, Repayment_Ledger!$A$2:$A$801, $A154, Repayment_Ledger!$F$2:$F$801, "&lt;&gt;Paid"))</f>
        <v/>
      </c>
    </row>
    <row r="155">
      <c r="A155">
        <f>IF($B155="","", "L"&amp;TEXT(ROW()-1,"0000"))</f>
        <v/>
      </c>
      <c r="G155" s="8" t="n"/>
      <c r="I155" s="10" t="n"/>
      <c r="J155" s="8" t="n"/>
      <c r="K155" s="6" t="n"/>
      <c r="M155" s="6">
        <f>IF($K155="","",$K155+7)</f>
        <v/>
      </c>
      <c r="N155" s="8">
        <f>IF($O155="","", ROUND($O155/$L155,2))</f>
        <v/>
      </c>
      <c r="O155" s="8">
        <f>IF($G155="","", $G155*(1+$I155) + IF($J155="",0,$J155))</f>
        <v/>
      </c>
      <c r="P155" s="8">
        <f>IF($A155="","", $O155 - SUMIFS(Repayment_Ledger!$E$2:$E$801,Repayment_Ledger!$A$2:$A$801, $A155))</f>
        <v/>
      </c>
      <c r="Q155" s="6">
        <f>IF($P155&lt;=0,"", MINIFS(Repayment_Ledger!$C$2:$C$801, Repayment_Ledger!$A$2:$A$801, $A155, Repayment_Ledger!$F$2:$F$801, "&lt;&gt;Paid"))</f>
        <v/>
      </c>
    </row>
    <row r="156">
      <c r="A156">
        <f>IF($B156="","", "L"&amp;TEXT(ROW()-1,"0000"))</f>
        <v/>
      </c>
      <c r="G156" s="8" t="n"/>
      <c r="I156" s="10" t="n"/>
      <c r="J156" s="8" t="n"/>
      <c r="K156" s="6" t="n"/>
      <c r="M156" s="6">
        <f>IF($K156="","",$K156+7)</f>
        <v/>
      </c>
      <c r="N156" s="8">
        <f>IF($O156="","", ROUND($O156/$L156,2))</f>
        <v/>
      </c>
      <c r="O156" s="8">
        <f>IF($G156="","", $G156*(1+$I156) + IF($J156="",0,$J156))</f>
        <v/>
      </c>
      <c r="P156" s="8">
        <f>IF($A156="","", $O156 - SUMIFS(Repayment_Ledger!$E$2:$E$801,Repayment_Ledger!$A$2:$A$801, $A156))</f>
        <v/>
      </c>
      <c r="Q156" s="6">
        <f>IF($P156&lt;=0,"", MINIFS(Repayment_Ledger!$C$2:$C$801, Repayment_Ledger!$A$2:$A$801, $A156, Repayment_Ledger!$F$2:$F$801, "&lt;&gt;Paid"))</f>
        <v/>
      </c>
    </row>
    <row r="157">
      <c r="A157">
        <f>IF($B157="","", "L"&amp;TEXT(ROW()-1,"0000"))</f>
        <v/>
      </c>
      <c r="G157" s="8" t="n"/>
      <c r="I157" s="10" t="n"/>
      <c r="J157" s="8" t="n"/>
      <c r="K157" s="6" t="n"/>
      <c r="M157" s="6">
        <f>IF($K157="","",$K157+7)</f>
        <v/>
      </c>
      <c r="N157" s="8">
        <f>IF($O157="","", ROUND($O157/$L157,2))</f>
        <v/>
      </c>
      <c r="O157" s="8">
        <f>IF($G157="","", $G157*(1+$I157) + IF($J157="",0,$J157))</f>
        <v/>
      </c>
      <c r="P157" s="8">
        <f>IF($A157="","", $O157 - SUMIFS(Repayment_Ledger!$E$2:$E$801,Repayment_Ledger!$A$2:$A$801, $A157))</f>
        <v/>
      </c>
      <c r="Q157" s="6">
        <f>IF($P157&lt;=0,"", MINIFS(Repayment_Ledger!$C$2:$C$801, Repayment_Ledger!$A$2:$A$801, $A157, Repayment_Ledger!$F$2:$F$801, "&lt;&gt;Paid"))</f>
        <v/>
      </c>
    </row>
    <row r="158">
      <c r="A158">
        <f>IF($B158="","", "L"&amp;TEXT(ROW()-1,"0000"))</f>
        <v/>
      </c>
      <c r="G158" s="8" t="n"/>
      <c r="I158" s="10" t="n"/>
      <c r="J158" s="8" t="n"/>
      <c r="K158" s="6" t="n"/>
      <c r="M158" s="6">
        <f>IF($K158="","",$K158+7)</f>
        <v/>
      </c>
      <c r="N158" s="8">
        <f>IF($O158="","", ROUND($O158/$L158,2))</f>
        <v/>
      </c>
      <c r="O158" s="8">
        <f>IF($G158="","", $G158*(1+$I158) + IF($J158="",0,$J158))</f>
        <v/>
      </c>
      <c r="P158" s="8">
        <f>IF($A158="","", $O158 - SUMIFS(Repayment_Ledger!$E$2:$E$801,Repayment_Ledger!$A$2:$A$801, $A158))</f>
        <v/>
      </c>
      <c r="Q158" s="6">
        <f>IF($P158&lt;=0,"", MINIFS(Repayment_Ledger!$C$2:$C$801, Repayment_Ledger!$A$2:$A$801, $A158, Repayment_Ledger!$F$2:$F$801, "&lt;&gt;Paid"))</f>
        <v/>
      </c>
    </row>
    <row r="159">
      <c r="A159">
        <f>IF($B159="","", "L"&amp;TEXT(ROW()-1,"0000"))</f>
        <v/>
      </c>
      <c r="G159" s="8" t="n"/>
      <c r="I159" s="10" t="n"/>
      <c r="J159" s="8" t="n"/>
      <c r="K159" s="6" t="n"/>
      <c r="M159" s="6">
        <f>IF($K159="","",$K159+7)</f>
        <v/>
      </c>
      <c r="N159" s="8">
        <f>IF($O159="","", ROUND($O159/$L159,2))</f>
        <v/>
      </c>
      <c r="O159" s="8">
        <f>IF($G159="","", $G159*(1+$I159) + IF($J159="",0,$J159))</f>
        <v/>
      </c>
      <c r="P159" s="8">
        <f>IF($A159="","", $O159 - SUMIFS(Repayment_Ledger!$E$2:$E$801,Repayment_Ledger!$A$2:$A$801, $A159))</f>
        <v/>
      </c>
      <c r="Q159" s="6">
        <f>IF($P159&lt;=0,"", MINIFS(Repayment_Ledger!$C$2:$C$801, Repayment_Ledger!$A$2:$A$801, $A159, Repayment_Ledger!$F$2:$F$801, "&lt;&gt;Paid"))</f>
        <v/>
      </c>
    </row>
    <row r="160">
      <c r="A160">
        <f>IF($B160="","", "L"&amp;TEXT(ROW()-1,"0000"))</f>
        <v/>
      </c>
      <c r="G160" s="8" t="n"/>
      <c r="I160" s="10" t="n"/>
      <c r="J160" s="8" t="n"/>
      <c r="K160" s="6" t="n"/>
      <c r="M160" s="6">
        <f>IF($K160="","",$K160+7)</f>
        <v/>
      </c>
      <c r="N160" s="8">
        <f>IF($O160="","", ROUND($O160/$L160,2))</f>
        <v/>
      </c>
      <c r="O160" s="8">
        <f>IF($G160="","", $G160*(1+$I160) + IF($J160="",0,$J160))</f>
        <v/>
      </c>
      <c r="P160" s="8">
        <f>IF($A160="","", $O160 - SUMIFS(Repayment_Ledger!$E$2:$E$801,Repayment_Ledger!$A$2:$A$801, $A160))</f>
        <v/>
      </c>
      <c r="Q160" s="6">
        <f>IF($P160&lt;=0,"", MINIFS(Repayment_Ledger!$C$2:$C$801, Repayment_Ledger!$A$2:$A$801, $A160, Repayment_Ledger!$F$2:$F$801, "&lt;&gt;Paid"))</f>
        <v/>
      </c>
    </row>
    <row r="161">
      <c r="A161">
        <f>IF($B161="","", "L"&amp;TEXT(ROW()-1,"0000"))</f>
        <v/>
      </c>
      <c r="G161" s="8" t="n"/>
      <c r="I161" s="10" t="n"/>
      <c r="J161" s="8" t="n"/>
      <c r="K161" s="6" t="n"/>
      <c r="M161" s="6">
        <f>IF($K161="","",$K161+7)</f>
        <v/>
      </c>
      <c r="N161" s="8">
        <f>IF($O161="","", ROUND($O161/$L161,2))</f>
        <v/>
      </c>
      <c r="O161" s="8">
        <f>IF($G161="","", $G161*(1+$I161) + IF($J161="",0,$J161))</f>
        <v/>
      </c>
      <c r="P161" s="8">
        <f>IF($A161="","", $O161 - SUMIFS(Repayment_Ledger!$E$2:$E$801,Repayment_Ledger!$A$2:$A$801, $A161))</f>
        <v/>
      </c>
      <c r="Q161" s="6">
        <f>IF($P161&lt;=0,"", MINIFS(Repayment_Ledger!$C$2:$C$801, Repayment_Ledger!$A$2:$A$801, $A161, Repayment_Ledger!$F$2:$F$801, "&lt;&gt;Paid"))</f>
        <v/>
      </c>
    </row>
    <row r="162">
      <c r="A162">
        <f>IF($B162="","", "L"&amp;TEXT(ROW()-1,"0000"))</f>
        <v/>
      </c>
      <c r="G162" s="8" t="n"/>
      <c r="I162" s="10" t="n"/>
      <c r="J162" s="8" t="n"/>
      <c r="K162" s="6" t="n"/>
      <c r="M162" s="6">
        <f>IF($K162="","",$K162+7)</f>
        <v/>
      </c>
      <c r="N162" s="8">
        <f>IF($O162="","", ROUND($O162/$L162,2))</f>
        <v/>
      </c>
      <c r="O162" s="8">
        <f>IF($G162="","", $G162*(1+$I162) + IF($J162="",0,$J162))</f>
        <v/>
      </c>
      <c r="P162" s="8">
        <f>IF($A162="","", $O162 - SUMIFS(Repayment_Ledger!$E$2:$E$801,Repayment_Ledger!$A$2:$A$801, $A162))</f>
        <v/>
      </c>
      <c r="Q162" s="6">
        <f>IF($P162&lt;=0,"", MINIFS(Repayment_Ledger!$C$2:$C$801, Repayment_Ledger!$A$2:$A$801, $A162, Repayment_Ledger!$F$2:$F$801, "&lt;&gt;Paid"))</f>
        <v/>
      </c>
    </row>
    <row r="163">
      <c r="A163">
        <f>IF($B163="","", "L"&amp;TEXT(ROW()-1,"0000"))</f>
        <v/>
      </c>
      <c r="G163" s="8" t="n"/>
      <c r="I163" s="10" t="n"/>
      <c r="J163" s="8" t="n"/>
      <c r="K163" s="6" t="n"/>
      <c r="M163" s="6">
        <f>IF($K163="","",$K163+7)</f>
        <v/>
      </c>
      <c r="N163" s="8">
        <f>IF($O163="","", ROUND($O163/$L163,2))</f>
        <v/>
      </c>
      <c r="O163" s="8">
        <f>IF($G163="","", $G163*(1+$I163) + IF($J163="",0,$J163))</f>
        <v/>
      </c>
      <c r="P163" s="8">
        <f>IF($A163="","", $O163 - SUMIFS(Repayment_Ledger!$E$2:$E$801,Repayment_Ledger!$A$2:$A$801, $A163))</f>
        <v/>
      </c>
      <c r="Q163" s="6">
        <f>IF($P163&lt;=0,"", MINIFS(Repayment_Ledger!$C$2:$C$801, Repayment_Ledger!$A$2:$A$801, $A163, Repayment_Ledger!$F$2:$F$801, "&lt;&gt;Paid"))</f>
        <v/>
      </c>
    </row>
    <row r="164">
      <c r="A164">
        <f>IF($B164="","", "L"&amp;TEXT(ROW()-1,"0000"))</f>
        <v/>
      </c>
      <c r="G164" s="8" t="n"/>
      <c r="I164" s="10" t="n"/>
      <c r="J164" s="8" t="n"/>
      <c r="K164" s="6" t="n"/>
      <c r="M164" s="6">
        <f>IF($K164="","",$K164+7)</f>
        <v/>
      </c>
      <c r="N164" s="8">
        <f>IF($O164="","", ROUND($O164/$L164,2))</f>
        <v/>
      </c>
      <c r="O164" s="8">
        <f>IF($G164="","", $G164*(1+$I164) + IF($J164="",0,$J164))</f>
        <v/>
      </c>
      <c r="P164" s="8">
        <f>IF($A164="","", $O164 - SUMIFS(Repayment_Ledger!$E$2:$E$801,Repayment_Ledger!$A$2:$A$801, $A164))</f>
        <v/>
      </c>
      <c r="Q164" s="6">
        <f>IF($P164&lt;=0,"", MINIFS(Repayment_Ledger!$C$2:$C$801, Repayment_Ledger!$A$2:$A$801, $A164, Repayment_Ledger!$F$2:$F$801, "&lt;&gt;Paid"))</f>
        <v/>
      </c>
    </row>
    <row r="165">
      <c r="A165">
        <f>IF($B165="","", "L"&amp;TEXT(ROW()-1,"0000"))</f>
        <v/>
      </c>
      <c r="G165" s="8" t="n"/>
      <c r="I165" s="10" t="n"/>
      <c r="J165" s="8" t="n"/>
      <c r="K165" s="6" t="n"/>
      <c r="M165" s="6">
        <f>IF($K165="","",$K165+7)</f>
        <v/>
      </c>
      <c r="N165" s="8">
        <f>IF($O165="","", ROUND($O165/$L165,2))</f>
        <v/>
      </c>
      <c r="O165" s="8">
        <f>IF($G165="","", $G165*(1+$I165) + IF($J165="",0,$J165))</f>
        <v/>
      </c>
      <c r="P165" s="8">
        <f>IF($A165="","", $O165 - SUMIFS(Repayment_Ledger!$E$2:$E$801,Repayment_Ledger!$A$2:$A$801, $A165))</f>
        <v/>
      </c>
      <c r="Q165" s="6">
        <f>IF($P165&lt;=0,"", MINIFS(Repayment_Ledger!$C$2:$C$801, Repayment_Ledger!$A$2:$A$801, $A165, Repayment_Ledger!$F$2:$F$801, "&lt;&gt;Paid"))</f>
        <v/>
      </c>
    </row>
    <row r="166">
      <c r="A166">
        <f>IF($B166="","", "L"&amp;TEXT(ROW()-1,"0000"))</f>
        <v/>
      </c>
      <c r="G166" s="8" t="n"/>
      <c r="I166" s="10" t="n"/>
      <c r="J166" s="8" t="n"/>
      <c r="K166" s="6" t="n"/>
      <c r="M166" s="6">
        <f>IF($K166="","",$K166+7)</f>
        <v/>
      </c>
      <c r="N166" s="8">
        <f>IF($O166="","", ROUND($O166/$L166,2))</f>
        <v/>
      </c>
      <c r="O166" s="8">
        <f>IF($G166="","", $G166*(1+$I166) + IF($J166="",0,$J166))</f>
        <v/>
      </c>
      <c r="P166" s="8">
        <f>IF($A166="","", $O166 - SUMIFS(Repayment_Ledger!$E$2:$E$801,Repayment_Ledger!$A$2:$A$801, $A166))</f>
        <v/>
      </c>
      <c r="Q166" s="6">
        <f>IF($P166&lt;=0,"", MINIFS(Repayment_Ledger!$C$2:$C$801, Repayment_Ledger!$A$2:$A$801, $A166, Repayment_Ledger!$F$2:$F$801, "&lt;&gt;Paid"))</f>
        <v/>
      </c>
    </row>
    <row r="167">
      <c r="A167">
        <f>IF($B167="","", "L"&amp;TEXT(ROW()-1,"0000"))</f>
        <v/>
      </c>
      <c r="G167" s="8" t="n"/>
      <c r="I167" s="10" t="n"/>
      <c r="J167" s="8" t="n"/>
      <c r="K167" s="6" t="n"/>
      <c r="M167" s="6">
        <f>IF($K167="","",$K167+7)</f>
        <v/>
      </c>
      <c r="N167" s="8">
        <f>IF($O167="","", ROUND($O167/$L167,2))</f>
        <v/>
      </c>
      <c r="O167" s="8">
        <f>IF($G167="","", $G167*(1+$I167) + IF($J167="",0,$J167))</f>
        <v/>
      </c>
      <c r="P167" s="8">
        <f>IF($A167="","", $O167 - SUMIFS(Repayment_Ledger!$E$2:$E$801,Repayment_Ledger!$A$2:$A$801, $A167))</f>
        <v/>
      </c>
      <c r="Q167" s="6">
        <f>IF($P167&lt;=0,"", MINIFS(Repayment_Ledger!$C$2:$C$801, Repayment_Ledger!$A$2:$A$801, $A167, Repayment_Ledger!$F$2:$F$801, "&lt;&gt;Paid"))</f>
        <v/>
      </c>
    </row>
    <row r="168">
      <c r="A168">
        <f>IF($B168="","", "L"&amp;TEXT(ROW()-1,"0000"))</f>
        <v/>
      </c>
      <c r="G168" s="8" t="n"/>
      <c r="I168" s="10" t="n"/>
      <c r="J168" s="8" t="n"/>
      <c r="K168" s="6" t="n"/>
      <c r="M168" s="6">
        <f>IF($K168="","",$K168+7)</f>
        <v/>
      </c>
      <c r="N168" s="8">
        <f>IF($O168="","", ROUND($O168/$L168,2))</f>
        <v/>
      </c>
      <c r="O168" s="8">
        <f>IF($G168="","", $G168*(1+$I168) + IF($J168="",0,$J168))</f>
        <v/>
      </c>
      <c r="P168" s="8">
        <f>IF($A168="","", $O168 - SUMIFS(Repayment_Ledger!$E$2:$E$801,Repayment_Ledger!$A$2:$A$801, $A168))</f>
        <v/>
      </c>
      <c r="Q168" s="6">
        <f>IF($P168&lt;=0,"", MINIFS(Repayment_Ledger!$C$2:$C$801, Repayment_Ledger!$A$2:$A$801, $A168, Repayment_Ledger!$F$2:$F$801, "&lt;&gt;Paid"))</f>
        <v/>
      </c>
    </row>
    <row r="169">
      <c r="A169">
        <f>IF($B169="","", "L"&amp;TEXT(ROW()-1,"0000"))</f>
        <v/>
      </c>
      <c r="G169" s="8" t="n"/>
      <c r="I169" s="10" t="n"/>
      <c r="J169" s="8" t="n"/>
      <c r="K169" s="6" t="n"/>
      <c r="M169" s="6">
        <f>IF($K169="","",$K169+7)</f>
        <v/>
      </c>
      <c r="N169" s="8">
        <f>IF($O169="","", ROUND($O169/$L169,2))</f>
        <v/>
      </c>
      <c r="O169" s="8">
        <f>IF($G169="","", $G169*(1+$I169) + IF($J169="",0,$J169))</f>
        <v/>
      </c>
      <c r="P169" s="8">
        <f>IF($A169="","", $O169 - SUMIFS(Repayment_Ledger!$E$2:$E$801,Repayment_Ledger!$A$2:$A$801, $A169))</f>
        <v/>
      </c>
      <c r="Q169" s="6">
        <f>IF($P169&lt;=0,"", MINIFS(Repayment_Ledger!$C$2:$C$801, Repayment_Ledger!$A$2:$A$801, $A169, Repayment_Ledger!$F$2:$F$801, "&lt;&gt;Paid"))</f>
        <v/>
      </c>
    </row>
    <row r="170">
      <c r="A170">
        <f>IF($B170="","", "L"&amp;TEXT(ROW()-1,"0000"))</f>
        <v/>
      </c>
      <c r="G170" s="8" t="n"/>
      <c r="I170" s="10" t="n"/>
      <c r="J170" s="8" t="n"/>
      <c r="K170" s="6" t="n"/>
      <c r="M170" s="6">
        <f>IF($K170="","",$K170+7)</f>
        <v/>
      </c>
      <c r="N170" s="8">
        <f>IF($O170="","", ROUND($O170/$L170,2))</f>
        <v/>
      </c>
      <c r="O170" s="8">
        <f>IF($G170="","", $G170*(1+$I170) + IF($J170="",0,$J170))</f>
        <v/>
      </c>
      <c r="P170" s="8">
        <f>IF($A170="","", $O170 - SUMIFS(Repayment_Ledger!$E$2:$E$801,Repayment_Ledger!$A$2:$A$801, $A170))</f>
        <v/>
      </c>
      <c r="Q170" s="6">
        <f>IF($P170&lt;=0,"", MINIFS(Repayment_Ledger!$C$2:$C$801, Repayment_Ledger!$A$2:$A$801, $A170, Repayment_Ledger!$F$2:$F$801, "&lt;&gt;Paid"))</f>
        <v/>
      </c>
    </row>
    <row r="171">
      <c r="A171">
        <f>IF($B171="","", "L"&amp;TEXT(ROW()-1,"0000"))</f>
        <v/>
      </c>
      <c r="G171" s="8" t="n"/>
      <c r="I171" s="10" t="n"/>
      <c r="J171" s="8" t="n"/>
      <c r="K171" s="6" t="n"/>
      <c r="M171" s="6">
        <f>IF($K171="","",$K171+7)</f>
        <v/>
      </c>
      <c r="N171" s="8">
        <f>IF($O171="","", ROUND($O171/$L171,2))</f>
        <v/>
      </c>
      <c r="O171" s="8">
        <f>IF($G171="","", $G171*(1+$I171) + IF($J171="",0,$J171))</f>
        <v/>
      </c>
      <c r="P171" s="8">
        <f>IF($A171="","", $O171 - SUMIFS(Repayment_Ledger!$E$2:$E$801,Repayment_Ledger!$A$2:$A$801, $A171))</f>
        <v/>
      </c>
      <c r="Q171" s="6">
        <f>IF($P171&lt;=0,"", MINIFS(Repayment_Ledger!$C$2:$C$801, Repayment_Ledger!$A$2:$A$801, $A171, Repayment_Ledger!$F$2:$F$801, "&lt;&gt;Paid"))</f>
        <v/>
      </c>
    </row>
    <row r="172">
      <c r="A172">
        <f>IF($B172="","", "L"&amp;TEXT(ROW()-1,"0000"))</f>
        <v/>
      </c>
      <c r="G172" s="8" t="n"/>
      <c r="I172" s="10" t="n"/>
      <c r="J172" s="8" t="n"/>
      <c r="K172" s="6" t="n"/>
      <c r="M172" s="6">
        <f>IF($K172="","",$K172+7)</f>
        <v/>
      </c>
      <c r="N172" s="8">
        <f>IF($O172="","", ROUND($O172/$L172,2))</f>
        <v/>
      </c>
      <c r="O172" s="8">
        <f>IF($G172="","", $G172*(1+$I172) + IF($J172="",0,$J172))</f>
        <v/>
      </c>
      <c r="P172" s="8">
        <f>IF($A172="","", $O172 - SUMIFS(Repayment_Ledger!$E$2:$E$801,Repayment_Ledger!$A$2:$A$801, $A172))</f>
        <v/>
      </c>
      <c r="Q172" s="6">
        <f>IF($P172&lt;=0,"", MINIFS(Repayment_Ledger!$C$2:$C$801, Repayment_Ledger!$A$2:$A$801, $A172, Repayment_Ledger!$F$2:$F$801, "&lt;&gt;Paid"))</f>
        <v/>
      </c>
    </row>
    <row r="173">
      <c r="A173">
        <f>IF($B173="","", "L"&amp;TEXT(ROW()-1,"0000"))</f>
        <v/>
      </c>
      <c r="G173" s="8" t="n"/>
      <c r="I173" s="10" t="n"/>
      <c r="J173" s="8" t="n"/>
      <c r="K173" s="6" t="n"/>
      <c r="M173" s="6">
        <f>IF($K173="","",$K173+7)</f>
        <v/>
      </c>
      <c r="N173" s="8">
        <f>IF($O173="","", ROUND($O173/$L173,2))</f>
        <v/>
      </c>
      <c r="O173" s="8">
        <f>IF($G173="","", $G173*(1+$I173) + IF($J173="",0,$J173))</f>
        <v/>
      </c>
      <c r="P173" s="8">
        <f>IF($A173="","", $O173 - SUMIFS(Repayment_Ledger!$E$2:$E$801,Repayment_Ledger!$A$2:$A$801, $A173))</f>
        <v/>
      </c>
      <c r="Q173" s="6">
        <f>IF($P173&lt;=0,"", MINIFS(Repayment_Ledger!$C$2:$C$801, Repayment_Ledger!$A$2:$A$801, $A173, Repayment_Ledger!$F$2:$F$801, "&lt;&gt;Paid"))</f>
        <v/>
      </c>
    </row>
    <row r="174">
      <c r="A174">
        <f>IF($B174="","", "L"&amp;TEXT(ROW()-1,"0000"))</f>
        <v/>
      </c>
      <c r="G174" s="8" t="n"/>
      <c r="I174" s="10" t="n"/>
      <c r="J174" s="8" t="n"/>
      <c r="K174" s="6" t="n"/>
      <c r="M174" s="6">
        <f>IF($K174="","",$K174+7)</f>
        <v/>
      </c>
      <c r="N174" s="8">
        <f>IF($O174="","", ROUND($O174/$L174,2))</f>
        <v/>
      </c>
      <c r="O174" s="8">
        <f>IF($G174="","", $G174*(1+$I174) + IF($J174="",0,$J174))</f>
        <v/>
      </c>
      <c r="P174" s="8">
        <f>IF($A174="","", $O174 - SUMIFS(Repayment_Ledger!$E$2:$E$801,Repayment_Ledger!$A$2:$A$801, $A174))</f>
        <v/>
      </c>
      <c r="Q174" s="6">
        <f>IF($P174&lt;=0,"", MINIFS(Repayment_Ledger!$C$2:$C$801, Repayment_Ledger!$A$2:$A$801, $A174, Repayment_Ledger!$F$2:$F$801, "&lt;&gt;Paid"))</f>
        <v/>
      </c>
    </row>
    <row r="175">
      <c r="A175">
        <f>IF($B175="","", "L"&amp;TEXT(ROW()-1,"0000"))</f>
        <v/>
      </c>
      <c r="G175" s="8" t="n"/>
      <c r="I175" s="10" t="n"/>
      <c r="J175" s="8" t="n"/>
      <c r="K175" s="6" t="n"/>
      <c r="M175" s="6">
        <f>IF($K175="","",$K175+7)</f>
        <v/>
      </c>
      <c r="N175" s="8">
        <f>IF($O175="","", ROUND($O175/$L175,2))</f>
        <v/>
      </c>
      <c r="O175" s="8">
        <f>IF($G175="","", $G175*(1+$I175) + IF($J175="",0,$J175))</f>
        <v/>
      </c>
      <c r="P175" s="8">
        <f>IF($A175="","", $O175 - SUMIFS(Repayment_Ledger!$E$2:$E$801,Repayment_Ledger!$A$2:$A$801, $A175))</f>
        <v/>
      </c>
      <c r="Q175" s="6">
        <f>IF($P175&lt;=0,"", MINIFS(Repayment_Ledger!$C$2:$C$801, Repayment_Ledger!$A$2:$A$801, $A175, Repayment_Ledger!$F$2:$F$801, "&lt;&gt;Paid"))</f>
        <v/>
      </c>
    </row>
    <row r="176">
      <c r="A176">
        <f>IF($B176="","", "L"&amp;TEXT(ROW()-1,"0000"))</f>
        <v/>
      </c>
      <c r="G176" s="8" t="n"/>
      <c r="I176" s="10" t="n"/>
      <c r="J176" s="8" t="n"/>
      <c r="K176" s="6" t="n"/>
      <c r="M176" s="6">
        <f>IF($K176="","",$K176+7)</f>
        <v/>
      </c>
      <c r="N176" s="8">
        <f>IF($O176="","", ROUND($O176/$L176,2))</f>
        <v/>
      </c>
      <c r="O176" s="8">
        <f>IF($G176="","", $G176*(1+$I176) + IF($J176="",0,$J176))</f>
        <v/>
      </c>
      <c r="P176" s="8">
        <f>IF($A176="","", $O176 - SUMIFS(Repayment_Ledger!$E$2:$E$801,Repayment_Ledger!$A$2:$A$801, $A176))</f>
        <v/>
      </c>
      <c r="Q176" s="6">
        <f>IF($P176&lt;=0,"", MINIFS(Repayment_Ledger!$C$2:$C$801, Repayment_Ledger!$A$2:$A$801, $A176, Repayment_Ledger!$F$2:$F$801, "&lt;&gt;Paid"))</f>
        <v/>
      </c>
    </row>
    <row r="177">
      <c r="A177">
        <f>IF($B177="","", "L"&amp;TEXT(ROW()-1,"0000"))</f>
        <v/>
      </c>
      <c r="G177" s="8" t="n"/>
      <c r="I177" s="10" t="n"/>
      <c r="J177" s="8" t="n"/>
      <c r="K177" s="6" t="n"/>
      <c r="M177" s="6">
        <f>IF($K177="","",$K177+7)</f>
        <v/>
      </c>
      <c r="N177" s="8">
        <f>IF($O177="","", ROUND($O177/$L177,2))</f>
        <v/>
      </c>
      <c r="O177" s="8">
        <f>IF($G177="","", $G177*(1+$I177) + IF($J177="",0,$J177))</f>
        <v/>
      </c>
      <c r="P177" s="8">
        <f>IF($A177="","", $O177 - SUMIFS(Repayment_Ledger!$E$2:$E$801,Repayment_Ledger!$A$2:$A$801, $A177))</f>
        <v/>
      </c>
      <c r="Q177" s="6">
        <f>IF($P177&lt;=0,"", MINIFS(Repayment_Ledger!$C$2:$C$801, Repayment_Ledger!$A$2:$A$801, $A177, Repayment_Ledger!$F$2:$F$801, "&lt;&gt;Paid"))</f>
        <v/>
      </c>
    </row>
    <row r="178">
      <c r="A178">
        <f>IF($B178="","", "L"&amp;TEXT(ROW()-1,"0000"))</f>
        <v/>
      </c>
      <c r="G178" s="8" t="n"/>
      <c r="I178" s="10" t="n"/>
      <c r="J178" s="8" t="n"/>
      <c r="K178" s="6" t="n"/>
      <c r="M178" s="6">
        <f>IF($K178="","",$K178+7)</f>
        <v/>
      </c>
      <c r="N178" s="8">
        <f>IF($O178="","", ROUND($O178/$L178,2))</f>
        <v/>
      </c>
      <c r="O178" s="8">
        <f>IF($G178="","", $G178*(1+$I178) + IF($J178="",0,$J178))</f>
        <v/>
      </c>
      <c r="P178" s="8">
        <f>IF($A178="","", $O178 - SUMIFS(Repayment_Ledger!$E$2:$E$801,Repayment_Ledger!$A$2:$A$801, $A178))</f>
        <v/>
      </c>
      <c r="Q178" s="6">
        <f>IF($P178&lt;=0,"", MINIFS(Repayment_Ledger!$C$2:$C$801, Repayment_Ledger!$A$2:$A$801, $A178, Repayment_Ledger!$F$2:$F$801, "&lt;&gt;Paid"))</f>
        <v/>
      </c>
    </row>
    <row r="179">
      <c r="A179">
        <f>IF($B179="","", "L"&amp;TEXT(ROW()-1,"0000"))</f>
        <v/>
      </c>
      <c r="G179" s="8" t="n"/>
      <c r="I179" s="10" t="n"/>
      <c r="J179" s="8" t="n"/>
      <c r="K179" s="6" t="n"/>
      <c r="M179" s="6">
        <f>IF($K179="","",$K179+7)</f>
        <v/>
      </c>
      <c r="N179" s="8">
        <f>IF($O179="","", ROUND($O179/$L179,2))</f>
        <v/>
      </c>
      <c r="O179" s="8">
        <f>IF($G179="","", $G179*(1+$I179) + IF($J179="",0,$J179))</f>
        <v/>
      </c>
      <c r="P179" s="8">
        <f>IF($A179="","", $O179 - SUMIFS(Repayment_Ledger!$E$2:$E$801,Repayment_Ledger!$A$2:$A$801, $A179))</f>
        <v/>
      </c>
      <c r="Q179" s="6">
        <f>IF($P179&lt;=0,"", MINIFS(Repayment_Ledger!$C$2:$C$801, Repayment_Ledger!$A$2:$A$801, $A179, Repayment_Ledger!$F$2:$F$801, "&lt;&gt;Paid"))</f>
        <v/>
      </c>
    </row>
    <row r="180">
      <c r="A180">
        <f>IF($B180="","", "L"&amp;TEXT(ROW()-1,"0000"))</f>
        <v/>
      </c>
      <c r="G180" s="8" t="n"/>
      <c r="I180" s="10" t="n"/>
      <c r="J180" s="8" t="n"/>
      <c r="K180" s="6" t="n"/>
      <c r="M180" s="6">
        <f>IF($K180="","",$K180+7)</f>
        <v/>
      </c>
      <c r="N180" s="8">
        <f>IF($O180="","", ROUND($O180/$L180,2))</f>
        <v/>
      </c>
      <c r="O180" s="8">
        <f>IF($G180="","", $G180*(1+$I180) + IF($J180="",0,$J180))</f>
        <v/>
      </c>
      <c r="P180" s="8">
        <f>IF($A180="","", $O180 - SUMIFS(Repayment_Ledger!$E$2:$E$801,Repayment_Ledger!$A$2:$A$801, $A180))</f>
        <v/>
      </c>
      <c r="Q180" s="6">
        <f>IF($P180&lt;=0,"", MINIFS(Repayment_Ledger!$C$2:$C$801, Repayment_Ledger!$A$2:$A$801, $A180, Repayment_Ledger!$F$2:$F$801, "&lt;&gt;Paid"))</f>
        <v/>
      </c>
    </row>
    <row r="181">
      <c r="A181">
        <f>IF($B181="","", "L"&amp;TEXT(ROW()-1,"0000"))</f>
        <v/>
      </c>
      <c r="G181" s="8" t="n"/>
      <c r="I181" s="10" t="n"/>
      <c r="J181" s="8" t="n"/>
      <c r="K181" s="6" t="n"/>
      <c r="M181" s="6">
        <f>IF($K181="","",$K181+7)</f>
        <v/>
      </c>
      <c r="N181" s="8">
        <f>IF($O181="","", ROUND($O181/$L181,2))</f>
        <v/>
      </c>
      <c r="O181" s="8">
        <f>IF($G181="","", $G181*(1+$I181) + IF($J181="",0,$J181))</f>
        <v/>
      </c>
      <c r="P181" s="8">
        <f>IF($A181="","", $O181 - SUMIFS(Repayment_Ledger!$E$2:$E$801,Repayment_Ledger!$A$2:$A$801, $A181))</f>
        <v/>
      </c>
      <c r="Q181" s="6">
        <f>IF($P181&lt;=0,"", MINIFS(Repayment_Ledger!$C$2:$C$801, Repayment_Ledger!$A$2:$A$801, $A181, Repayment_Ledger!$F$2:$F$801, "&lt;&gt;Paid"))</f>
        <v/>
      </c>
    </row>
    <row r="182">
      <c r="A182">
        <f>IF($B182="","", "L"&amp;TEXT(ROW()-1,"0000"))</f>
        <v/>
      </c>
      <c r="G182" s="8" t="n"/>
      <c r="I182" s="10" t="n"/>
      <c r="J182" s="8" t="n"/>
      <c r="K182" s="6" t="n"/>
      <c r="M182" s="6">
        <f>IF($K182="","",$K182+7)</f>
        <v/>
      </c>
      <c r="N182" s="8">
        <f>IF($O182="","", ROUND($O182/$L182,2))</f>
        <v/>
      </c>
      <c r="O182" s="8">
        <f>IF($G182="","", $G182*(1+$I182) + IF($J182="",0,$J182))</f>
        <v/>
      </c>
      <c r="P182" s="8">
        <f>IF($A182="","", $O182 - SUMIFS(Repayment_Ledger!$E$2:$E$801,Repayment_Ledger!$A$2:$A$801, $A182))</f>
        <v/>
      </c>
      <c r="Q182" s="6">
        <f>IF($P182&lt;=0,"", MINIFS(Repayment_Ledger!$C$2:$C$801, Repayment_Ledger!$A$2:$A$801, $A182, Repayment_Ledger!$F$2:$F$801, "&lt;&gt;Paid"))</f>
        <v/>
      </c>
    </row>
    <row r="183">
      <c r="A183">
        <f>IF($B183="","", "L"&amp;TEXT(ROW()-1,"0000"))</f>
        <v/>
      </c>
      <c r="G183" s="8" t="n"/>
      <c r="I183" s="10" t="n"/>
      <c r="J183" s="8" t="n"/>
      <c r="K183" s="6" t="n"/>
      <c r="M183" s="6">
        <f>IF($K183="","",$K183+7)</f>
        <v/>
      </c>
      <c r="N183" s="8">
        <f>IF($O183="","", ROUND($O183/$L183,2))</f>
        <v/>
      </c>
      <c r="O183" s="8">
        <f>IF($G183="","", $G183*(1+$I183) + IF($J183="",0,$J183))</f>
        <v/>
      </c>
      <c r="P183" s="8">
        <f>IF($A183="","", $O183 - SUMIFS(Repayment_Ledger!$E$2:$E$801,Repayment_Ledger!$A$2:$A$801, $A183))</f>
        <v/>
      </c>
      <c r="Q183" s="6">
        <f>IF($P183&lt;=0,"", MINIFS(Repayment_Ledger!$C$2:$C$801, Repayment_Ledger!$A$2:$A$801, $A183, Repayment_Ledger!$F$2:$F$801, "&lt;&gt;Paid"))</f>
        <v/>
      </c>
    </row>
    <row r="184">
      <c r="A184">
        <f>IF($B184="","", "L"&amp;TEXT(ROW()-1,"0000"))</f>
        <v/>
      </c>
      <c r="G184" s="8" t="n"/>
      <c r="I184" s="10" t="n"/>
      <c r="J184" s="8" t="n"/>
      <c r="K184" s="6" t="n"/>
      <c r="M184" s="6">
        <f>IF($K184="","",$K184+7)</f>
        <v/>
      </c>
      <c r="N184" s="8">
        <f>IF($O184="","", ROUND($O184/$L184,2))</f>
        <v/>
      </c>
      <c r="O184" s="8">
        <f>IF($G184="","", $G184*(1+$I184) + IF($J184="",0,$J184))</f>
        <v/>
      </c>
      <c r="P184" s="8">
        <f>IF($A184="","", $O184 - SUMIFS(Repayment_Ledger!$E$2:$E$801,Repayment_Ledger!$A$2:$A$801, $A184))</f>
        <v/>
      </c>
      <c r="Q184" s="6">
        <f>IF($P184&lt;=0,"", MINIFS(Repayment_Ledger!$C$2:$C$801, Repayment_Ledger!$A$2:$A$801, $A184, Repayment_Ledger!$F$2:$F$801, "&lt;&gt;Paid"))</f>
        <v/>
      </c>
    </row>
    <row r="185">
      <c r="A185">
        <f>IF($B185="","", "L"&amp;TEXT(ROW()-1,"0000"))</f>
        <v/>
      </c>
      <c r="G185" s="8" t="n"/>
      <c r="I185" s="10" t="n"/>
      <c r="J185" s="8" t="n"/>
      <c r="K185" s="6" t="n"/>
      <c r="M185" s="6">
        <f>IF($K185="","",$K185+7)</f>
        <v/>
      </c>
      <c r="N185" s="8">
        <f>IF($O185="","", ROUND($O185/$L185,2))</f>
        <v/>
      </c>
      <c r="O185" s="8">
        <f>IF($G185="","", $G185*(1+$I185) + IF($J185="",0,$J185))</f>
        <v/>
      </c>
      <c r="P185" s="8">
        <f>IF($A185="","", $O185 - SUMIFS(Repayment_Ledger!$E$2:$E$801,Repayment_Ledger!$A$2:$A$801, $A185))</f>
        <v/>
      </c>
      <c r="Q185" s="6">
        <f>IF($P185&lt;=0,"", MINIFS(Repayment_Ledger!$C$2:$C$801, Repayment_Ledger!$A$2:$A$801, $A185, Repayment_Ledger!$F$2:$F$801, "&lt;&gt;Paid"))</f>
        <v/>
      </c>
    </row>
    <row r="186">
      <c r="A186">
        <f>IF($B186="","", "L"&amp;TEXT(ROW()-1,"0000"))</f>
        <v/>
      </c>
      <c r="G186" s="8" t="n"/>
      <c r="I186" s="10" t="n"/>
      <c r="J186" s="8" t="n"/>
      <c r="K186" s="6" t="n"/>
      <c r="M186" s="6">
        <f>IF($K186="","",$K186+7)</f>
        <v/>
      </c>
      <c r="N186" s="8">
        <f>IF($O186="","", ROUND($O186/$L186,2))</f>
        <v/>
      </c>
      <c r="O186" s="8">
        <f>IF($G186="","", $G186*(1+$I186) + IF($J186="",0,$J186))</f>
        <v/>
      </c>
      <c r="P186" s="8">
        <f>IF($A186="","", $O186 - SUMIFS(Repayment_Ledger!$E$2:$E$801,Repayment_Ledger!$A$2:$A$801, $A186))</f>
        <v/>
      </c>
      <c r="Q186" s="6">
        <f>IF($P186&lt;=0,"", MINIFS(Repayment_Ledger!$C$2:$C$801, Repayment_Ledger!$A$2:$A$801, $A186, Repayment_Ledger!$F$2:$F$801, "&lt;&gt;Paid"))</f>
        <v/>
      </c>
    </row>
    <row r="187">
      <c r="A187">
        <f>IF($B187="","", "L"&amp;TEXT(ROW()-1,"0000"))</f>
        <v/>
      </c>
      <c r="G187" s="8" t="n"/>
      <c r="I187" s="10" t="n"/>
      <c r="J187" s="8" t="n"/>
      <c r="K187" s="6" t="n"/>
      <c r="M187" s="6">
        <f>IF($K187="","",$K187+7)</f>
        <v/>
      </c>
      <c r="N187" s="8">
        <f>IF($O187="","", ROUND($O187/$L187,2))</f>
        <v/>
      </c>
      <c r="O187" s="8">
        <f>IF($G187="","", $G187*(1+$I187) + IF($J187="",0,$J187))</f>
        <v/>
      </c>
      <c r="P187" s="8">
        <f>IF($A187="","", $O187 - SUMIFS(Repayment_Ledger!$E$2:$E$801,Repayment_Ledger!$A$2:$A$801, $A187))</f>
        <v/>
      </c>
      <c r="Q187" s="6">
        <f>IF($P187&lt;=0,"", MINIFS(Repayment_Ledger!$C$2:$C$801, Repayment_Ledger!$A$2:$A$801, $A187, Repayment_Ledger!$F$2:$F$801, "&lt;&gt;Paid"))</f>
        <v/>
      </c>
    </row>
    <row r="188">
      <c r="A188">
        <f>IF($B188="","", "L"&amp;TEXT(ROW()-1,"0000"))</f>
        <v/>
      </c>
      <c r="G188" s="8" t="n"/>
      <c r="I188" s="10" t="n"/>
      <c r="J188" s="8" t="n"/>
      <c r="K188" s="6" t="n"/>
      <c r="M188" s="6">
        <f>IF($K188="","",$K188+7)</f>
        <v/>
      </c>
      <c r="N188" s="8">
        <f>IF($O188="","", ROUND($O188/$L188,2))</f>
        <v/>
      </c>
      <c r="O188" s="8">
        <f>IF($G188="","", $G188*(1+$I188) + IF($J188="",0,$J188))</f>
        <v/>
      </c>
      <c r="P188" s="8">
        <f>IF($A188="","", $O188 - SUMIFS(Repayment_Ledger!$E$2:$E$801,Repayment_Ledger!$A$2:$A$801, $A188))</f>
        <v/>
      </c>
      <c r="Q188" s="6">
        <f>IF($P188&lt;=0,"", MINIFS(Repayment_Ledger!$C$2:$C$801, Repayment_Ledger!$A$2:$A$801, $A188, Repayment_Ledger!$F$2:$F$801, "&lt;&gt;Paid"))</f>
        <v/>
      </c>
    </row>
    <row r="189">
      <c r="A189">
        <f>IF($B189="","", "L"&amp;TEXT(ROW()-1,"0000"))</f>
        <v/>
      </c>
      <c r="G189" s="8" t="n"/>
      <c r="I189" s="10" t="n"/>
      <c r="J189" s="8" t="n"/>
      <c r="K189" s="6" t="n"/>
      <c r="M189" s="6">
        <f>IF($K189="","",$K189+7)</f>
        <v/>
      </c>
      <c r="N189" s="8">
        <f>IF($O189="","", ROUND($O189/$L189,2))</f>
        <v/>
      </c>
      <c r="O189" s="8">
        <f>IF($G189="","", $G189*(1+$I189) + IF($J189="",0,$J189))</f>
        <v/>
      </c>
      <c r="P189" s="8">
        <f>IF($A189="","", $O189 - SUMIFS(Repayment_Ledger!$E$2:$E$801,Repayment_Ledger!$A$2:$A$801, $A189))</f>
        <v/>
      </c>
      <c r="Q189" s="6">
        <f>IF($P189&lt;=0,"", MINIFS(Repayment_Ledger!$C$2:$C$801, Repayment_Ledger!$A$2:$A$801, $A189, Repayment_Ledger!$F$2:$F$801, "&lt;&gt;Paid"))</f>
        <v/>
      </c>
    </row>
    <row r="190">
      <c r="A190">
        <f>IF($B190="","", "L"&amp;TEXT(ROW()-1,"0000"))</f>
        <v/>
      </c>
      <c r="G190" s="8" t="n"/>
      <c r="I190" s="10" t="n"/>
      <c r="J190" s="8" t="n"/>
      <c r="K190" s="6" t="n"/>
      <c r="M190" s="6">
        <f>IF($K190="","",$K190+7)</f>
        <v/>
      </c>
      <c r="N190" s="8">
        <f>IF($O190="","", ROUND($O190/$L190,2))</f>
        <v/>
      </c>
      <c r="O190" s="8">
        <f>IF($G190="","", $G190*(1+$I190) + IF($J190="",0,$J190))</f>
        <v/>
      </c>
      <c r="P190" s="8">
        <f>IF($A190="","", $O190 - SUMIFS(Repayment_Ledger!$E$2:$E$801,Repayment_Ledger!$A$2:$A$801, $A190))</f>
        <v/>
      </c>
      <c r="Q190" s="6">
        <f>IF($P190&lt;=0,"", MINIFS(Repayment_Ledger!$C$2:$C$801, Repayment_Ledger!$A$2:$A$801, $A190, Repayment_Ledger!$F$2:$F$801, "&lt;&gt;Paid"))</f>
        <v/>
      </c>
    </row>
    <row r="191">
      <c r="A191">
        <f>IF($B191="","", "L"&amp;TEXT(ROW()-1,"0000"))</f>
        <v/>
      </c>
      <c r="G191" s="8" t="n"/>
      <c r="I191" s="10" t="n"/>
      <c r="J191" s="8" t="n"/>
      <c r="K191" s="6" t="n"/>
      <c r="M191" s="6">
        <f>IF($K191="","",$K191+7)</f>
        <v/>
      </c>
      <c r="N191" s="8">
        <f>IF($O191="","", ROUND($O191/$L191,2))</f>
        <v/>
      </c>
      <c r="O191" s="8">
        <f>IF($G191="","", $G191*(1+$I191) + IF($J191="",0,$J191))</f>
        <v/>
      </c>
      <c r="P191" s="8">
        <f>IF($A191="","", $O191 - SUMIFS(Repayment_Ledger!$E$2:$E$801,Repayment_Ledger!$A$2:$A$801, $A191))</f>
        <v/>
      </c>
      <c r="Q191" s="6">
        <f>IF($P191&lt;=0,"", MINIFS(Repayment_Ledger!$C$2:$C$801, Repayment_Ledger!$A$2:$A$801, $A191, Repayment_Ledger!$F$2:$F$801, "&lt;&gt;Paid"))</f>
        <v/>
      </c>
    </row>
    <row r="192">
      <c r="A192">
        <f>IF($B192="","", "L"&amp;TEXT(ROW()-1,"0000"))</f>
        <v/>
      </c>
      <c r="G192" s="8" t="n"/>
      <c r="I192" s="10" t="n"/>
      <c r="J192" s="8" t="n"/>
      <c r="K192" s="6" t="n"/>
      <c r="M192" s="6">
        <f>IF($K192="","",$K192+7)</f>
        <v/>
      </c>
      <c r="N192" s="8">
        <f>IF($O192="","", ROUND($O192/$L192,2))</f>
        <v/>
      </c>
      <c r="O192" s="8">
        <f>IF($G192="","", $G192*(1+$I192) + IF($J192="",0,$J192))</f>
        <v/>
      </c>
      <c r="P192" s="8">
        <f>IF($A192="","", $O192 - SUMIFS(Repayment_Ledger!$E$2:$E$801,Repayment_Ledger!$A$2:$A$801, $A192))</f>
        <v/>
      </c>
      <c r="Q192" s="6">
        <f>IF($P192&lt;=0,"", MINIFS(Repayment_Ledger!$C$2:$C$801, Repayment_Ledger!$A$2:$A$801, $A192, Repayment_Ledger!$F$2:$F$801, "&lt;&gt;Paid"))</f>
        <v/>
      </c>
    </row>
    <row r="193">
      <c r="A193">
        <f>IF($B193="","", "L"&amp;TEXT(ROW()-1,"0000"))</f>
        <v/>
      </c>
      <c r="G193" s="8" t="n"/>
      <c r="I193" s="10" t="n"/>
      <c r="J193" s="8" t="n"/>
      <c r="K193" s="6" t="n"/>
      <c r="M193" s="6">
        <f>IF($K193="","",$K193+7)</f>
        <v/>
      </c>
      <c r="N193" s="8">
        <f>IF($O193="","", ROUND($O193/$L193,2))</f>
        <v/>
      </c>
      <c r="O193" s="8">
        <f>IF($G193="","", $G193*(1+$I193) + IF($J193="",0,$J193))</f>
        <v/>
      </c>
      <c r="P193" s="8">
        <f>IF($A193="","", $O193 - SUMIFS(Repayment_Ledger!$E$2:$E$801,Repayment_Ledger!$A$2:$A$801, $A193))</f>
        <v/>
      </c>
      <c r="Q193" s="6">
        <f>IF($P193&lt;=0,"", MINIFS(Repayment_Ledger!$C$2:$C$801, Repayment_Ledger!$A$2:$A$801, $A193, Repayment_Ledger!$F$2:$F$801, "&lt;&gt;Paid"))</f>
        <v/>
      </c>
    </row>
    <row r="194">
      <c r="A194">
        <f>IF($B194="","", "L"&amp;TEXT(ROW()-1,"0000"))</f>
        <v/>
      </c>
      <c r="G194" s="8" t="n"/>
      <c r="I194" s="10" t="n"/>
      <c r="J194" s="8" t="n"/>
      <c r="K194" s="6" t="n"/>
      <c r="M194" s="6">
        <f>IF($K194="","",$K194+7)</f>
        <v/>
      </c>
      <c r="N194" s="8">
        <f>IF($O194="","", ROUND($O194/$L194,2))</f>
        <v/>
      </c>
      <c r="O194" s="8">
        <f>IF($G194="","", $G194*(1+$I194) + IF($J194="",0,$J194))</f>
        <v/>
      </c>
      <c r="P194" s="8">
        <f>IF($A194="","", $O194 - SUMIFS(Repayment_Ledger!$E$2:$E$801,Repayment_Ledger!$A$2:$A$801, $A194))</f>
        <v/>
      </c>
      <c r="Q194" s="6">
        <f>IF($P194&lt;=0,"", MINIFS(Repayment_Ledger!$C$2:$C$801, Repayment_Ledger!$A$2:$A$801, $A194, Repayment_Ledger!$F$2:$F$801, "&lt;&gt;Paid"))</f>
        <v/>
      </c>
    </row>
    <row r="195">
      <c r="A195">
        <f>IF($B195="","", "L"&amp;TEXT(ROW()-1,"0000"))</f>
        <v/>
      </c>
      <c r="G195" s="8" t="n"/>
      <c r="I195" s="10" t="n"/>
      <c r="J195" s="8" t="n"/>
      <c r="K195" s="6" t="n"/>
      <c r="M195" s="6">
        <f>IF($K195="","",$K195+7)</f>
        <v/>
      </c>
      <c r="N195" s="8">
        <f>IF($O195="","", ROUND($O195/$L195,2))</f>
        <v/>
      </c>
      <c r="O195" s="8">
        <f>IF($G195="","", $G195*(1+$I195) + IF($J195="",0,$J195))</f>
        <v/>
      </c>
      <c r="P195" s="8">
        <f>IF($A195="","", $O195 - SUMIFS(Repayment_Ledger!$E$2:$E$801,Repayment_Ledger!$A$2:$A$801, $A195))</f>
        <v/>
      </c>
      <c r="Q195" s="6">
        <f>IF($P195&lt;=0,"", MINIFS(Repayment_Ledger!$C$2:$C$801, Repayment_Ledger!$A$2:$A$801, $A195, Repayment_Ledger!$F$2:$F$801, "&lt;&gt;Paid"))</f>
        <v/>
      </c>
    </row>
    <row r="196">
      <c r="A196">
        <f>IF($B196="","", "L"&amp;TEXT(ROW()-1,"0000"))</f>
        <v/>
      </c>
      <c r="G196" s="8" t="n"/>
      <c r="I196" s="10" t="n"/>
      <c r="J196" s="8" t="n"/>
      <c r="K196" s="6" t="n"/>
      <c r="M196" s="6">
        <f>IF($K196="","",$K196+7)</f>
        <v/>
      </c>
      <c r="N196" s="8">
        <f>IF($O196="","", ROUND($O196/$L196,2))</f>
        <v/>
      </c>
      <c r="O196" s="8">
        <f>IF($G196="","", $G196*(1+$I196) + IF($J196="",0,$J196))</f>
        <v/>
      </c>
      <c r="P196" s="8">
        <f>IF($A196="","", $O196 - SUMIFS(Repayment_Ledger!$E$2:$E$801,Repayment_Ledger!$A$2:$A$801, $A196))</f>
        <v/>
      </c>
      <c r="Q196" s="6">
        <f>IF($P196&lt;=0,"", MINIFS(Repayment_Ledger!$C$2:$C$801, Repayment_Ledger!$A$2:$A$801, $A196, Repayment_Ledger!$F$2:$F$801, "&lt;&gt;Paid"))</f>
        <v/>
      </c>
    </row>
    <row r="197">
      <c r="A197">
        <f>IF($B197="","", "L"&amp;TEXT(ROW()-1,"0000"))</f>
        <v/>
      </c>
      <c r="G197" s="8" t="n"/>
      <c r="I197" s="10" t="n"/>
      <c r="J197" s="8" t="n"/>
      <c r="K197" s="6" t="n"/>
      <c r="M197" s="6">
        <f>IF($K197="","",$K197+7)</f>
        <v/>
      </c>
      <c r="N197" s="8">
        <f>IF($O197="","", ROUND($O197/$L197,2))</f>
        <v/>
      </c>
      <c r="O197" s="8">
        <f>IF($G197="","", $G197*(1+$I197) + IF($J197="",0,$J197))</f>
        <v/>
      </c>
      <c r="P197" s="8">
        <f>IF($A197="","", $O197 - SUMIFS(Repayment_Ledger!$E$2:$E$801,Repayment_Ledger!$A$2:$A$801, $A197))</f>
        <v/>
      </c>
      <c r="Q197" s="6">
        <f>IF($P197&lt;=0,"", MINIFS(Repayment_Ledger!$C$2:$C$801, Repayment_Ledger!$A$2:$A$801, $A197, Repayment_Ledger!$F$2:$F$801, "&lt;&gt;Paid"))</f>
        <v/>
      </c>
    </row>
    <row r="198">
      <c r="A198">
        <f>IF($B198="","", "L"&amp;TEXT(ROW()-1,"0000"))</f>
        <v/>
      </c>
      <c r="G198" s="8" t="n"/>
      <c r="I198" s="10" t="n"/>
      <c r="J198" s="8" t="n"/>
      <c r="K198" s="6" t="n"/>
      <c r="M198" s="6">
        <f>IF($K198="","",$K198+7)</f>
        <v/>
      </c>
      <c r="N198" s="8">
        <f>IF($O198="","", ROUND($O198/$L198,2))</f>
        <v/>
      </c>
      <c r="O198" s="8">
        <f>IF($G198="","", $G198*(1+$I198) + IF($J198="",0,$J198))</f>
        <v/>
      </c>
      <c r="P198" s="8">
        <f>IF($A198="","", $O198 - SUMIFS(Repayment_Ledger!$E$2:$E$801,Repayment_Ledger!$A$2:$A$801, $A198))</f>
        <v/>
      </c>
      <c r="Q198" s="6">
        <f>IF($P198&lt;=0,"", MINIFS(Repayment_Ledger!$C$2:$C$801, Repayment_Ledger!$A$2:$A$801, $A198, Repayment_Ledger!$F$2:$F$801, "&lt;&gt;Paid"))</f>
        <v/>
      </c>
    </row>
    <row r="199">
      <c r="A199">
        <f>IF($B199="","", "L"&amp;TEXT(ROW()-1,"0000"))</f>
        <v/>
      </c>
      <c r="G199" s="8" t="n"/>
      <c r="I199" s="10" t="n"/>
      <c r="J199" s="8" t="n"/>
      <c r="K199" s="6" t="n"/>
      <c r="M199" s="6">
        <f>IF($K199="","",$K199+7)</f>
        <v/>
      </c>
      <c r="N199" s="8">
        <f>IF($O199="","", ROUND($O199/$L199,2))</f>
        <v/>
      </c>
      <c r="O199" s="8">
        <f>IF($G199="","", $G199*(1+$I199) + IF($J199="",0,$J199))</f>
        <v/>
      </c>
      <c r="P199" s="8">
        <f>IF($A199="","", $O199 - SUMIFS(Repayment_Ledger!$E$2:$E$801,Repayment_Ledger!$A$2:$A$801, $A199))</f>
        <v/>
      </c>
      <c r="Q199" s="6">
        <f>IF($P199&lt;=0,"", MINIFS(Repayment_Ledger!$C$2:$C$801, Repayment_Ledger!$A$2:$A$801, $A199, Repayment_Ledger!$F$2:$F$801, "&lt;&gt;Paid"))</f>
        <v/>
      </c>
    </row>
    <row r="200">
      <c r="A200">
        <f>IF($B200="","", "L"&amp;TEXT(ROW()-1,"0000"))</f>
        <v/>
      </c>
      <c r="G200" s="8" t="n"/>
      <c r="I200" s="10" t="n"/>
      <c r="J200" s="8" t="n"/>
      <c r="K200" s="6" t="n"/>
      <c r="M200" s="6">
        <f>IF($K200="","",$K200+7)</f>
        <v/>
      </c>
      <c r="N200" s="8">
        <f>IF($O200="","", ROUND($O200/$L200,2))</f>
        <v/>
      </c>
      <c r="O200" s="8">
        <f>IF($G200="","", $G200*(1+$I200) + IF($J200="",0,$J200))</f>
        <v/>
      </c>
      <c r="P200" s="8">
        <f>IF($A200="","", $O200 - SUMIFS(Repayment_Ledger!$E$2:$E$801,Repayment_Ledger!$A$2:$A$801, $A200))</f>
        <v/>
      </c>
      <c r="Q200" s="6">
        <f>IF($P200&lt;=0,"", MINIFS(Repayment_Ledger!$C$2:$C$801, Repayment_Ledger!$A$2:$A$801, $A200, Repayment_Ledger!$F$2:$F$801, "&lt;&gt;Paid"))</f>
        <v/>
      </c>
    </row>
    <row r="201">
      <c r="A201">
        <f>IF($B201="","", "L"&amp;TEXT(ROW()-1,"0000"))</f>
        <v/>
      </c>
      <c r="G201" s="8" t="n"/>
      <c r="I201" s="10" t="n"/>
      <c r="J201" s="8" t="n"/>
      <c r="K201" s="6" t="n"/>
      <c r="M201" s="6">
        <f>IF($K201="","",$K201+7)</f>
        <v/>
      </c>
      <c r="N201" s="8">
        <f>IF($O201="","", ROUND($O201/$L201,2))</f>
        <v/>
      </c>
      <c r="O201" s="8">
        <f>IF($G201="","", $G201*(1+$I201) + IF($J201="",0,$J201))</f>
        <v/>
      </c>
      <c r="P201" s="8">
        <f>IF($A201="","", $O201 - SUMIFS(Repayment_Ledger!$E$2:$E$801,Repayment_Ledger!$A$2:$A$801, $A201))</f>
        <v/>
      </c>
      <c r="Q201" s="6">
        <f>IF($P201&lt;=0,"", MINIFS(Repayment_Ledger!$C$2:$C$801, Repayment_Ledger!$A$2:$A$801, $A201, Repayment_Ledger!$F$2:$F$801, "&lt;&gt;Paid"))</f>
        <v/>
      </c>
    </row>
    <row r="202">
      <c r="A202">
        <f>IF($B202="","", "L"&amp;TEXT(ROW()-1,"0000"))</f>
        <v/>
      </c>
      <c r="G202" s="8" t="n"/>
      <c r="I202" s="10" t="n"/>
      <c r="J202" s="8" t="n"/>
      <c r="K202" s="6" t="n"/>
      <c r="M202" s="6">
        <f>IF($K202="","",$K202+7)</f>
        <v/>
      </c>
      <c r="N202" s="8">
        <f>IF($O202="","", ROUND($O202/$L202,2))</f>
        <v/>
      </c>
      <c r="O202" s="8">
        <f>IF($G202="","", $G202*(1+$I202) + IF($J202="",0,$J202))</f>
        <v/>
      </c>
      <c r="P202" s="8">
        <f>IF($A202="","", $O202 - SUMIFS(Repayment_Ledger!$E$2:$E$801,Repayment_Ledger!$A$2:$A$801, $A202))</f>
        <v/>
      </c>
      <c r="Q202" s="6">
        <f>IF($P202&lt;=0,"", MINIFS(Repayment_Ledger!$C$2:$C$801, Repayment_Ledger!$A$2:$A$801, $A202, Repayment_Ledger!$F$2:$F$801, "&lt;&gt;Paid"))</f>
        <v/>
      </c>
    </row>
    <row r="203">
      <c r="A203">
        <f>IF($B203="","", "L"&amp;TEXT(ROW()-1,"0000"))</f>
        <v/>
      </c>
      <c r="G203" s="8" t="n"/>
      <c r="I203" s="10" t="n"/>
      <c r="J203" s="8" t="n"/>
      <c r="K203" s="6" t="n"/>
      <c r="M203" s="6">
        <f>IF($K203="","",$K203+7)</f>
        <v/>
      </c>
      <c r="N203" s="8">
        <f>IF($O203="","", ROUND($O203/$L203,2))</f>
        <v/>
      </c>
      <c r="O203" s="8">
        <f>IF($G203="","", $G203*(1+$I203) + IF($J203="",0,$J203))</f>
        <v/>
      </c>
      <c r="P203" s="8">
        <f>IF($A203="","", $O203 - SUMIFS(Repayment_Ledger!$E$2:$E$801,Repayment_Ledger!$A$2:$A$801, $A203))</f>
        <v/>
      </c>
      <c r="Q203" s="6">
        <f>IF($P203&lt;=0,"", MINIFS(Repayment_Ledger!$C$2:$C$801, Repayment_Ledger!$A$2:$A$801, $A203, Repayment_Ledger!$F$2:$F$801, "&lt;&gt;Paid"))</f>
        <v/>
      </c>
    </row>
    <row r="204">
      <c r="A204">
        <f>IF($B204="","", "L"&amp;TEXT(ROW()-1,"0000"))</f>
        <v/>
      </c>
      <c r="G204" s="8" t="n"/>
      <c r="I204" s="10" t="n"/>
      <c r="J204" s="8" t="n"/>
      <c r="K204" s="6" t="n"/>
      <c r="M204" s="6">
        <f>IF($K204="","",$K204+7)</f>
        <v/>
      </c>
      <c r="N204" s="8">
        <f>IF($O204="","", ROUND($O204/$L204,2))</f>
        <v/>
      </c>
      <c r="O204" s="8">
        <f>IF($G204="","", $G204*(1+$I204) + IF($J204="",0,$J204))</f>
        <v/>
      </c>
      <c r="P204" s="8">
        <f>IF($A204="","", $O204 - SUMIFS(Repayment_Ledger!$E$2:$E$801,Repayment_Ledger!$A$2:$A$801, $A204))</f>
        <v/>
      </c>
      <c r="Q204" s="6">
        <f>IF($P204&lt;=0,"", MINIFS(Repayment_Ledger!$C$2:$C$801, Repayment_Ledger!$A$2:$A$801, $A204, Repayment_Ledger!$F$2:$F$801, "&lt;&gt;Paid"))</f>
        <v/>
      </c>
    </row>
    <row r="205">
      <c r="A205">
        <f>IF($B205="","", "L"&amp;TEXT(ROW()-1,"0000"))</f>
        <v/>
      </c>
      <c r="G205" s="8" t="n"/>
      <c r="I205" s="10" t="n"/>
      <c r="J205" s="8" t="n"/>
      <c r="K205" s="6" t="n"/>
      <c r="M205" s="6">
        <f>IF($K205="","",$K205+7)</f>
        <v/>
      </c>
      <c r="N205" s="8">
        <f>IF($O205="","", ROUND($O205/$L205,2))</f>
        <v/>
      </c>
      <c r="O205" s="8">
        <f>IF($G205="","", $G205*(1+$I205) + IF($J205="",0,$J205))</f>
        <v/>
      </c>
      <c r="P205" s="8">
        <f>IF($A205="","", $O205 - SUMIFS(Repayment_Ledger!$E$2:$E$801,Repayment_Ledger!$A$2:$A$801, $A205))</f>
        <v/>
      </c>
      <c r="Q205" s="6">
        <f>IF($P205&lt;=0,"", MINIFS(Repayment_Ledger!$C$2:$C$801, Repayment_Ledger!$A$2:$A$801, $A205, Repayment_Ledger!$F$2:$F$801, "&lt;&gt;Paid"))</f>
        <v/>
      </c>
    </row>
    <row r="206">
      <c r="A206">
        <f>IF($B206="","", "L"&amp;TEXT(ROW()-1,"0000"))</f>
        <v/>
      </c>
      <c r="G206" s="8" t="n"/>
      <c r="I206" s="10" t="n"/>
      <c r="J206" s="8" t="n"/>
      <c r="K206" s="6" t="n"/>
      <c r="M206" s="6">
        <f>IF($K206="","",$K206+7)</f>
        <v/>
      </c>
      <c r="N206" s="8">
        <f>IF($O206="","", ROUND($O206/$L206,2))</f>
        <v/>
      </c>
      <c r="O206" s="8">
        <f>IF($G206="","", $G206*(1+$I206) + IF($J206="",0,$J206))</f>
        <v/>
      </c>
      <c r="P206" s="8">
        <f>IF($A206="","", $O206 - SUMIFS(Repayment_Ledger!$E$2:$E$801,Repayment_Ledger!$A$2:$A$801, $A206))</f>
        <v/>
      </c>
      <c r="Q206" s="6">
        <f>IF($P206&lt;=0,"", MINIFS(Repayment_Ledger!$C$2:$C$801, Repayment_Ledger!$A$2:$A$801, $A206, Repayment_Ledger!$F$2:$F$801, "&lt;&gt;Paid"))</f>
        <v/>
      </c>
    </row>
    <row r="207">
      <c r="A207">
        <f>IF($B207="","", "L"&amp;TEXT(ROW()-1,"0000"))</f>
        <v/>
      </c>
      <c r="G207" s="8" t="n"/>
      <c r="I207" s="10" t="n"/>
      <c r="J207" s="8" t="n"/>
      <c r="K207" s="6" t="n"/>
      <c r="M207" s="6">
        <f>IF($K207="","",$K207+7)</f>
        <v/>
      </c>
      <c r="N207" s="8">
        <f>IF($O207="","", ROUND($O207/$L207,2))</f>
        <v/>
      </c>
      <c r="O207" s="8">
        <f>IF($G207="","", $G207*(1+$I207) + IF($J207="",0,$J207))</f>
        <v/>
      </c>
      <c r="P207" s="8">
        <f>IF($A207="","", $O207 - SUMIFS(Repayment_Ledger!$E$2:$E$801,Repayment_Ledger!$A$2:$A$801, $A207))</f>
        <v/>
      </c>
      <c r="Q207" s="6">
        <f>IF($P207&lt;=0,"", MINIFS(Repayment_Ledger!$C$2:$C$801, Repayment_Ledger!$A$2:$A$801, $A207, Repayment_Ledger!$F$2:$F$801, "&lt;&gt;Paid"))</f>
        <v/>
      </c>
    </row>
    <row r="208">
      <c r="A208">
        <f>IF($B208="","", "L"&amp;TEXT(ROW()-1,"0000"))</f>
        <v/>
      </c>
      <c r="G208" s="8" t="n"/>
      <c r="I208" s="10" t="n"/>
      <c r="J208" s="8" t="n"/>
      <c r="K208" s="6" t="n"/>
      <c r="M208" s="6">
        <f>IF($K208="","",$K208+7)</f>
        <v/>
      </c>
      <c r="N208" s="8">
        <f>IF($O208="","", ROUND($O208/$L208,2))</f>
        <v/>
      </c>
      <c r="O208" s="8">
        <f>IF($G208="","", $G208*(1+$I208) + IF($J208="",0,$J208))</f>
        <v/>
      </c>
      <c r="P208" s="8">
        <f>IF($A208="","", $O208 - SUMIFS(Repayment_Ledger!$E$2:$E$801,Repayment_Ledger!$A$2:$A$801, $A208))</f>
        <v/>
      </c>
      <c r="Q208" s="6">
        <f>IF($P208&lt;=0,"", MINIFS(Repayment_Ledger!$C$2:$C$801, Repayment_Ledger!$A$2:$A$801, $A208, Repayment_Ledger!$F$2:$F$801, "&lt;&gt;Paid"))</f>
        <v/>
      </c>
    </row>
    <row r="209">
      <c r="A209">
        <f>IF($B209="","", "L"&amp;TEXT(ROW()-1,"0000"))</f>
        <v/>
      </c>
      <c r="G209" s="8" t="n"/>
      <c r="I209" s="10" t="n"/>
      <c r="J209" s="8" t="n"/>
      <c r="K209" s="6" t="n"/>
      <c r="M209" s="6">
        <f>IF($K209="","",$K209+7)</f>
        <v/>
      </c>
      <c r="N209" s="8">
        <f>IF($O209="","", ROUND($O209/$L209,2))</f>
        <v/>
      </c>
      <c r="O209" s="8">
        <f>IF($G209="","", $G209*(1+$I209) + IF($J209="",0,$J209))</f>
        <v/>
      </c>
      <c r="P209" s="8">
        <f>IF($A209="","", $O209 - SUMIFS(Repayment_Ledger!$E$2:$E$801,Repayment_Ledger!$A$2:$A$801, $A209))</f>
        <v/>
      </c>
      <c r="Q209" s="6">
        <f>IF($P209&lt;=0,"", MINIFS(Repayment_Ledger!$C$2:$C$801, Repayment_Ledger!$A$2:$A$801, $A209, Repayment_Ledger!$F$2:$F$801, "&lt;&gt;Paid"))</f>
        <v/>
      </c>
    </row>
    <row r="210">
      <c r="A210">
        <f>IF($B210="","", "L"&amp;TEXT(ROW()-1,"0000"))</f>
        <v/>
      </c>
      <c r="G210" s="8" t="n"/>
      <c r="I210" s="10" t="n"/>
      <c r="J210" s="8" t="n"/>
      <c r="K210" s="6" t="n"/>
      <c r="M210" s="6">
        <f>IF($K210="","",$K210+7)</f>
        <v/>
      </c>
      <c r="N210" s="8">
        <f>IF($O210="","", ROUND($O210/$L210,2))</f>
        <v/>
      </c>
      <c r="O210" s="8">
        <f>IF($G210="","", $G210*(1+$I210) + IF($J210="",0,$J210))</f>
        <v/>
      </c>
      <c r="P210" s="8">
        <f>IF($A210="","", $O210 - SUMIFS(Repayment_Ledger!$E$2:$E$801,Repayment_Ledger!$A$2:$A$801, $A210))</f>
        <v/>
      </c>
      <c r="Q210" s="6">
        <f>IF($P210&lt;=0,"", MINIFS(Repayment_Ledger!$C$2:$C$801, Repayment_Ledger!$A$2:$A$801, $A210, Repayment_Ledger!$F$2:$F$801, "&lt;&gt;Paid"))</f>
        <v/>
      </c>
    </row>
    <row r="211">
      <c r="A211">
        <f>IF($B211="","", "L"&amp;TEXT(ROW()-1,"0000"))</f>
        <v/>
      </c>
      <c r="G211" s="8" t="n"/>
      <c r="I211" s="10" t="n"/>
      <c r="J211" s="8" t="n"/>
      <c r="K211" s="6" t="n"/>
      <c r="M211" s="6">
        <f>IF($K211="","",$K211+7)</f>
        <v/>
      </c>
      <c r="N211" s="8">
        <f>IF($O211="","", ROUND($O211/$L211,2))</f>
        <v/>
      </c>
      <c r="O211" s="8">
        <f>IF($G211="","", $G211*(1+$I211) + IF($J211="",0,$J211))</f>
        <v/>
      </c>
      <c r="P211" s="8">
        <f>IF($A211="","", $O211 - SUMIFS(Repayment_Ledger!$E$2:$E$801,Repayment_Ledger!$A$2:$A$801, $A211))</f>
        <v/>
      </c>
      <c r="Q211" s="6">
        <f>IF($P211&lt;=0,"", MINIFS(Repayment_Ledger!$C$2:$C$801, Repayment_Ledger!$A$2:$A$801, $A211, Repayment_Ledger!$F$2:$F$801, "&lt;&gt;Paid"))</f>
        <v/>
      </c>
    </row>
    <row r="212">
      <c r="A212">
        <f>IF($B212="","", "L"&amp;TEXT(ROW()-1,"0000"))</f>
        <v/>
      </c>
      <c r="G212" s="8" t="n"/>
      <c r="I212" s="10" t="n"/>
      <c r="J212" s="8" t="n"/>
      <c r="K212" s="6" t="n"/>
      <c r="M212" s="6">
        <f>IF($K212="","",$K212+7)</f>
        <v/>
      </c>
      <c r="N212" s="8">
        <f>IF($O212="","", ROUND($O212/$L212,2))</f>
        <v/>
      </c>
      <c r="O212" s="8">
        <f>IF($G212="","", $G212*(1+$I212) + IF($J212="",0,$J212))</f>
        <v/>
      </c>
      <c r="P212" s="8">
        <f>IF($A212="","", $O212 - SUMIFS(Repayment_Ledger!$E$2:$E$801,Repayment_Ledger!$A$2:$A$801, $A212))</f>
        <v/>
      </c>
      <c r="Q212" s="6">
        <f>IF($P212&lt;=0,"", MINIFS(Repayment_Ledger!$C$2:$C$801, Repayment_Ledger!$A$2:$A$801, $A212, Repayment_Ledger!$F$2:$F$801, "&lt;&gt;Paid"))</f>
        <v/>
      </c>
    </row>
    <row r="213">
      <c r="A213">
        <f>IF($B213="","", "L"&amp;TEXT(ROW()-1,"0000"))</f>
        <v/>
      </c>
      <c r="G213" s="8" t="n"/>
      <c r="I213" s="10" t="n"/>
      <c r="J213" s="8" t="n"/>
      <c r="K213" s="6" t="n"/>
      <c r="M213" s="6">
        <f>IF($K213="","",$K213+7)</f>
        <v/>
      </c>
      <c r="N213" s="8">
        <f>IF($O213="","", ROUND($O213/$L213,2))</f>
        <v/>
      </c>
      <c r="O213" s="8">
        <f>IF($G213="","", $G213*(1+$I213) + IF($J213="",0,$J213))</f>
        <v/>
      </c>
      <c r="P213" s="8">
        <f>IF($A213="","", $O213 - SUMIFS(Repayment_Ledger!$E$2:$E$801,Repayment_Ledger!$A$2:$A$801, $A213))</f>
        <v/>
      </c>
      <c r="Q213" s="6">
        <f>IF($P213&lt;=0,"", MINIFS(Repayment_Ledger!$C$2:$C$801, Repayment_Ledger!$A$2:$A$801, $A213, Repayment_Ledger!$F$2:$F$801, "&lt;&gt;Paid"))</f>
        <v/>
      </c>
    </row>
    <row r="214">
      <c r="A214">
        <f>IF($B214="","", "L"&amp;TEXT(ROW()-1,"0000"))</f>
        <v/>
      </c>
      <c r="G214" s="8" t="n"/>
      <c r="I214" s="10" t="n"/>
      <c r="J214" s="8" t="n"/>
      <c r="K214" s="6" t="n"/>
      <c r="M214" s="6">
        <f>IF($K214="","",$K214+7)</f>
        <v/>
      </c>
      <c r="N214" s="8">
        <f>IF($O214="","", ROUND($O214/$L214,2))</f>
        <v/>
      </c>
      <c r="O214" s="8">
        <f>IF($G214="","", $G214*(1+$I214) + IF($J214="",0,$J214))</f>
        <v/>
      </c>
      <c r="P214" s="8">
        <f>IF($A214="","", $O214 - SUMIFS(Repayment_Ledger!$E$2:$E$801,Repayment_Ledger!$A$2:$A$801, $A214))</f>
        <v/>
      </c>
      <c r="Q214" s="6">
        <f>IF($P214&lt;=0,"", MINIFS(Repayment_Ledger!$C$2:$C$801, Repayment_Ledger!$A$2:$A$801, $A214, Repayment_Ledger!$F$2:$F$801, "&lt;&gt;Paid"))</f>
        <v/>
      </c>
    </row>
    <row r="215">
      <c r="A215">
        <f>IF($B215="","", "L"&amp;TEXT(ROW()-1,"0000"))</f>
        <v/>
      </c>
      <c r="G215" s="8" t="n"/>
      <c r="I215" s="10" t="n"/>
      <c r="J215" s="8" t="n"/>
      <c r="K215" s="6" t="n"/>
      <c r="M215" s="6">
        <f>IF($K215="","",$K215+7)</f>
        <v/>
      </c>
      <c r="N215" s="8">
        <f>IF($O215="","", ROUND($O215/$L215,2))</f>
        <v/>
      </c>
      <c r="O215" s="8">
        <f>IF($G215="","", $G215*(1+$I215) + IF($J215="",0,$J215))</f>
        <v/>
      </c>
      <c r="P215" s="8">
        <f>IF($A215="","", $O215 - SUMIFS(Repayment_Ledger!$E$2:$E$801,Repayment_Ledger!$A$2:$A$801, $A215))</f>
        <v/>
      </c>
      <c r="Q215" s="6">
        <f>IF($P215&lt;=0,"", MINIFS(Repayment_Ledger!$C$2:$C$801, Repayment_Ledger!$A$2:$A$801, $A215, Repayment_Ledger!$F$2:$F$801, "&lt;&gt;Paid"))</f>
        <v/>
      </c>
    </row>
    <row r="216">
      <c r="A216">
        <f>IF($B216="","", "L"&amp;TEXT(ROW()-1,"0000"))</f>
        <v/>
      </c>
      <c r="G216" s="8" t="n"/>
      <c r="I216" s="10" t="n"/>
      <c r="J216" s="8" t="n"/>
      <c r="K216" s="6" t="n"/>
      <c r="M216" s="6">
        <f>IF($K216="","",$K216+7)</f>
        <v/>
      </c>
      <c r="N216" s="8">
        <f>IF($O216="","", ROUND($O216/$L216,2))</f>
        <v/>
      </c>
      <c r="O216" s="8">
        <f>IF($G216="","", $G216*(1+$I216) + IF($J216="",0,$J216))</f>
        <v/>
      </c>
      <c r="P216" s="8">
        <f>IF($A216="","", $O216 - SUMIFS(Repayment_Ledger!$E$2:$E$801,Repayment_Ledger!$A$2:$A$801, $A216))</f>
        <v/>
      </c>
      <c r="Q216" s="6">
        <f>IF($P216&lt;=0,"", MINIFS(Repayment_Ledger!$C$2:$C$801, Repayment_Ledger!$A$2:$A$801, $A216, Repayment_Ledger!$F$2:$F$801, "&lt;&gt;Paid"))</f>
        <v/>
      </c>
    </row>
    <row r="217">
      <c r="A217">
        <f>IF($B217="","", "L"&amp;TEXT(ROW()-1,"0000"))</f>
        <v/>
      </c>
      <c r="G217" s="8" t="n"/>
      <c r="I217" s="10" t="n"/>
      <c r="J217" s="8" t="n"/>
      <c r="K217" s="6" t="n"/>
      <c r="M217" s="6">
        <f>IF($K217="","",$K217+7)</f>
        <v/>
      </c>
      <c r="N217" s="8">
        <f>IF($O217="","", ROUND($O217/$L217,2))</f>
        <v/>
      </c>
      <c r="O217" s="8">
        <f>IF($G217="","", $G217*(1+$I217) + IF($J217="",0,$J217))</f>
        <v/>
      </c>
      <c r="P217" s="8">
        <f>IF($A217="","", $O217 - SUMIFS(Repayment_Ledger!$E$2:$E$801,Repayment_Ledger!$A$2:$A$801, $A217))</f>
        <v/>
      </c>
      <c r="Q217" s="6">
        <f>IF($P217&lt;=0,"", MINIFS(Repayment_Ledger!$C$2:$C$801, Repayment_Ledger!$A$2:$A$801, $A217, Repayment_Ledger!$F$2:$F$801, "&lt;&gt;Paid"))</f>
        <v/>
      </c>
    </row>
    <row r="218">
      <c r="A218">
        <f>IF($B218="","", "L"&amp;TEXT(ROW()-1,"0000"))</f>
        <v/>
      </c>
      <c r="G218" s="8" t="n"/>
      <c r="I218" s="10" t="n"/>
      <c r="J218" s="8" t="n"/>
      <c r="K218" s="6" t="n"/>
      <c r="M218" s="6">
        <f>IF($K218="","",$K218+7)</f>
        <v/>
      </c>
      <c r="N218" s="8">
        <f>IF($O218="","", ROUND($O218/$L218,2))</f>
        <v/>
      </c>
      <c r="O218" s="8">
        <f>IF($G218="","", $G218*(1+$I218) + IF($J218="",0,$J218))</f>
        <v/>
      </c>
      <c r="P218" s="8">
        <f>IF($A218="","", $O218 - SUMIFS(Repayment_Ledger!$E$2:$E$801,Repayment_Ledger!$A$2:$A$801, $A218))</f>
        <v/>
      </c>
      <c r="Q218" s="6">
        <f>IF($P218&lt;=0,"", MINIFS(Repayment_Ledger!$C$2:$C$801, Repayment_Ledger!$A$2:$A$801, $A218, Repayment_Ledger!$F$2:$F$801, "&lt;&gt;Paid"))</f>
        <v/>
      </c>
    </row>
    <row r="219">
      <c r="A219">
        <f>IF($B219="","", "L"&amp;TEXT(ROW()-1,"0000"))</f>
        <v/>
      </c>
      <c r="G219" s="8" t="n"/>
      <c r="I219" s="10" t="n"/>
      <c r="J219" s="8" t="n"/>
      <c r="K219" s="6" t="n"/>
      <c r="M219" s="6">
        <f>IF($K219="","",$K219+7)</f>
        <v/>
      </c>
      <c r="N219" s="8">
        <f>IF($O219="","", ROUND($O219/$L219,2))</f>
        <v/>
      </c>
      <c r="O219" s="8">
        <f>IF($G219="","", $G219*(1+$I219) + IF($J219="",0,$J219))</f>
        <v/>
      </c>
      <c r="P219" s="8">
        <f>IF($A219="","", $O219 - SUMIFS(Repayment_Ledger!$E$2:$E$801,Repayment_Ledger!$A$2:$A$801, $A219))</f>
        <v/>
      </c>
      <c r="Q219" s="6">
        <f>IF($P219&lt;=0,"", MINIFS(Repayment_Ledger!$C$2:$C$801, Repayment_Ledger!$A$2:$A$801, $A219, Repayment_Ledger!$F$2:$F$801, "&lt;&gt;Paid"))</f>
        <v/>
      </c>
    </row>
    <row r="220">
      <c r="A220">
        <f>IF($B220="","", "L"&amp;TEXT(ROW()-1,"0000"))</f>
        <v/>
      </c>
      <c r="G220" s="8" t="n"/>
      <c r="I220" s="10" t="n"/>
      <c r="J220" s="8" t="n"/>
      <c r="K220" s="6" t="n"/>
      <c r="M220" s="6">
        <f>IF($K220="","",$K220+7)</f>
        <v/>
      </c>
      <c r="N220" s="8">
        <f>IF($O220="","", ROUND($O220/$L220,2))</f>
        <v/>
      </c>
      <c r="O220" s="8">
        <f>IF($G220="","", $G220*(1+$I220) + IF($J220="",0,$J220))</f>
        <v/>
      </c>
      <c r="P220" s="8">
        <f>IF($A220="","", $O220 - SUMIFS(Repayment_Ledger!$E$2:$E$801,Repayment_Ledger!$A$2:$A$801, $A220))</f>
        <v/>
      </c>
      <c r="Q220" s="6">
        <f>IF($P220&lt;=0,"", MINIFS(Repayment_Ledger!$C$2:$C$801, Repayment_Ledger!$A$2:$A$801, $A220, Repayment_Ledger!$F$2:$F$801, "&lt;&gt;Paid"))</f>
        <v/>
      </c>
    </row>
    <row r="221">
      <c r="A221">
        <f>IF($B221="","", "L"&amp;TEXT(ROW()-1,"0000"))</f>
        <v/>
      </c>
      <c r="G221" s="8" t="n"/>
      <c r="I221" s="10" t="n"/>
      <c r="J221" s="8" t="n"/>
      <c r="K221" s="6" t="n"/>
      <c r="M221" s="6">
        <f>IF($K221="","",$K221+7)</f>
        <v/>
      </c>
      <c r="N221" s="8">
        <f>IF($O221="","", ROUND($O221/$L221,2))</f>
        <v/>
      </c>
      <c r="O221" s="8">
        <f>IF($G221="","", $G221*(1+$I221) + IF($J221="",0,$J221))</f>
        <v/>
      </c>
      <c r="P221" s="8">
        <f>IF($A221="","", $O221 - SUMIFS(Repayment_Ledger!$E$2:$E$801,Repayment_Ledger!$A$2:$A$801, $A221))</f>
        <v/>
      </c>
      <c r="Q221" s="6">
        <f>IF($P221&lt;=0,"", MINIFS(Repayment_Ledger!$C$2:$C$801, Repayment_Ledger!$A$2:$A$801, $A221, Repayment_Ledger!$F$2:$F$801, "&lt;&gt;Paid"))</f>
        <v/>
      </c>
    </row>
    <row r="222">
      <c r="A222">
        <f>IF($B222="","", "L"&amp;TEXT(ROW()-1,"0000"))</f>
        <v/>
      </c>
      <c r="G222" s="8" t="n"/>
      <c r="I222" s="10" t="n"/>
      <c r="J222" s="8" t="n"/>
      <c r="K222" s="6" t="n"/>
      <c r="M222" s="6">
        <f>IF($K222="","",$K222+7)</f>
        <v/>
      </c>
      <c r="N222" s="8">
        <f>IF($O222="","", ROUND($O222/$L222,2))</f>
        <v/>
      </c>
      <c r="O222" s="8">
        <f>IF($G222="","", $G222*(1+$I222) + IF($J222="",0,$J222))</f>
        <v/>
      </c>
      <c r="P222" s="8">
        <f>IF($A222="","", $O222 - SUMIFS(Repayment_Ledger!$E$2:$E$801,Repayment_Ledger!$A$2:$A$801, $A222))</f>
        <v/>
      </c>
      <c r="Q222" s="6">
        <f>IF($P222&lt;=0,"", MINIFS(Repayment_Ledger!$C$2:$C$801, Repayment_Ledger!$A$2:$A$801, $A222, Repayment_Ledger!$F$2:$F$801, "&lt;&gt;Paid"))</f>
        <v/>
      </c>
    </row>
    <row r="223">
      <c r="A223">
        <f>IF($B223="","", "L"&amp;TEXT(ROW()-1,"0000"))</f>
        <v/>
      </c>
      <c r="G223" s="8" t="n"/>
      <c r="I223" s="10" t="n"/>
      <c r="J223" s="8" t="n"/>
      <c r="K223" s="6" t="n"/>
      <c r="M223" s="6">
        <f>IF($K223="","",$K223+7)</f>
        <v/>
      </c>
      <c r="N223" s="8">
        <f>IF($O223="","", ROUND($O223/$L223,2))</f>
        <v/>
      </c>
      <c r="O223" s="8">
        <f>IF($G223="","", $G223*(1+$I223) + IF($J223="",0,$J223))</f>
        <v/>
      </c>
      <c r="P223" s="8">
        <f>IF($A223="","", $O223 - SUMIFS(Repayment_Ledger!$E$2:$E$801,Repayment_Ledger!$A$2:$A$801, $A223))</f>
        <v/>
      </c>
      <c r="Q223" s="6">
        <f>IF($P223&lt;=0,"", MINIFS(Repayment_Ledger!$C$2:$C$801, Repayment_Ledger!$A$2:$A$801, $A223, Repayment_Ledger!$F$2:$F$801, "&lt;&gt;Paid"))</f>
        <v/>
      </c>
    </row>
    <row r="224">
      <c r="A224">
        <f>IF($B224="","", "L"&amp;TEXT(ROW()-1,"0000"))</f>
        <v/>
      </c>
      <c r="G224" s="8" t="n"/>
      <c r="I224" s="10" t="n"/>
      <c r="J224" s="8" t="n"/>
      <c r="K224" s="6" t="n"/>
      <c r="M224" s="6">
        <f>IF($K224="","",$K224+7)</f>
        <v/>
      </c>
      <c r="N224" s="8">
        <f>IF($O224="","", ROUND($O224/$L224,2))</f>
        <v/>
      </c>
      <c r="O224" s="8">
        <f>IF($G224="","", $G224*(1+$I224) + IF($J224="",0,$J224))</f>
        <v/>
      </c>
      <c r="P224" s="8">
        <f>IF($A224="","", $O224 - SUMIFS(Repayment_Ledger!$E$2:$E$801,Repayment_Ledger!$A$2:$A$801, $A224))</f>
        <v/>
      </c>
      <c r="Q224" s="6">
        <f>IF($P224&lt;=0,"", MINIFS(Repayment_Ledger!$C$2:$C$801, Repayment_Ledger!$A$2:$A$801, $A224, Repayment_Ledger!$F$2:$F$801, "&lt;&gt;Paid"))</f>
        <v/>
      </c>
    </row>
    <row r="225">
      <c r="A225">
        <f>IF($B225="","", "L"&amp;TEXT(ROW()-1,"0000"))</f>
        <v/>
      </c>
      <c r="G225" s="8" t="n"/>
      <c r="I225" s="10" t="n"/>
      <c r="J225" s="8" t="n"/>
      <c r="K225" s="6" t="n"/>
      <c r="M225" s="6">
        <f>IF($K225="","",$K225+7)</f>
        <v/>
      </c>
      <c r="N225" s="8">
        <f>IF($O225="","", ROUND($O225/$L225,2))</f>
        <v/>
      </c>
      <c r="O225" s="8">
        <f>IF($G225="","", $G225*(1+$I225) + IF($J225="",0,$J225))</f>
        <v/>
      </c>
      <c r="P225" s="8">
        <f>IF($A225="","", $O225 - SUMIFS(Repayment_Ledger!$E$2:$E$801,Repayment_Ledger!$A$2:$A$801, $A225))</f>
        <v/>
      </c>
      <c r="Q225" s="6">
        <f>IF($P225&lt;=0,"", MINIFS(Repayment_Ledger!$C$2:$C$801, Repayment_Ledger!$A$2:$A$801, $A225, Repayment_Ledger!$F$2:$F$801, "&lt;&gt;Paid"))</f>
        <v/>
      </c>
    </row>
    <row r="226">
      <c r="A226">
        <f>IF($B226="","", "L"&amp;TEXT(ROW()-1,"0000"))</f>
        <v/>
      </c>
      <c r="G226" s="8" t="n"/>
      <c r="I226" s="10" t="n"/>
      <c r="J226" s="8" t="n"/>
      <c r="K226" s="6" t="n"/>
      <c r="M226" s="6">
        <f>IF($K226="","",$K226+7)</f>
        <v/>
      </c>
      <c r="N226" s="8">
        <f>IF($O226="","", ROUND($O226/$L226,2))</f>
        <v/>
      </c>
      <c r="O226" s="8">
        <f>IF($G226="","", $G226*(1+$I226) + IF($J226="",0,$J226))</f>
        <v/>
      </c>
      <c r="P226" s="8">
        <f>IF($A226="","", $O226 - SUMIFS(Repayment_Ledger!$E$2:$E$801,Repayment_Ledger!$A$2:$A$801, $A226))</f>
        <v/>
      </c>
      <c r="Q226" s="6">
        <f>IF($P226&lt;=0,"", MINIFS(Repayment_Ledger!$C$2:$C$801, Repayment_Ledger!$A$2:$A$801, $A226, Repayment_Ledger!$F$2:$F$801, "&lt;&gt;Paid"))</f>
        <v/>
      </c>
    </row>
    <row r="227">
      <c r="A227">
        <f>IF($B227="","", "L"&amp;TEXT(ROW()-1,"0000"))</f>
        <v/>
      </c>
      <c r="G227" s="8" t="n"/>
      <c r="I227" s="10" t="n"/>
      <c r="J227" s="8" t="n"/>
      <c r="K227" s="6" t="n"/>
      <c r="M227" s="6">
        <f>IF($K227="","",$K227+7)</f>
        <v/>
      </c>
      <c r="N227" s="8">
        <f>IF($O227="","", ROUND($O227/$L227,2))</f>
        <v/>
      </c>
      <c r="O227" s="8">
        <f>IF($G227="","", $G227*(1+$I227) + IF($J227="",0,$J227))</f>
        <v/>
      </c>
      <c r="P227" s="8">
        <f>IF($A227="","", $O227 - SUMIFS(Repayment_Ledger!$E$2:$E$801,Repayment_Ledger!$A$2:$A$801, $A227))</f>
        <v/>
      </c>
      <c r="Q227" s="6">
        <f>IF($P227&lt;=0,"", MINIFS(Repayment_Ledger!$C$2:$C$801, Repayment_Ledger!$A$2:$A$801, $A227, Repayment_Ledger!$F$2:$F$801, "&lt;&gt;Paid"))</f>
        <v/>
      </c>
    </row>
    <row r="228">
      <c r="A228">
        <f>IF($B228="","", "L"&amp;TEXT(ROW()-1,"0000"))</f>
        <v/>
      </c>
      <c r="G228" s="8" t="n"/>
      <c r="I228" s="10" t="n"/>
      <c r="J228" s="8" t="n"/>
      <c r="K228" s="6" t="n"/>
      <c r="M228" s="6">
        <f>IF($K228="","",$K228+7)</f>
        <v/>
      </c>
      <c r="N228" s="8">
        <f>IF($O228="","", ROUND($O228/$L228,2))</f>
        <v/>
      </c>
      <c r="O228" s="8">
        <f>IF($G228="","", $G228*(1+$I228) + IF($J228="",0,$J228))</f>
        <v/>
      </c>
      <c r="P228" s="8">
        <f>IF($A228="","", $O228 - SUMIFS(Repayment_Ledger!$E$2:$E$801,Repayment_Ledger!$A$2:$A$801, $A228))</f>
        <v/>
      </c>
      <c r="Q228" s="6">
        <f>IF($P228&lt;=0,"", MINIFS(Repayment_Ledger!$C$2:$C$801, Repayment_Ledger!$A$2:$A$801, $A228, Repayment_Ledger!$F$2:$F$801, "&lt;&gt;Paid"))</f>
        <v/>
      </c>
    </row>
    <row r="229">
      <c r="A229">
        <f>IF($B229="","", "L"&amp;TEXT(ROW()-1,"0000"))</f>
        <v/>
      </c>
      <c r="G229" s="8" t="n"/>
      <c r="I229" s="10" t="n"/>
      <c r="J229" s="8" t="n"/>
      <c r="K229" s="6" t="n"/>
      <c r="M229" s="6">
        <f>IF($K229="","",$K229+7)</f>
        <v/>
      </c>
      <c r="N229" s="8">
        <f>IF($O229="","", ROUND($O229/$L229,2))</f>
        <v/>
      </c>
      <c r="O229" s="8">
        <f>IF($G229="","", $G229*(1+$I229) + IF($J229="",0,$J229))</f>
        <v/>
      </c>
      <c r="P229" s="8">
        <f>IF($A229="","", $O229 - SUMIFS(Repayment_Ledger!$E$2:$E$801,Repayment_Ledger!$A$2:$A$801, $A229))</f>
        <v/>
      </c>
      <c r="Q229" s="6">
        <f>IF($P229&lt;=0,"", MINIFS(Repayment_Ledger!$C$2:$C$801, Repayment_Ledger!$A$2:$A$801, $A229, Repayment_Ledger!$F$2:$F$801, "&lt;&gt;Paid"))</f>
        <v/>
      </c>
    </row>
    <row r="230">
      <c r="A230">
        <f>IF($B230="","", "L"&amp;TEXT(ROW()-1,"0000"))</f>
        <v/>
      </c>
      <c r="G230" s="8" t="n"/>
      <c r="I230" s="10" t="n"/>
      <c r="J230" s="8" t="n"/>
      <c r="K230" s="6" t="n"/>
      <c r="M230" s="6">
        <f>IF($K230="","",$K230+7)</f>
        <v/>
      </c>
      <c r="N230" s="8">
        <f>IF($O230="","", ROUND($O230/$L230,2))</f>
        <v/>
      </c>
      <c r="O230" s="8">
        <f>IF($G230="","", $G230*(1+$I230) + IF($J230="",0,$J230))</f>
        <v/>
      </c>
      <c r="P230" s="8">
        <f>IF($A230="","", $O230 - SUMIFS(Repayment_Ledger!$E$2:$E$801,Repayment_Ledger!$A$2:$A$801, $A230))</f>
        <v/>
      </c>
      <c r="Q230" s="6">
        <f>IF($P230&lt;=0,"", MINIFS(Repayment_Ledger!$C$2:$C$801, Repayment_Ledger!$A$2:$A$801, $A230, Repayment_Ledger!$F$2:$F$801, "&lt;&gt;Paid"))</f>
        <v/>
      </c>
    </row>
    <row r="231">
      <c r="A231">
        <f>IF($B231="","", "L"&amp;TEXT(ROW()-1,"0000"))</f>
        <v/>
      </c>
      <c r="G231" s="8" t="n"/>
      <c r="I231" s="10" t="n"/>
      <c r="J231" s="8" t="n"/>
      <c r="K231" s="6" t="n"/>
      <c r="M231" s="6">
        <f>IF($K231="","",$K231+7)</f>
        <v/>
      </c>
      <c r="N231" s="8">
        <f>IF($O231="","", ROUND($O231/$L231,2))</f>
        <v/>
      </c>
      <c r="O231" s="8">
        <f>IF($G231="","", $G231*(1+$I231) + IF($J231="",0,$J231))</f>
        <v/>
      </c>
      <c r="P231" s="8">
        <f>IF($A231="","", $O231 - SUMIFS(Repayment_Ledger!$E$2:$E$801,Repayment_Ledger!$A$2:$A$801, $A231))</f>
        <v/>
      </c>
      <c r="Q231" s="6">
        <f>IF($P231&lt;=0,"", MINIFS(Repayment_Ledger!$C$2:$C$801, Repayment_Ledger!$A$2:$A$801, $A231, Repayment_Ledger!$F$2:$F$801, "&lt;&gt;Paid"))</f>
        <v/>
      </c>
    </row>
    <row r="232">
      <c r="A232">
        <f>IF($B232="","", "L"&amp;TEXT(ROW()-1,"0000"))</f>
        <v/>
      </c>
      <c r="G232" s="8" t="n"/>
      <c r="I232" s="10" t="n"/>
      <c r="J232" s="8" t="n"/>
      <c r="K232" s="6" t="n"/>
      <c r="M232" s="6">
        <f>IF($K232="","",$K232+7)</f>
        <v/>
      </c>
      <c r="N232" s="8">
        <f>IF($O232="","", ROUND($O232/$L232,2))</f>
        <v/>
      </c>
      <c r="O232" s="8">
        <f>IF($G232="","", $G232*(1+$I232) + IF($J232="",0,$J232))</f>
        <v/>
      </c>
      <c r="P232" s="8">
        <f>IF($A232="","", $O232 - SUMIFS(Repayment_Ledger!$E$2:$E$801,Repayment_Ledger!$A$2:$A$801, $A232))</f>
        <v/>
      </c>
      <c r="Q232" s="6">
        <f>IF($P232&lt;=0,"", MINIFS(Repayment_Ledger!$C$2:$C$801, Repayment_Ledger!$A$2:$A$801, $A232, Repayment_Ledger!$F$2:$F$801, "&lt;&gt;Paid"))</f>
        <v/>
      </c>
    </row>
    <row r="233">
      <c r="A233">
        <f>IF($B233="","", "L"&amp;TEXT(ROW()-1,"0000"))</f>
        <v/>
      </c>
      <c r="G233" s="8" t="n"/>
      <c r="I233" s="10" t="n"/>
      <c r="J233" s="8" t="n"/>
      <c r="K233" s="6" t="n"/>
      <c r="M233" s="6">
        <f>IF($K233="","",$K233+7)</f>
        <v/>
      </c>
      <c r="N233" s="8">
        <f>IF($O233="","", ROUND($O233/$L233,2))</f>
        <v/>
      </c>
      <c r="O233" s="8">
        <f>IF($G233="","", $G233*(1+$I233) + IF($J233="",0,$J233))</f>
        <v/>
      </c>
      <c r="P233" s="8">
        <f>IF($A233="","", $O233 - SUMIFS(Repayment_Ledger!$E$2:$E$801,Repayment_Ledger!$A$2:$A$801, $A233))</f>
        <v/>
      </c>
      <c r="Q233" s="6">
        <f>IF($P233&lt;=0,"", MINIFS(Repayment_Ledger!$C$2:$C$801, Repayment_Ledger!$A$2:$A$801, $A233, Repayment_Ledger!$F$2:$F$801, "&lt;&gt;Paid"))</f>
        <v/>
      </c>
    </row>
    <row r="234">
      <c r="A234">
        <f>IF($B234="","", "L"&amp;TEXT(ROW()-1,"0000"))</f>
        <v/>
      </c>
      <c r="G234" s="8" t="n"/>
      <c r="I234" s="10" t="n"/>
      <c r="J234" s="8" t="n"/>
      <c r="K234" s="6" t="n"/>
      <c r="M234" s="6">
        <f>IF($K234="","",$K234+7)</f>
        <v/>
      </c>
      <c r="N234" s="8">
        <f>IF($O234="","", ROUND($O234/$L234,2))</f>
        <v/>
      </c>
      <c r="O234" s="8">
        <f>IF($G234="","", $G234*(1+$I234) + IF($J234="",0,$J234))</f>
        <v/>
      </c>
      <c r="P234" s="8">
        <f>IF($A234="","", $O234 - SUMIFS(Repayment_Ledger!$E$2:$E$801,Repayment_Ledger!$A$2:$A$801, $A234))</f>
        <v/>
      </c>
      <c r="Q234" s="6">
        <f>IF($P234&lt;=0,"", MINIFS(Repayment_Ledger!$C$2:$C$801, Repayment_Ledger!$A$2:$A$801, $A234, Repayment_Ledger!$F$2:$F$801, "&lt;&gt;Paid"))</f>
        <v/>
      </c>
    </row>
    <row r="235">
      <c r="A235">
        <f>IF($B235="","", "L"&amp;TEXT(ROW()-1,"0000"))</f>
        <v/>
      </c>
      <c r="G235" s="8" t="n"/>
      <c r="I235" s="10" t="n"/>
      <c r="J235" s="8" t="n"/>
      <c r="K235" s="6" t="n"/>
      <c r="M235" s="6">
        <f>IF($K235="","",$K235+7)</f>
        <v/>
      </c>
      <c r="N235" s="8">
        <f>IF($O235="","", ROUND($O235/$L235,2))</f>
        <v/>
      </c>
      <c r="O235" s="8">
        <f>IF($G235="","", $G235*(1+$I235) + IF($J235="",0,$J235))</f>
        <v/>
      </c>
      <c r="P235" s="8">
        <f>IF($A235="","", $O235 - SUMIFS(Repayment_Ledger!$E$2:$E$801,Repayment_Ledger!$A$2:$A$801, $A235))</f>
        <v/>
      </c>
      <c r="Q235" s="6">
        <f>IF($P235&lt;=0,"", MINIFS(Repayment_Ledger!$C$2:$C$801, Repayment_Ledger!$A$2:$A$801, $A235, Repayment_Ledger!$F$2:$F$801, "&lt;&gt;Paid"))</f>
        <v/>
      </c>
    </row>
    <row r="236">
      <c r="A236">
        <f>IF($B236="","", "L"&amp;TEXT(ROW()-1,"0000"))</f>
        <v/>
      </c>
      <c r="G236" s="8" t="n"/>
      <c r="I236" s="10" t="n"/>
      <c r="J236" s="8" t="n"/>
      <c r="K236" s="6" t="n"/>
      <c r="M236" s="6">
        <f>IF($K236="","",$K236+7)</f>
        <v/>
      </c>
      <c r="N236" s="8">
        <f>IF($O236="","", ROUND($O236/$L236,2))</f>
        <v/>
      </c>
      <c r="O236" s="8">
        <f>IF($G236="","", $G236*(1+$I236) + IF($J236="",0,$J236))</f>
        <v/>
      </c>
      <c r="P236" s="8">
        <f>IF($A236="","", $O236 - SUMIFS(Repayment_Ledger!$E$2:$E$801,Repayment_Ledger!$A$2:$A$801, $A236))</f>
        <v/>
      </c>
      <c r="Q236" s="6">
        <f>IF($P236&lt;=0,"", MINIFS(Repayment_Ledger!$C$2:$C$801, Repayment_Ledger!$A$2:$A$801, $A236, Repayment_Ledger!$F$2:$F$801, "&lt;&gt;Paid"))</f>
        <v/>
      </c>
    </row>
    <row r="237">
      <c r="A237">
        <f>IF($B237="","", "L"&amp;TEXT(ROW()-1,"0000"))</f>
        <v/>
      </c>
      <c r="G237" s="8" t="n"/>
      <c r="I237" s="10" t="n"/>
      <c r="J237" s="8" t="n"/>
      <c r="K237" s="6" t="n"/>
      <c r="M237" s="6">
        <f>IF($K237="","",$K237+7)</f>
        <v/>
      </c>
      <c r="N237" s="8">
        <f>IF($O237="","", ROUND($O237/$L237,2))</f>
        <v/>
      </c>
      <c r="O237" s="8">
        <f>IF($G237="","", $G237*(1+$I237) + IF($J237="",0,$J237))</f>
        <v/>
      </c>
      <c r="P237" s="8">
        <f>IF($A237="","", $O237 - SUMIFS(Repayment_Ledger!$E$2:$E$801,Repayment_Ledger!$A$2:$A$801, $A237))</f>
        <v/>
      </c>
      <c r="Q237" s="6">
        <f>IF($P237&lt;=0,"", MINIFS(Repayment_Ledger!$C$2:$C$801, Repayment_Ledger!$A$2:$A$801, $A237, Repayment_Ledger!$F$2:$F$801, "&lt;&gt;Paid"))</f>
        <v/>
      </c>
    </row>
    <row r="238">
      <c r="A238">
        <f>IF($B238="","", "L"&amp;TEXT(ROW()-1,"0000"))</f>
        <v/>
      </c>
      <c r="G238" s="8" t="n"/>
      <c r="I238" s="10" t="n"/>
      <c r="J238" s="8" t="n"/>
      <c r="K238" s="6" t="n"/>
      <c r="M238" s="6">
        <f>IF($K238="","",$K238+7)</f>
        <v/>
      </c>
      <c r="N238" s="8">
        <f>IF($O238="","", ROUND($O238/$L238,2))</f>
        <v/>
      </c>
      <c r="O238" s="8">
        <f>IF($G238="","", $G238*(1+$I238) + IF($J238="",0,$J238))</f>
        <v/>
      </c>
      <c r="P238" s="8">
        <f>IF($A238="","", $O238 - SUMIFS(Repayment_Ledger!$E$2:$E$801,Repayment_Ledger!$A$2:$A$801, $A238))</f>
        <v/>
      </c>
      <c r="Q238" s="6">
        <f>IF($P238&lt;=0,"", MINIFS(Repayment_Ledger!$C$2:$C$801, Repayment_Ledger!$A$2:$A$801, $A238, Repayment_Ledger!$F$2:$F$801, "&lt;&gt;Paid"))</f>
        <v/>
      </c>
    </row>
    <row r="239">
      <c r="A239">
        <f>IF($B239="","", "L"&amp;TEXT(ROW()-1,"0000"))</f>
        <v/>
      </c>
      <c r="G239" s="8" t="n"/>
      <c r="I239" s="10" t="n"/>
      <c r="J239" s="8" t="n"/>
      <c r="K239" s="6" t="n"/>
      <c r="M239" s="6">
        <f>IF($K239="","",$K239+7)</f>
        <v/>
      </c>
      <c r="N239" s="8">
        <f>IF($O239="","", ROUND($O239/$L239,2))</f>
        <v/>
      </c>
      <c r="O239" s="8">
        <f>IF($G239="","", $G239*(1+$I239) + IF($J239="",0,$J239))</f>
        <v/>
      </c>
      <c r="P239" s="8">
        <f>IF($A239="","", $O239 - SUMIFS(Repayment_Ledger!$E$2:$E$801,Repayment_Ledger!$A$2:$A$801, $A239))</f>
        <v/>
      </c>
      <c r="Q239" s="6">
        <f>IF($P239&lt;=0,"", MINIFS(Repayment_Ledger!$C$2:$C$801, Repayment_Ledger!$A$2:$A$801, $A239, Repayment_Ledger!$F$2:$F$801, "&lt;&gt;Paid"))</f>
        <v/>
      </c>
    </row>
    <row r="240">
      <c r="A240">
        <f>IF($B240="","", "L"&amp;TEXT(ROW()-1,"0000"))</f>
        <v/>
      </c>
      <c r="G240" s="8" t="n"/>
      <c r="I240" s="10" t="n"/>
      <c r="J240" s="8" t="n"/>
      <c r="K240" s="6" t="n"/>
      <c r="M240" s="6">
        <f>IF($K240="","",$K240+7)</f>
        <v/>
      </c>
      <c r="N240" s="8">
        <f>IF($O240="","", ROUND($O240/$L240,2))</f>
        <v/>
      </c>
      <c r="O240" s="8">
        <f>IF($G240="","", $G240*(1+$I240) + IF($J240="",0,$J240))</f>
        <v/>
      </c>
      <c r="P240" s="8">
        <f>IF($A240="","", $O240 - SUMIFS(Repayment_Ledger!$E$2:$E$801,Repayment_Ledger!$A$2:$A$801, $A240))</f>
        <v/>
      </c>
      <c r="Q240" s="6">
        <f>IF($P240&lt;=0,"", MINIFS(Repayment_Ledger!$C$2:$C$801, Repayment_Ledger!$A$2:$A$801, $A240, Repayment_Ledger!$F$2:$F$801, "&lt;&gt;Paid"))</f>
        <v/>
      </c>
    </row>
    <row r="241">
      <c r="A241">
        <f>IF($B241="","", "L"&amp;TEXT(ROW()-1,"0000"))</f>
        <v/>
      </c>
      <c r="G241" s="8" t="n"/>
      <c r="I241" s="10" t="n"/>
      <c r="J241" s="8" t="n"/>
      <c r="K241" s="6" t="n"/>
      <c r="M241" s="6">
        <f>IF($K241="","",$K241+7)</f>
        <v/>
      </c>
      <c r="N241" s="8">
        <f>IF($O241="","", ROUND($O241/$L241,2))</f>
        <v/>
      </c>
      <c r="O241" s="8">
        <f>IF($G241="","", $G241*(1+$I241) + IF($J241="",0,$J241))</f>
        <v/>
      </c>
      <c r="P241" s="8">
        <f>IF($A241="","", $O241 - SUMIFS(Repayment_Ledger!$E$2:$E$801,Repayment_Ledger!$A$2:$A$801, $A241))</f>
        <v/>
      </c>
      <c r="Q241" s="6">
        <f>IF($P241&lt;=0,"", MINIFS(Repayment_Ledger!$C$2:$C$801, Repayment_Ledger!$A$2:$A$801, $A241, Repayment_Ledger!$F$2:$F$801, "&lt;&gt;Paid"))</f>
        <v/>
      </c>
    </row>
    <row r="242">
      <c r="A242">
        <f>IF($B242="","", "L"&amp;TEXT(ROW()-1,"0000"))</f>
        <v/>
      </c>
      <c r="G242" s="8" t="n"/>
      <c r="I242" s="10" t="n"/>
      <c r="J242" s="8" t="n"/>
      <c r="K242" s="6" t="n"/>
      <c r="M242" s="6">
        <f>IF($K242="","",$K242+7)</f>
        <v/>
      </c>
      <c r="N242" s="8">
        <f>IF($O242="","", ROUND($O242/$L242,2))</f>
        <v/>
      </c>
      <c r="O242" s="8">
        <f>IF($G242="","", $G242*(1+$I242) + IF($J242="",0,$J242))</f>
        <v/>
      </c>
      <c r="P242" s="8">
        <f>IF($A242="","", $O242 - SUMIFS(Repayment_Ledger!$E$2:$E$801,Repayment_Ledger!$A$2:$A$801, $A242))</f>
        <v/>
      </c>
      <c r="Q242" s="6">
        <f>IF($P242&lt;=0,"", MINIFS(Repayment_Ledger!$C$2:$C$801, Repayment_Ledger!$A$2:$A$801, $A242, Repayment_Ledger!$F$2:$F$801, "&lt;&gt;Paid"))</f>
        <v/>
      </c>
    </row>
    <row r="243">
      <c r="A243">
        <f>IF($B243="","", "L"&amp;TEXT(ROW()-1,"0000"))</f>
        <v/>
      </c>
      <c r="G243" s="8" t="n"/>
      <c r="I243" s="10" t="n"/>
      <c r="J243" s="8" t="n"/>
      <c r="K243" s="6" t="n"/>
      <c r="M243" s="6">
        <f>IF($K243="","",$K243+7)</f>
        <v/>
      </c>
      <c r="N243" s="8">
        <f>IF($O243="","", ROUND($O243/$L243,2))</f>
        <v/>
      </c>
      <c r="O243" s="8">
        <f>IF($G243="","", $G243*(1+$I243) + IF($J243="",0,$J243))</f>
        <v/>
      </c>
      <c r="P243" s="8">
        <f>IF($A243="","", $O243 - SUMIFS(Repayment_Ledger!$E$2:$E$801,Repayment_Ledger!$A$2:$A$801, $A243))</f>
        <v/>
      </c>
      <c r="Q243" s="6">
        <f>IF($P243&lt;=0,"", MINIFS(Repayment_Ledger!$C$2:$C$801, Repayment_Ledger!$A$2:$A$801, $A243, Repayment_Ledger!$F$2:$F$801, "&lt;&gt;Paid"))</f>
        <v/>
      </c>
    </row>
    <row r="244">
      <c r="A244">
        <f>IF($B244="","", "L"&amp;TEXT(ROW()-1,"0000"))</f>
        <v/>
      </c>
      <c r="G244" s="8" t="n"/>
      <c r="I244" s="10" t="n"/>
      <c r="J244" s="8" t="n"/>
      <c r="K244" s="6" t="n"/>
      <c r="M244" s="6">
        <f>IF($K244="","",$K244+7)</f>
        <v/>
      </c>
      <c r="N244" s="8">
        <f>IF($O244="","", ROUND($O244/$L244,2))</f>
        <v/>
      </c>
      <c r="O244" s="8">
        <f>IF($G244="","", $G244*(1+$I244) + IF($J244="",0,$J244))</f>
        <v/>
      </c>
      <c r="P244" s="8">
        <f>IF($A244="","", $O244 - SUMIFS(Repayment_Ledger!$E$2:$E$801,Repayment_Ledger!$A$2:$A$801, $A244))</f>
        <v/>
      </c>
      <c r="Q244" s="6">
        <f>IF($P244&lt;=0,"", MINIFS(Repayment_Ledger!$C$2:$C$801, Repayment_Ledger!$A$2:$A$801, $A244, Repayment_Ledger!$F$2:$F$801, "&lt;&gt;Paid"))</f>
        <v/>
      </c>
    </row>
    <row r="245">
      <c r="A245">
        <f>IF($B245="","", "L"&amp;TEXT(ROW()-1,"0000"))</f>
        <v/>
      </c>
      <c r="G245" s="8" t="n"/>
      <c r="I245" s="10" t="n"/>
      <c r="J245" s="8" t="n"/>
      <c r="K245" s="6" t="n"/>
      <c r="M245" s="6">
        <f>IF($K245="","",$K245+7)</f>
        <v/>
      </c>
      <c r="N245" s="8">
        <f>IF($O245="","", ROUND($O245/$L245,2))</f>
        <v/>
      </c>
      <c r="O245" s="8">
        <f>IF($G245="","", $G245*(1+$I245) + IF($J245="",0,$J245))</f>
        <v/>
      </c>
      <c r="P245" s="8">
        <f>IF($A245="","", $O245 - SUMIFS(Repayment_Ledger!$E$2:$E$801,Repayment_Ledger!$A$2:$A$801, $A245))</f>
        <v/>
      </c>
      <c r="Q245" s="6">
        <f>IF($P245&lt;=0,"", MINIFS(Repayment_Ledger!$C$2:$C$801, Repayment_Ledger!$A$2:$A$801, $A245, Repayment_Ledger!$F$2:$F$801, "&lt;&gt;Paid"))</f>
        <v/>
      </c>
    </row>
    <row r="246">
      <c r="A246">
        <f>IF($B246="","", "L"&amp;TEXT(ROW()-1,"0000"))</f>
        <v/>
      </c>
      <c r="G246" s="8" t="n"/>
      <c r="I246" s="10" t="n"/>
      <c r="J246" s="8" t="n"/>
      <c r="K246" s="6" t="n"/>
      <c r="M246" s="6">
        <f>IF($K246="","",$K246+7)</f>
        <v/>
      </c>
      <c r="N246" s="8">
        <f>IF($O246="","", ROUND($O246/$L246,2))</f>
        <v/>
      </c>
      <c r="O246" s="8">
        <f>IF($G246="","", $G246*(1+$I246) + IF($J246="",0,$J246))</f>
        <v/>
      </c>
      <c r="P246" s="8">
        <f>IF($A246="","", $O246 - SUMIFS(Repayment_Ledger!$E$2:$E$801,Repayment_Ledger!$A$2:$A$801, $A246))</f>
        <v/>
      </c>
      <c r="Q246" s="6">
        <f>IF($P246&lt;=0,"", MINIFS(Repayment_Ledger!$C$2:$C$801, Repayment_Ledger!$A$2:$A$801, $A246, Repayment_Ledger!$F$2:$F$801, "&lt;&gt;Paid"))</f>
        <v/>
      </c>
    </row>
    <row r="247">
      <c r="A247">
        <f>IF($B247="","", "L"&amp;TEXT(ROW()-1,"0000"))</f>
        <v/>
      </c>
      <c r="G247" s="8" t="n"/>
      <c r="I247" s="10" t="n"/>
      <c r="J247" s="8" t="n"/>
      <c r="K247" s="6" t="n"/>
      <c r="M247" s="6">
        <f>IF($K247="","",$K247+7)</f>
        <v/>
      </c>
      <c r="N247" s="8">
        <f>IF($O247="","", ROUND($O247/$L247,2))</f>
        <v/>
      </c>
      <c r="O247" s="8">
        <f>IF($G247="","", $G247*(1+$I247) + IF($J247="",0,$J247))</f>
        <v/>
      </c>
      <c r="P247" s="8">
        <f>IF($A247="","", $O247 - SUMIFS(Repayment_Ledger!$E$2:$E$801,Repayment_Ledger!$A$2:$A$801, $A247))</f>
        <v/>
      </c>
      <c r="Q247" s="6">
        <f>IF($P247&lt;=0,"", MINIFS(Repayment_Ledger!$C$2:$C$801, Repayment_Ledger!$A$2:$A$801, $A247, Repayment_Ledger!$F$2:$F$801, "&lt;&gt;Paid"))</f>
        <v/>
      </c>
    </row>
    <row r="248">
      <c r="A248">
        <f>IF($B248="","", "L"&amp;TEXT(ROW()-1,"0000"))</f>
        <v/>
      </c>
      <c r="G248" s="8" t="n"/>
      <c r="I248" s="10" t="n"/>
      <c r="J248" s="8" t="n"/>
      <c r="K248" s="6" t="n"/>
      <c r="M248" s="6">
        <f>IF($K248="","",$K248+7)</f>
        <v/>
      </c>
      <c r="N248" s="8">
        <f>IF($O248="","", ROUND($O248/$L248,2))</f>
        <v/>
      </c>
      <c r="O248" s="8">
        <f>IF($G248="","", $G248*(1+$I248) + IF($J248="",0,$J248))</f>
        <v/>
      </c>
      <c r="P248" s="8">
        <f>IF($A248="","", $O248 - SUMIFS(Repayment_Ledger!$E$2:$E$801,Repayment_Ledger!$A$2:$A$801, $A248))</f>
        <v/>
      </c>
      <c r="Q248" s="6">
        <f>IF($P248&lt;=0,"", MINIFS(Repayment_Ledger!$C$2:$C$801, Repayment_Ledger!$A$2:$A$801, $A248, Repayment_Ledger!$F$2:$F$801, "&lt;&gt;Paid"))</f>
        <v/>
      </c>
    </row>
    <row r="249">
      <c r="A249">
        <f>IF($B249="","", "L"&amp;TEXT(ROW()-1,"0000"))</f>
        <v/>
      </c>
      <c r="G249" s="8" t="n"/>
      <c r="I249" s="10" t="n"/>
      <c r="J249" s="8" t="n"/>
      <c r="K249" s="6" t="n"/>
      <c r="M249" s="6">
        <f>IF($K249="","",$K249+7)</f>
        <v/>
      </c>
      <c r="N249" s="8">
        <f>IF($O249="","", ROUND($O249/$L249,2))</f>
        <v/>
      </c>
      <c r="O249" s="8">
        <f>IF($G249="","", $G249*(1+$I249) + IF($J249="",0,$J249))</f>
        <v/>
      </c>
      <c r="P249" s="8">
        <f>IF($A249="","", $O249 - SUMIFS(Repayment_Ledger!$E$2:$E$801,Repayment_Ledger!$A$2:$A$801, $A249))</f>
        <v/>
      </c>
      <c r="Q249" s="6">
        <f>IF($P249&lt;=0,"", MINIFS(Repayment_Ledger!$C$2:$C$801, Repayment_Ledger!$A$2:$A$801, $A249, Repayment_Ledger!$F$2:$F$801, "&lt;&gt;Paid"))</f>
        <v/>
      </c>
    </row>
    <row r="250">
      <c r="A250">
        <f>IF($B250="","", "L"&amp;TEXT(ROW()-1,"0000"))</f>
        <v/>
      </c>
      <c r="G250" s="8" t="n"/>
      <c r="I250" s="10" t="n"/>
      <c r="J250" s="8" t="n"/>
      <c r="K250" s="6" t="n"/>
      <c r="M250" s="6">
        <f>IF($K250="","",$K250+7)</f>
        <v/>
      </c>
      <c r="N250" s="8">
        <f>IF($O250="","", ROUND($O250/$L250,2))</f>
        <v/>
      </c>
      <c r="O250" s="8">
        <f>IF($G250="","", $G250*(1+$I250) + IF($J250="",0,$J250))</f>
        <v/>
      </c>
      <c r="P250" s="8">
        <f>IF($A250="","", $O250 - SUMIFS(Repayment_Ledger!$E$2:$E$801,Repayment_Ledger!$A$2:$A$801, $A250))</f>
        <v/>
      </c>
      <c r="Q250" s="6">
        <f>IF($P250&lt;=0,"", MINIFS(Repayment_Ledger!$C$2:$C$801, Repayment_Ledger!$A$2:$A$801, $A250, Repayment_Ledger!$F$2:$F$801, "&lt;&gt;Paid"))</f>
        <v/>
      </c>
    </row>
    <row r="251">
      <c r="A251">
        <f>IF($B251="","", "L"&amp;TEXT(ROW()-1,"0000"))</f>
        <v/>
      </c>
      <c r="G251" s="8" t="n"/>
      <c r="I251" s="10" t="n"/>
      <c r="J251" s="8" t="n"/>
      <c r="K251" s="6" t="n"/>
      <c r="M251" s="6">
        <f>IF($K251="","",$K251+7)</f>
        <v/>
      </c>
      <c r="N251" s="8">
        <f>IF($O251="","", ROUND($O251/$L251,2))</f>
        <v/>
      </c>
      <c r="O251" s="8">
        <f>IF($G251="","", $G251*(1+$I251) + IF($J251="",0,$J251))</f>
        <v/>
      </c>
      <c r="P251" s="8">
        <f>IF($A251="","", $O251 - SUMIFS(Repayment_Ledger!$E$2:$E$801,Repayment_Ledger!$A$2:$A$801, $A251))</f>
        <v/>
      </c>
      <c r="Q251" s="6">
        <f>IF($P251&lt;=0,"", MINIFS(Repayment_Ledger!$C$2:$C$801, Repayment_Ledger!$A$2:$A$801, $A251, Repayment_Ledger!$F$2:$F$801, "&lt;&gt;Paid"))</f>
        <v/>
      </c>
    </row>
    <row r="252">
      <c r="A252">
        <f>IF($B252="","", "L"&amp;TEXT(ROW()-1,"0000"))</f>
        <v/>
      </c>
      <c r="G252" s="8" t="n"/>
      <c r="I252" s="10" t="n"/>
      <c r="J252" s="8" t="n"/>
      <c r="K252" s="6" t="n"/>
      <c r="M252" s="6">
        <f>IF($K252="","",$K252+7)</f>
        <v/>
      </c>
      <c r="N252" s="8">
        <f>IF($O252="","", ROUND($O252/$L252,2))</f>
        <v/>
      </c>
      <c r="O252" s="8">
        <f>IF($G252="","", $G252*(1+$I252) + IF($J252="",0,$J252))</f>
        <v/>
      </c>
      <c r="P252" s="8">
        <f>IF($A252="","", $O252 - SUMIFS(Repayment_Ledger!$E$2:$E$801,Repayment_Ledger!$A$2:$A$801, $A252))</f>
        <v/>
      </c>
      <c r="Q252" s="6">
        <f>IF($P252&lt;=0,"", MINIFS(Repayment_Ledger!$C$2:$C$801, Repayment_Ledger!$A$2:$A$801, $A252, Repayment_Ledger!$F$2:$F$801, "&lt;&gt;Paid"))</f>
        <v/>
      </c>
    </row>
    <row r="253">
      <c r="A253">
        <f>IF($B253="","", "L"&amp;TEXT(ROW()-1,"0000"))</f>
        <v/>
      </c>
      <c r="G253" s="8" t="n"/>
      <c r="I253" s="10" t="n"/>
      <c r="J253" s="8" t="n"/>
      <c r="K253" s="6" t="n"/>
      <c r="M253" s="6">
        <f>IF($K253="","",$K253+7)</f>
        <v/>
      </c>
      <c r="N253" s="8">
        <f>IF($O253="","", ROUND($O253/$L253,2))</f>
        <v/>
      </c>
      <c r="O253" s="8">
        <f>IF($G253="","", $G253*(1+$I253) + IF($J253="",0,$J253))</f>
        <v/>
      </c>
      <c r="P253" s="8">
        <f>IF($A253="","", $O253 - SUMIFS(Repayment_Ledger!$E$2:$E$801,Repayment_Ledger!$A$2:$A$801, $A253))</f>
        <v/>
      </c>
      <c r="Q253" s="6">
        <f>IF($P253&lt;=0,"", MINIFS(Repayment_Ledger!$C$2:$C$801, Repayment_Ledger!$A$2:$A$801, $A253, Repayment_Ledger!$F$2:$F$801, "&lt;&gt;Paid"))</f>
        <v/>
      </c>
    </row>
    <row r="254">
      <c r="A254">
        <f>IF($B254="","", "L"&amp;TEXT(ROW()-1,"0000"))</f>
        <v/>
      </c>
      <c r="G254" s="8" t="n"/>
      <c r="I254" s="10" t="n"/>
      <c r="J254" s="8" t="n"/>
      <c r="K254" s="6" t="n"/>
      <c r="M254" s="6">
        <f>IF($K254="","",$K254+7)</f>
        <v/>
      </c>
      <c r="N254" s="8">
        <f>IF($O254="","", ROUND($O254/$L254,2))</f>
        <v/>
      </c>
      <c r="O254" s="8">
        <f>IF($G254="","", $G254*(1+$I254) + IF($J254="",0,$J254))</f>
        <v/>
      </c>
      <c r="P254" s="8">
        <f>IF($A254="","", $O254 - SUMIFS(Repayment_Ledger!$E$2:$E$801,Repayment_Ledger!$A$2:$A$801, $A254))</f>
        <v/>
      </c>
      <c r="Q254" s="6">
        <f>IF($P254&lt;=0,"", MINIFS(Repayment_Ledger!$C$2:$C$801, Repayment_Ledger!$A$2:$A$801, $A254, Repayment_Ledger!$F$2:$F$801, "&lt;&gt;Paid"))</f>
        <v/>
      </c>
    </row>
    <row r="255">
      <c r="A255">
        <f>IF($B255="","", "L"&amp;TEXT(ROW()-1,"0000"))</f>
        <v/>
      </c>
      <c r="G255" s="8" t="n"/>
      <c r="I255" s="10" t="n"/>
      <c r="J255" s="8" t="n"/>
      <c r="K255" s="6" t="n"/>
      <c r="M255" s="6">
        <f>IF($K255="","",$K255+7)</f>
        <v/>
      </c>
      <c r="N255" s="8">
        <f>IF($O255="","", ROUND($O255/$L255,2))</f>
        <v/>
      </c>
      <c r="O255" s="8">
        <f>IF($G255="","", $G255*(1+$I255) + IF($J255="",0,$J255))</f>
        <v/>
      </c>
      <c r="P255" s="8">
        <f>IF($A255="","", $O255 - SUMIFS(Repayment_Ledger!$E$2:$E$801,Repayment_Ledger!$A$2:$A$801, $A255))</f>
        <v/>
      </c>
      <c r="Q255" s="6">
        <f>IF($P255&lt;=0,"", MINIFS(Repayment_Ledger!$C$2:$C$801, Repayment_Ledger!$A$2:$A$801, $A255, Repayment_Ledger!$F$2:$F$801, "&lt;&gt;Paid"))</f>
        <v/>
      </c>
    </row>
    <row r="256">
      <c r="A256">
        <f>IF($B256="","", "L"&amp;TEXT(ROW()-1,"0000"))</f>
        <v/>
      </c>
      <c r="G256" s="8" t="n"/>
      <c r="I256" s="10" t="n"/>
      <c r="J256" s="8" t="n"/>
      <c r="K256" s="6" t="n"/>
      <c r="M256" s="6">
        <f>IF($K256="","",$K256+7)</f>
        <v/>
      </c>
      <c r="N256" s="8">
        <f>IF($O256="","", ROUND($O256/$L256,2))</f>
        <v/>
      </c>
      <c r="O256" s="8">
        <f>IF($G256="","", $G256*(1+$I256) + IF($J256="",0,$J256))</f>
        <v/>
      </c>
      <c r="P256" s="8">
        <f>IF($A256="","", $O256 - SUMIFS(Repayment_Ledger!$E$2:$E$801,Repayment_Ledger!$A$2:$A$801, $A256))</f>
        <v/>
      </c>
      <c r="Q256" s="6">
        <f>IF($P256&lt;=0,"", MINIFS(Repayment_Ledger!$C$2:$C$801, Repayment_Ledger!$A$2:$A$801, $A256, Repayment_Ledger!$F$2:$F$801, "&lt;&gt;Paid"))</f>
        <v/>
      </c>
    </row>
    <row r="257">
      <c r="A257">
        <f>IF($B257="","", "L"&amp;TEXT(ROW()-1,"0000"))</f>
        <v/>
      </c>
      <c r="G257" s="8" t="n"/>
      <c r="I257" s="10" t="n"/>
      <c r="J257" s="8" t="n"/>
      <c r="K257" s="6" t="n"/>
      <c r="M257" s="6">
        <f>IF($K257="","",$K257+7)</f>
        <v/>
      </c>
      <c r="N257" s="8">
        <f>IF($O257="","", ROUND($O257/$L257,2))</f>
        <v/>
      </c>
      <c r="O257" s="8">
        <f>IF($G257="","", $G257*(1+$I257) + IF($J257="",0,$J257))</f>
        <v/>
      </c>
      <c r="P257" s="8">
        <f>IF($A257="","", $O257 - SUMIFS(Repayment_Ledger!$E$2:$E$801,Repayment_Ledger!$A$2:$A$801, $A257))</f>
        <v/>
      </c>
      <c r="Q257" s="6">
        <f>IF($P257&lt;=0,"", MINIFS(Repayment_Ledger!$C$2:$C$801, Repayment_Ledger!$A$2:$A$801, $A257, Repayment_Ledger!$F$2:$F$801, "&lt;&gt;Paid"))</f>
        <v/>
      </c>
    </row>
    <row r="258">
      <c r="A258">
        <f>IF($B258="","", "L"&amp;TEXT(ROW()-1,"0000"))</f>
        <v/>
      </c>
      <c r="G258" s="8" t="n"/>
      <c r="I258" s="10" t="n"/>
      <c r="J258" s="8" t="n"/>
      <c r="K258" s="6" t="n"/>
      <c r="M258" s="6">
        <f>IF($K258="","",$K258+7)</f>
        <v/>
      </c>
      <c r="N258" s="8">
        <f>IF($O258="","", ROUND($O258/$L258,2))</f>
        <v/>
      </c>
      <c r="O258" s="8">
        <f>IF($G258="","", $G258*(1+$I258) + IF($J258="",0,$J258))</f>
        <v/>
      </c>
      <c r="P258" s="8">
        <f>IF($A258="","", $O258 - SUMIFS(Repayment_Ledger!$E$2:$E$801,Repayment_Ledger!$A$2:$A$801, $A258))</f>
        <v/>
      </c>
      <c r="Q258" s="6">
        <f>IF($P258&lt;=0,"", MINIFS(Repayment_Ledger!$C$2:$C$801, Repayment_Ledger!$A$2:$A$801, $A258, Repayment_Ledger!$F$2:$F$801, "&lt;&gt;Paid"))</f>
        <v/>
      </c>
    </row>
    <row r="259">
      <c r="A259">
        <f>IF($B259="","", "L"&amp;TEXT(ROW()-1,"0000"))</f>
        <v/>
      </c>
      <c r="G259" s="8" t="n"/>
      <c r="I259" s="10" t="n"/>
      <c r="J259" s="8" t="n"/>
      <c r="K259" s="6" t="n"/>
      <c r="M259" s="6">
        <f>IF($K259="","",$K259+7)</f>
        <v/>
      </c>
      <c r="N259" s="8">
        <f>IF($O259="","", ROUND($O259/$L259,2))</f>
        <v/>
      </c>
      <c r="O259" s="8">
        <f>IF($G259="","", $G259*(1+$I259) + IF($J259="",0,$J259))</f>
        <v/>
      </c>
      <c r="P259" s="8">
        <f>IF($A259="","", $O259 - SUMIFS(Repayment_Ledger!$E$2:$E$801,Repayment_Ledger!$A$2:$A$801, $A259))</f>
        <v/>
      </c>
      <c r="Q259" s="6">
        <f>IF($P259&lt;=0,"", MINIFS(Repayment_Ledger!$C$2:$C$801, Repayment_Ledger!$A$2:$A$801, $A259, Repayment_Ledger!$F$2:$F$801, "&lt;&gt;Paid"))</f>
        <v/>
      </c>
    </row>
    <row r="260">
      <c r="A260">
        <f>IF($B260="","", "L"&amp;TEXT(ROW()-1,"0000"))</f>
        <v/>
      </c>
      <c r="G260" s="8" t="n"/>
      <c r="I260" s="10" t="n"/>
      <c r="J260" s="8" t="n"/>
      <c r="K260" s="6" t="n"/>
      <c r="M260" s="6">
        <f>IF($K260="","",$K260+7)</f>
        <v/>
      </c>
      <c r="N260" s="8">
        <f>IF($O260="","", ROUND($O260/$L260,2))</f>
        <v/>
      </c>
      <c r="O260" s="8">
        <f>IF($G260="","", $G260*(1+$I260) + IF($J260="",0,$J260))</f>
        <v/>
      </c>
      <c r="P260" s="8">
        <f>IF($A260="","", $O260 - SUMIFS(Repayment_Ledger!$E$2:$E$801,Repayment_Ledger!$A$2:$A$801, $A260))</f>
        <v/>
      </c>
      <c r="Q260" s="6">
        <f>IF($P260&lt;=0,"", MINIFS(Repayment_Ledger!$C$2:$C$801, Repayment_Ledger!$A$2:$A$801, $A260, Repayment_Ledger!$F$2:$F$801, "&lt;&gt;Paid"))</f>
        <v/>
      </c>
    </row>
    <row r="261">
      <c r="A261">
        <f>IF($B261="","", "L"&amp;TEXT(ROW()-1,"0000"))</f>
        <v/>
      </c>
      <c r="G261" s="8" t="n"/>
      <c r="I261" s="10" t="n"/>
      <c r="J261" s="8" t="n"/>
      <c r="K261" s="6" t="n"/>
      <c r="M261" s="6">
        <f>IF($K261="","",$K261+7)</f>
        <v/>
      </c>
      <c r="N261" s="8">
        <f>IF($O261="","", ROUND($O261/$L261,2))</f>
        <v/>
      </c>
      <c r="O261" s="8">
        <f>IF($G261="","", $G261*(1+$I261) + IF($J261="",0,$J261))</f>
        <v/>
      </c>
      <c r="P261" s="8">
        <f>IF($A261="","", $O261 - SUMIFS(Repayment_Ledger!$E$2:$E$801,Repayment_Ledger!$A$2:$A$801, $A261))</f>
        <v/>
      </c>
      <c r="Q261" s="6">
        <f>IF($P261&lt;=0,"", MINIFS(Repayment_Ledger!$C$2:$C$801, Repayment_Ledger!$A$2:$A$801, $A261, Repayment_Ledger!$F$2:$F$801, "&lt;&gt;Paid"))</f>
        <v/>
      </c>
    </row>
    <row r="262">
      <c r="A262">
        <f>IF($B262="","", "L"&amp;TEXT(ROW()-1,"0000"))</f>
        <v/>
      </c>
      <c r="G262" s="8" t="n"/>
      <c r="I262" s="10" t="n"/>
      <c r="J262" s="8" t="n"/>
      <c r="K262" s="6" t="n"/>
      <c r="M262" s="6">
        <f>IF($K262="","",$K262+7)</f>
        <v/>
      </c>
      <c r="N262" s="8">
        <f>IF($O262="","", ROUND($O262/$L262,2))</f>
        <v/>
      </c>
      <c r="O262" s="8">
        <f>IF($G262="","", $G262*(1+$I262) + IF($J262="",0,$J262))</f>
        <v/>
      </c>
      <c r="P262" s="8">
        <f>IF($A262="","", $O262 - SUMIFS(Repayment_Ledger!$E$2:$E$801,Repayment_Ledger!$A$2:$A$801, $A262))</f>
        <v/>
      </c>
      <c r="Q262" s="6">
        <f>IF($P262&lt;=0,"", MINIFS(Repayment_Ledger!$C$2:$C$801, Repayment_Ledger!$A$2:$A$801, $A262, Repayment_Ledger!$F$2:$F$801, "&lt;&gt;Paid"))</f>
        <v/>
      </c>
    </row>
    <row r="263">
      <c r="A263">
        <f>IF($B263="","", "L"&amp;TEXT(ROW()-1,"0000"))</f>
        <v/>
      </c>
      <c r="G263" s="8" t="n"/>
      <c r="I263" s="10" t="n"/>
      <c r="J263" s="8" t="n"/>
      <c r="K263" s="6" t="n"/>
      <c r="M263" s="6">
        <f>IF($K263="","",$K263+7)</f>
        <v/>
      </c>
      <c r="N263" s="8">
        <f>IF($O263="","", ROUND($O263/$L263,2))</f>
        <v/>
      </c>
      <c r="O263" s="8">
        <f>IF($G263="","", $G263*(1+$I263) + IF($J263="",0,$J263))</f>
        <v/>
      </c>
      <c r="P263" s="8">
        <f>IF($A263="","", $O263 - SUMIFS(Repayment_Ledger!$E$2:$E$801,Repayment_Ledger!$A$2:$A$801, $A263))</f>
        <v/>
      </c>
      <c r="Q263" s="6">
        <f>IF($P263&lt;=0,"", MINIFS(Repayment_Ledger!$C$2:$C$801, Repayment_Ledger!$A$2:$A$801, $A263, Repayment_Ledger!$F$2:$F$801, "&lt;&gt;Paid"))</f>
        <v/>
      </c>
    </row>
    <row r="264">
      <c r="A264">
        <f>IF($B264="","", "L"&amp;TEXT(ROW()-1,"0000"))</f>
        <v/>
      </c>
      <c r="G264" s="8" t="n"/>
      <c r="I264" s="10" t="n"/>
      <c r="J264" s="8" t="n"/>
      <c r="K264" s="6" t="n"/>
      <c r="M264" s="6">
        <f>IF($K264="","",$K264+7)</f>
        <v/>
      </c>
      <c r="N264" s="8">
        <f>IF($O264="","", ROUND($O264/$L264,2))</f>
        <v/>
      </c>
      <c r="O264" s="8">
        <f>IF($G264="","", $G264*(1+$I264) + IF($J264="",0,$J264))</f>
        <v/>
      </c>
      <c r="P264" s="8">
        <f>IF($A264="","", $O264 - SUMIFS(Repayment_Ledger!$E$2:$E$801,Repayment_Ledger!$A$2:$A$801, $A264))</f>
        <v/>
      </c>
      <c r="Q264" s="6">
        <f>IF($P264&lt;=0,"", MINIFS(Repayment_Ledger!$C$2:$C$801, Repayment_Ledger!$A$2:$A$801, $A264, Repayment_Ledger!$F$2:$F$801, "&lt;&gt;Paid"))</f>
        <v/>
      </c>
    </row>
    <row r="265">
      <c r="A265">
        <f>IF($B265="","", "L"&amp;TEXT(ROW()-1,"0000"))</f>
        <v/>
      </c>
      <c r="G265" s="8" t="n"/>
      <c r="I265" s="10" t="n"/>
      <c r="J265" s="8" t="n"/>
      <c r="K265" s="6" t="n"/>
      <c r="M265" s="6">
        <f>IF($K265="","",$K265+7)</f>
        <v/>
      </c>
      <c r="N265" s="8">
        <f>IF($O265="","", ROUND($O265/$L265,2))</f>
        <v/>
      </c>
      <c r="O265" s="8">
        <f>IF($G265="","", $G265*(1+$I265) + IF($J265="",0,$J265))</f>
        <v/>
      </c>
      <c r="P265" s="8">
        <f>IF($A265="","", $O265 - SUMIFS(Repayment_Ledger!$E$2:$E$801,Repayment_Ledger!$A$2:$A$801, $A265))</f>
        <v/>
      </c>
      <c r="Q265" s="6">
        <f>IF($P265&lt;=0,"", MINIFS(Repayment_Ledger!$C$2:$C$801, Repayment_Ledger!$A$2:$A$801, $A265, Repayment_Ledger!$F$2:$F$801, "&lt;&gt;Paid"))</f>
        <v/>
      </c>
    </row>
    <row r="266">
      <c r="A266">
        <f>IF($B266="","", "L"&amp;TEXT(ROW()-1,"0000"))</f>
        <v/>
      </c>
      <c r="G266" s="8" t="n"/>
      <c r="I266" s="10" t="n"/>
      <c r="J266" s="8" t="n"/>
      <c r="K266" s="6" t="n"/>
      <c r="M266" s="6">
        <f>IF($K266="","",$K266+7)</f>
        <v/>
      </c>
      <c r="N266" s="8">
        <f>IF($O266="","", ROUND($O266/$L266,2))</f>
        <v/>
      </c>
      <c r="O266" s="8">
        <f>IF($G266="","", $G266*(1+$I266) + IF($J266="",0,$J266))</f>
        <v/>
      </c>
      <c r="P266" s="8">
        <f>IF($A266="","", $O266 - SUMIFS(Repayment_Ledger!$E$2:$E$801,Repayment_Ledger!$A$2:$A$801, $A266))</f>
        <v/>
      </c>
      <c r="Q266" s="6">
        <f>IF($P266&lt;=0,"", MINIFS(Repayment_Ledger!$C$2:$C$801, Repayment_Ledger!$A$2:$A$801, $A266, Repayment_Ledger!$F$2:$F$801, "&lt;&gt;Paid"))</f>
        <v/>
      </c>
    </row>
    <row r="267">
      <c r="A267">
        <f>IF($B267="","", "L"&amp;TEXT(ROW()-1,"0000"))</f>
        <v/>
      </c>
      <c r="G267" s="8" t="n"/>
      <c r="I267" s="10" t="n"/>
      <c r="J267" s="8" t="n"/>
      <c r="K267" s="6" t="n"/>
      <c r="M267" s="6">
        <f>IF($K267="","",$K267+7)</f>
        <v/>
      </c>
      <c r="N267" s="8">
        <f>IF($O267="","", ROUND($O267/$L267,2))</f>
        <v/>
      </c>
      <c r="O267" s="8">
        <f>IF($G267="","", $G267*(1+$I267) + IF($J267="",0,$J267))</f>
        <v/>
      </c>
      <c r="P267" s="8">
        <f>IF($A267="","", $O267 - SUMIFS(Repayment_Ledger!$E$2:$E$801,Repayment_Ledger!$A$2:$A$801, $A267))</f>
        <v/>
      </c>
      <c r="Q267" s="6">
        <f>IF($P267&lt;=0,"", MINIFS(Repayment_Ledger!$C$2:$C$801, Repayment_Ledger!$A$2:$A$801, $A267, Repayment_Ledger!$F$2:$F$801, "&lt;&gt;Paid"))</f>
        <v/>
      </c>
    </row>
    <row r="268">
      <c r="A268">
        <f>IF($B268="","", "L"&amp;TEXT(ROW()-1,"0000"))</f>
        <v/>
      </c>
      <c r="G268" s="8" t="n"/>
      <c r="I268" s="10" t="n"/>
      <c r="J268" s="8" t="n"/>
      <c r="K268" s="6" t="n"/>
      <c r="M268" s="6">
        <f>IF($K268="","",$K268+7)</f>
        <v/>
      </c>
      <c r="N268" s="8">
        <f>IF($O268="","", ROUND($O268/$L268,2))</f>
        <v/>
      </c>
      <c r="O268" s="8">
        <f>IF($G268="","", $G268*(1+$I268) + IF($J268="",0,$J268))</f>
        <v/>
      </c>
      <c r="P268" s="8">
        <f>IF($A268="","", $O268 - SUMIFS(Repayment_Ledger!$E$2:$E$801,Repayment_Ledger!$A$2:$A$801, $A268))</f>
        <v/>
      </c>
      <c r="Q268" s="6">
        <f>IF($P268&lt;=0,"", MINIFS(Repayment_Ledger!$C$2:$C$801, Repayment_Ledger!$A$2:$A$801, $A268, Repayment_Ledger!$F$2:$F$801, "&lt;&gt;Paid"))</f>
        <v/>
      </c>
    </row>
    <row r="269">
      <c r="A269">
        <f>IF($B269="","", "L"&amp;TEXT(ROW()-1,"0000"))</f>
        <v/>
      </c>
      <c r="G269" s="8" t="n"/>
      <c r="I269" s="10" t="n"/>
      <c r="J269" s="8" t="n"/>
      <c r="K269" s="6" t="n"/>
      <c r="M269" s="6">
        <f>IF($K269="","",$K269+7)</f>
        <v/>
      </c>
      <c r="N269" s="8">
        <f>IF($O269="","", ROUND($O269/$L269,2))</f>
        <v/>
      </c>
      <c r="O269" s="8">
        <f>IF($G269="","", $G269*(1+$I269) + IF($J269="",0,$J269))</f>
        <v/>
      </c>
      <c r="P269" s="8">
        <f>IF($A269="","", $O269 - SUMIFS(Repayment_Ledger!$E$2:$E$801,Repayment_Ledger!$A$2:$A$801, $A269))</f>
        <v/>
      </c>
      <c r="Q269" s="6">
        <f>IF($P269&lt;=0,"", MINIFS(Repayment_Ledger!$C$2:$C$801, Repayment_Ledger!$A$2:$A$801, $A269, Repayment_Ledger!$F$2:$F$801, "&lt;&gt;Paid"))</f>
        <v/>
      </c>
    </row>
    <row r="270">
      <c r="A270">
        <f>IF($B270="","", "L"&amp;TEXT(ROW()-1,"0000"))</f>
        <v/>
      </c>
      <c r="G270" s="8" t="n"/>
      <c r="I270" s="10" t="n"/>
      <c r="J270" s="8" t="n"/>
      <c r="K270" s="6" t="n"/>
      <c r="M270" s="6">
        <f>IF($K270="","",$K270+7)</f>
        <v/>
      </c>
      <c r="N270" s="8">
        <f>IF($O270="","", ROUND($O270/$L270,2))</f>
        <v/>
      </c>
      <c r="O270" s="8">
        <f>IF($G270="","", $G270*(1+$I270) + IF($J270="",0,$J270))</f>
        <v/>
      </c>
      <c r="P270" s="8">
        <f>IF($A270="","", $O270 - SUMIFS(Repayment_Ledger!$E$2:$E$801,Repayment_Ledger!$A$2:$A$801, $A270))</f>
        <v/>
      </c>
      <c r="Q270" s="6">
        <f>IF($P270&lt;=0,"", MINIFS(Repayment_Ledger!$C$2:$C$801, Repayment_Ledger!$A$2:$A$801, $A270, Repayment_Ledger!$F$2:$F$801, "&lt;&gt;Paid"))</f>
        <v/>
      </c>
    </row>
    <row r="271">
      <c r="A271">
        <f>IF($B271="","", "L"&amp;TEXT(ROW()-1,"0000"))</f>
        <v/>
      </c>
      <c r="G271" s="8" t="n"/>
      <c r="I271" s="10" t="n"/>
      <c r="J271" s="8" t="n"/>
      <c r="K271" s="6" t="n"/>
      <c r="M271" s="6">
        <f>IF($K271="","",$K271+7)</f>
        <v/>
      </c>
      <c r="N271" s="8">
        <f>IF($O271="","", ROUND($O271/$L271,2))</f>
        <v/>
      </c>
      <c r="O271" s="8">
        <f>IF($G271="","", $G271*(1+$I271) + IF($J271="",0,$J271))</f>
        <v/>
      </c>
      <c r="P271" s="8">
        <f>IF($A271="","", $O271 - SUMIFS(Repayment_Ledger!$E$2:$E$801,Repayment_Ledger!$A$2:$A$801, $A271))</f>
        <v/>
      </c>
      <c r="Q271" s="6">
        <f>IF($P271&lt;=0,"", MINIFS(Repayment_Ledger!$C$2:$C$801, Repayment_Ledger!$A$2:$A$801, $A271, Repayment_Ledger!$F$2:$F$801, "&lt;&gt;Paid"))</f>
        <v/>
      </c>
    </row>
    <row r="272">
      <c r="A272">
        <f>IF($B272="","", "L"&amp;TEXT(ROW()-1,"0000"))</f>
        <v/>
      </c>
      <c r="G272" s="8" t="n"/>
      <c r="I272" s="10" t="n"/>
      <c r="J272" s="8" t="n"/>
      <c r="K272" s="6" t="n"/>
      <c r="M272" s="6">
        <f>IF($K272="","",$K272+7)</f>
        <v/>
      </c>
      <c r="N272" s="8">
        <f>IF($O272="","", ROUND($O272/$L272,2))</f>
        <v/>
      </c>
      <c r="O272" s="8">
        <f>IF($G272="","", $G272*(1+$I272) + IF($J272="",0,$J272))</f>
        <v/>
      </c>
      <c r="P272" s="8">
        <f>IF($A272="","", $O272 - SUMIFS(Repayment_Ledger!$E$2:$E$801,Repayment_Ledger!$A$2:$A$801, $A272))</f>
        <v/>
      </c>
      <c r="Q272" s="6">
        <f>IF($P272&lt;=0,"", MINIFS(Repayment_Ledger!$C$2:$C$801, Repayment_Ledger!$A$2:$A$801, $A272, Repayment_Ledger!$F$2:$F$801, "&lt;&gt;Paid"))</f>
        <v/>
      </c>
    </row>
    <row r="273">
      <c r="A273">
        <f>IF($B273="","", "L"&amp;TEXT(ROW()-1,"0000"))</f>
        <v/>
      </c>
      <c r="G273" s="8" t="n"/>
      <c r="I273" s="10" t="n"/>
      <c r="J273" s="8" t="n"/>
      <c r="K273" s="6" t="n"/>
      <c r="M273" s="6">
        <f>IF($K273="","",$K273+7)</f>
        <v/>
      </c>
      <c r="N273" s="8">
        <f>IF($O273="","", ROUND($O273/$L273,2))</f>
        <v/>
      </c>
      <c r="O273" s="8">
        <f>IF($G273="","", $G273*(1+$I273) + IF($J273="",0,$J273))</f>
        <v/>
      </c>
      <c r="P273" s="8">
        <f>IF($A273="","", $O273 - SUMIFS(Repayment_Ledger!$E$2:$E$801,Repayment_Ledger!$A$2:$A$801, $A273))</f>
        <v/>
      </c>
      <c r="Q273" s="6">
        <f>IF($P273&lt;=0,"", MINIFS(Repayment_Ledger!$C$2:$C$801, Repayment_Ledger!$A$2:$A$801, $A273, Repayment_Ledger!$F$2:$F$801, "&lt;&gt;Paid"))</f>
        <v/>
      </c>
    </row>
    <row r="274">
      <c r="A274">
        <f>IF($B274="","", "L"&amp;TEXT(ROW()-1,"0000"))</f>
        <v/>
      </c>
      <c r="G274" s="8" t="n"/>
      <c r="I274" s="10" t="n"/>
      <c r="J274" s="8" t="n"/>
      <c r="K274" s="6" t="n"/>
      <c r="M274" s="6">
        <f>IF($K274="","",$K274+7)</f>
        <v/>
      </c>
      <c r="N274" s="8">
        <f>IF($O274="","", ROUND($O274/$L274,2))</f>
        <v/>
      </c>
      <c r="O274" s="8">
        <f>IF($G274="","", $G274*(1+$I274) + IF($J274="",0,$J274))</f>
        <v/>
      </c>
      <c r="P274" s="8">
        <f>IF($A274="","", $O274 - SUMIFS(Repayment_Ledger!$E$2:$E$801,Repayment_Ledger!$A$2:$A$801, $A274))</f>
        <v/>
      </c>
      <c r="Q274" s="6">
        <f>IF($P274&lt;=0,"", MINIFS(Repayment_Ledger!$C$2:$C$801, Repayment_Ledger!$A$2:$A$801, $A274, Repayment_Ledger!$F$2:$F$801, "&lt;&gt;Paid"))</f>
        <v/>
      </c>
    </row>
    <row r="275">
      <c r="A275">
        <f>IF($B275="","", "L"&amp;TEXT(ROW()-1,"0000"))</f>
        <v/>
      </c>
      <c r="G275" s="8" t="n"/>
      <c r="I275" s="10" t="n"/>
      <c r="J275" s="8" t="n"/>
      <c r="K275" s="6" t="n"/>
      <c r="M275" s="6">
        <f>IF($K275="","",$K275+7)</f>
        <v/>
      </c>
      <c r="N275" s="8">
        <f>IF($O275="","", ROUND($O275/$L275,2))</f>
        <v/>
      </c>
      <c r="O275" s="8">
        <f>IF($G275="","", $G275*(1+$I275) + IF($J275="",0,$J275))</f>
        <v/>
      </c>
      <c r="P275" s="8">
        <f>IF($A275="","", $O275 - SUMIFS(Repayment_Ledger!$E$2:$E$801,Repayment_Ledger!$A$2:$A$801, $A275))</f>
        <v/>
      </c>
      <c r="Q275" s="6">
        <f>IF($P275&lt;=0,"", MINIFS(Repayment_Ledger!$C$2:$C$801, Repayment_Ledger!$A$2:$A$801, $A275, Repayment_Ledger!$F$2:$F$801, "&lt;&gt;Paid"))</f>
        <v/>
      </c>
    </row>
    <row r="276">
      <c r="A276">
        <f>IF($B276="","", "L"&amp;TEXT(ROW()-1,"0000"))</f>
        <v/>
      </c>
      <c r="G276" s="8" t="n"/>
      <c r="I276" s="10" t="n"/>
      <c r="J276" s="8" t="n"/>
      <c r="K276" s="6" t="n"/>
      <c r="M276" s="6">
        <f>IF($K276="","",$K276+7)</f>
        <v/>
      </c>
      <c r="N276" s="8">
        <f>IF($O276="","", ROUND($O276/$L276,2))</f>
        <v/>
      </c>
      <c r="O276" s="8">
        <f>IF($G276="","", $G276*(1+$I276) + IF($J276="",0,$J276))</f>
        <v/>
      </c>
      <c r="P276" s="8">
        <f>IF($A276="","", $O276 - SUMIFS(Repayment_Ledger!$E$2:$E$801,Repayment_Ledger!$A$2:$A$801, $A276))</f>
        <v/>
      </c>
      <c r="Q276" s="6">
        <f>IF($P276&lt;=0,"", MINIFS(Repayment_Ledger!$C$2:$C$801, Repayment_Ledger!$A$2:$A$801, $A276, Repayment_Ledger!$F$2:$F$801, "&lt;&gt;Paid"))</f>
        <v/>
      </c>
    </row>
    <row r="277">
      <c r="A277">
        <f>IF($B277="","", "L"&amp;TEXT(ROW()-1,"0000"))</f>
        <v/>
      </c>
      <c r="G277" s="8" t="n"/>
      <c r="I277" s="10" t="n"/>
      <c r="J277" s="8" t="n"/>
      <c r="K277" s="6" t="n"/>
      <c r="M277" s="6">
        <f>IF($K277="","",$K277+7)</f>
        <v/>
      </c>
      <c r="N277" s="8">
        <f>IF($O277="","", ROUND($O277/$L277,2))</f>
        <v/>
      </c>
      <c r="O277" s="8">
        <f>IF($G277="","", $G277*(1+$I277) + IF($J277="",0,$J277))</f>
        <v/>
      </c>
      <c r="P277" s="8">
        <f>IF($A277="","", $O277 - SUMIFS(Repayment_Ledger!$E$2:$E$801,Repayment_Ledger!$A$2:$A$801, $A277))</f>
        <v/>
      </c>
      <c r="Q277" s="6">
        <f>IF($P277&lt;=0,"", MINIFS(Repayment_Ledger!$C$2:$C$801, Repayment_Ledger!$A$2:$A$801, $A277, Repayment_Ledger!$F$2:$F$801, "&lt;&gt;Paid"))</f>
        <v/>
      </c>
    </row>
    <row r="278">
      <c r="A278">
        <f>IF($B278="","", "L"&amp;TEXT(ROW()-1,"0000"))</f>
        <v/>
      </c>
      <c r="G278" s="8" t="n"/>
      <c r="I278" s="10" t="n"/>
      <c r="J278" s="8" t="n"/>
      <c r="K278" s="6" t="n"/>
      <c r="M278" s="6">
        <f>IF($K278="","",$K278+7)</f>
        <v/>
      </c>
      <c r="N278" s="8">
        <f>IF($O278="","", ROUND($O278/$L278,2))</f>
        <v/>
      </c>
      <c r="O278" s="8">
        <f>IF($G278="","", $G278*(1+$I278) + IF($J278="",0,$J278))</f>
        <v/>
      </c>
      <c r="P278" s="8">
        <f>IF($A278="","", $O278 - SUMIFS(Repayment_Ledger!$E$2:$E$801,Repayment_Ledger!$A$2:$A$801, $A278))</f>
        <v/>
      </c>
      <c r="Q278" s="6">
        <f>IF($P278&lt;=0,"", MINIFS(Repayment_Ledger!$C$2:$C$801, Repayment_Ledger!$A$2:$A$801, $A278, Repayment_Ledger!$F$2:$F$801, "&lt;&gt;Paid"))</f>
        <v/>
      </c>
    </row>
    <row r="279">
      <c r="A279">
        <f>IF($B279="","", "L"&amp;TEXT(ROW()-1,"0000"))</f>
        <v/>
      </c>
      <c r="G279" s="8" t="n"/>
      <c r="I279" s="10" t="n"/>
      <c r="J279" s="8" t="n"/>
      <c r="K279" s="6" t="n"/>
      <c r="M279" s="6">
        <f>IF($K279="","",$K279+7)</f>
        <v/>
      </c>
      <c r="N279" s="8">
        <f>IF($O279="","", ROUND($O279/$L279,2))</f>
        <v/>
      </c>
      <c r="O279" s="8">
        <f>IF($G279="","", $G279*(1+$I279) + IF($J279="",0,$J279))</f>
        <v/>
      </c>
      <c r="P279" s="8">
        <f>IF($A279="","", $O279 - SUMIFS(Repayment_Ledger!$E$2:$E$801,Repayment_Ledger!$A$2:$A$801, $A279))</f>
        <v/>
      </c>
      <c r="Q279" s="6">
        <f>IF($P279&lt;=0,"", MINIFS(Repayment_Ledger!$C$2:$C$801, Repayment_Ledger!$A$2:$A$801, $A279, Repayment_Ledger!$F$2:$F$801, "&lt;&gt;Paid"))</f>
        <v/>
      </c>
    </row>
    <row r="280">
      <c r="A280">
        <f>IF($B280="","", "L"&amp;TEXT(ROW()-1,"0000"))</f>
        <v/>
      </c>
      <c r="G280" s="8" t="n"/>
      <c r="I280" s="10" t="n"/>
      <c r="J280" s="8" t="n"/>
      <c r="K280" s="6" t="n"/>
      <c r="M280" s="6">
        <f>IF($K280="","",$K280+7)</f>
        <v/>
      </c>
      <c r="N280" s="8">
        <f>IF($O280="","", ROUND($O280/$L280,2))</f>
        <v/>
      </c>
      <c r="O280" s="8">
        <f>IF($G280="","", $G280*(1+$I280) + IF($J280="",0,$J280))</f>
        <v/>
      </c>
      <c r="P280" s="8">
        <f>IF($A280="","", $O280 - SUMIFS(Repayment_Ledger!$E$2:$E$801,Repayment_Ledger!$A$2:$A$801, $A280))</f>
        <v/>
      </c>
      <c r="Q280" s="6">
        <f>IF($P280&lt;=0,"", MINIFS(Repayment_Ledger!$C$2:$C$801, Repayment_Ledger!$A$2:$A$801, $A280, Repayment_Ledger!$F$2:$F$801, "&lt;&gt;Paid"))</f>
        <v/>
      </c>
    </row>
    <row r="281">
      <c r="A281">
        <f>IF($B281="","", "L"&amp;TEXT(ROW()-1,"0000"))</f>
        <v/>
      </c>
      <c r="G281" s="8" t="n"/>
      <c r="I281" s="10" t="n"/>
      <c r="J281" s="8" t="n"/>
      <c r="K281" s="6" t="n"/>
      <c r="M281" s="6">
        <f>IF($K281="","",$K281+7)</f>
        <v/>
      </c>
      <c r="N281" s="8">
        <f>IF($O281="","", ROUND($O281/$L281,2))</f>
        <v/>
      </c>
      <c r="O281" s="8">
        <f>IF($G281="","", $G281*(1+$I281) + IF($J281="",0,$J281))</f>
        <v/>
      </c>
      <c r="P281" s="8">
        <f>IF($A281="","", $O281 - SUMIFS(Repayment_Ledger!$E$2:$E$801,Repayment_Ledger!$A$2:$A$801, $A281))</f>
        <v/>
      </c>
      <c r="Q281" s="6">
        <f>IF($P281&lt;=0,"", MINIFS(Repayment_Ledger!$C$2:$C$801, Repayment_Ledger!$A$2:$A$801, $A281, Repayment_Ledger!$F$2:$F$801, "&lt;&gt;Paid"))</f>
        <v/>
      </c>
    </row>
    <row r="282">
      <c r="A282">
        <f>IF($B282="","", "L"&amp;TEXT(ROW()-1,"0000"))</f>
        <v/>
      </c>
      <c r="G282" s="8" t="n"/>
      <c r="I282" s="10" t="n"/>
      <c r="J282" s="8" t="n"/>
      <c r="K282" s="6" t="n"/>
      <c r="M282" s="6">
        <f>IF($K282="","",$K282+7)</f>
        <v/>
      </c>
      <c r="N282" s="8">
        <f>IF($O282="","", ROUND($O282/$L282,2))</f>
        <v/>
      </c>
      <c r="O282" s="8">
        <f>IF($G282="","", $G282*(1+$I282) + IF($J282="",0,$J282))</f>
        <v/>
      </c>
      <c r="P282" s="8">
        <f>IF($A282="","", $O282 - SUMIFS(Repayment_Ledger!$E$2:$E$801,Repayment_Ledger!$A$2:$A$801, $A282))</f>
        <v/>
      </c>
      <c r="Q282" s="6">
        <f>IF($P282&lt;=0,"", MINIFS(Repayment_Ledger!$C$2:$C$801, Repayment_Ledger!$A$2:$A$801, $A282, Repayment_Ledger!$F$2:$F$801, "&lt;&gt;Paid"))</f>
        <v/>
      </c>
    </row>
    <row r="283">
      <c r="A283">
        <f>IF($B283="","", "L"&amp;TEXT(ROW()-1,"0000"))</f>
        <v/>
      </c>
      <c r="G283" s="8" t="n"/>
      <c r="I283" s="10" t="n"/>
      <c r="J283" s="8" t="n"/>
      <c r="K283" s="6" t="n"/>
      <c r="M283" s="6">
        <f>IF($K283="","",$K283+7)</f>
        <v/>
      </c>
      <c r="N283" s="8">
        <f>IF($O283="","", ROUND($O283/$L283,2))</f>
        <v/>
      </c>
      <c r="O283" s="8">
        <f>IF($G283="","", $G283*(1+$I283) + IF($J283="",0,$J283))</f>
        <v/>
      </c>
      <c r="P283" s="8">
        <f>IF($A283="","", $O283 - SUMIFS(Repayment_Ledger!$E$2:$E$801,Repayment_Ledger!$A$2:$A$801, $A283))</f>
        <v/>
      </c>
      <c r="Q283" s="6">
        <f>IF($P283&lt;=0,"", MINIFS(Repayment_Ledger!$C$2:$C$801, Repayment_Ledger!$A$2:$A$801, $A283, Repayment_Ledger!$F$2:$F$801, "&lt;&gt;Paid"))</f>
        <v/>
      </c>
    </row>
    <row r="284">
      <c r="A284">
        <f>IF($B284="","", "L"&amp;TEXT(ROW()-1,"0000"))</f>
        <v/>
      </c>
      <c r="G284" s="8" t="n"/>
      <c r="I284" s="10" t="n"/>
      <c r="J284" s="8" t="n"/>
      <c r="K284" s="6" t="n"/>
      <c r="M284" s="6">
        <f>IF($K284="","",$K284+7)</f>
        <v/>
      </c>
      <c r="N284" s="8">
        <f>IF($O284="","", ROUND($O284/$L284,2))</f>
        <v/>
      </c>
      <c r="O284" s="8">
        <f>IF($G284="","", $G284*(1+$I284) + IF($J284="",0,$J284))</f>
        <v/>
      </c>
      <c r="P284" s="8">
        <f>IF($A284="","", $O284 - SUMIFS(Repayment_Ledger!$E$2:$E$801,Repayment_Ledger!$A$2:$A$801, $A284))</f>
        <v/>
      </c>
      <c r="Q284" s="6">
        <f>IF($P284&lt;=0,"", MINIFS(Repayment_Ledger!$C$2:$C$801, Repayment_Ledger!$A$2:$A$801, $A284, Repayment_Ledger!$F$2:$F$801, "&lt;&gt;Paid"))</f>
        <v/>
      </c>
    </row>
    <row r="285">
      <c r="A285">
        <f>IF($B285="","", "L"&amp;TEXT(ROW()-1,"0000"))</f>
        <v/>
      </c>
      <c r="G285" s="8" t="n"/>
      <c r="I285" s="10" t="n"/>
      <c r="J285" s="8" t="n"/>
      <c r="K285" s="6" t="n"/>
      <c r="M285" s="6">
        <f>IF($K285="","",$K285+7)</f>
        <v/>
      </c>
      <c r="N285" s="8">
        <f>IF($O285="","", ROUND($O285/$L285,2))</f>
        <v/>
      </c>
      <c r="O285" s="8">
        <f>IF($G285="","", $G285*(1+$I285) + IF($J285="",0,$J285))</f>
        <v/>
      </c>
      <c r="P285" s="8">
        <f>IF($A285="","", $O285 - SUMIFS(Repayment_Ledger!$E$2:$E$801,Repayment_Ledger!$A$2:$A$801, $A285))</f>
        <v/>
      </c>
      <c r="Q285" s="6">
        <f>IF($P285&lt;=0,"", MINIFS(Repayment_Ledger!$C$2:$C$801, Repayment_Ledger!$A$2:$A$801, $A285, Repayment_Ledger!$F$2:$F$801, "&lt;&gt;Paid"))</f>
        <v/>
      </c>
    </row>
    <row r="286">
      <c r="A286">
        <f>IF($B286="","", "L"&amp;TEXT(ROW()-1,"0000"))</f>
        <v/>
      </c>
      <c r="G286" s="8" t="n"/>
      <c r="I286" s="10" t="n"/>
      <c r="J286" s="8" t="n"/>
      <c r="K286" s="6" t="n"/>
      <c r="M286" s="6">
        <f>IF($K286="","",$K286+7)</f>
        <v/>
      </c>
      <c r="N286" s="8">
        <f>IF($O286="","", ROUND($O286/$L286,2))</f>
        <v/>
      </c>
      <c r="O286" s="8">
        <f>IF($G286="","", $G286*(1+$I286) + IF($J286="",0,$J286))</f>
        <v/>
      </c>
      <c r="P286" s="8">
        <f>IF($A286="","", $O286 - SUMIFS(Repayment_Ledger!$E$2:$E$801,Repayment_Ledger!$A$2:$A$801, $A286))</f>
        <v/>
      </c>
      <c r="Q286" s="6">
        <f>IF($P286&lt;=0,"", MINIFS(Repayment_Ledger!$C$2:$C$801, Repayment_Ledger!$A$2:$A$801, $A286, Repayment_Ledger!$F$2:$F$801, "&lt;&gt;Paid"))</f>
        <v/>
      </c>
    </row>
    <row r="287">
      <c r="A287">
        <f>IF($B287="","", "L"&amp;TEXT(ROW()-1,"0000"))</f>
        <v/>
      </c>
      <c r="G287" s="8" t="n"/>
      <c r="I287" s="10" t="n"/>
      <c r="J287" s="8" t="n"/>
      <c r="K287" s="6" t="n"/>
      <c r="M287" s="6">
        <f>IF($K287="","",$K287+7)</f>
        <v/>
      </c>
      <c r="N287" s="8">
        <f>IF($O287="","", ROUND($O287/$L287,2))</f>
        <v/>
      </c>
      <c r="O287" s="8">
        <f>IF($G287="","", $G287*(1+$I287) + IF($J287="",0,$J287))</f>
        <v/>
      </c>
      <c r="P287" s="8">
        <f>IF($A287="","", $O287 - SUMIFS(Repayment_Ledger!$E$2:$E$801,Repayment_Ledger!$A$2:$A$801, $A287))</f>
        <v/>
      </c>
      <c r="Q287" s="6">
        <f>IF($P287&lt;=0,"", MINIFS(Repayment_Ledger!$C$2:$C$801, Repayment_Ledger!$A$2:$A$801, $A287, Repayment_Ledger!$F$2:$F$801, "&lt;&gt;Paid"))</f>
        <v/>
      </c>
    </row>
    <row r="288">
      <c r="A288">
        <f>IF($B288="","", "L"&amp;TEXT(ROW()-1,"0000"))</f>
        <v/>
      </c>
      <c r="G288" s="8" t="n"/>
      <c r="I288" s="10" t="n"/>
      <c r="J288" s="8" t="n"/>
      <c r="K288" s="6" t="n"/>
      <c r="M288" s="6">
        <f>IF($K288="","",$K288+7)</f>
        <v/>
      </c>
      <c r="N288" s="8">
        <f>IF($O288="","", ROUND($O288/$L288,2))</f>
        <v/>
      </c>
      <c r="O288" s="8">
        <f>IF($G288="","", $G288*(1+$I288) + IF($J288="",0,$J288))</f>
        <v/>
      </c>
      <c r="P288" s="8">
        <f>IF($A288="","", $O288 - SUMIFS(Repayment_Ledger!$E$2:$E$801,Repayment_Ledger!$A$2:$A$801, $A288))</f>
        <v/>
      </c>
      <c r="Q288" s="6">
        <f>IF($P288&lt;=0,"", MINIFS(Repayment_Ledger!$C$2:$C$801, Repayment_Ledger!$A$2:$A$801, $A288, Repayment_Ledger!$F$2:$F$801, "&lt;&gt;Paid"))</f>
        <v/>
      </c>
    </row>
    <row r="289">
      <c r="A289">
        <f>IF($B289="","", "L"&amp;TEXT(ROW()-1,"0000"))</f>
        <v/>
      </c>
      <c r="G289" s="8" t="n"/>
      <c r="I289" s="10" t="n"/>
      <c r="J289" s="8" t="n"/>
      <c r="K289" s="6" t="n"/>
      <c r="M289" s="6">
        <f>IF($K289="","",$K289+7)</f>
        <v/>
      </c>
      <c r="N289" s="8">
        <f>IF($O289="","", ROUND($O289/$L289,2))</f>
        <v/>
      </c>
      <c r="O289" s="8">
        <f>IF($G289="","", $G289*(1+$I289) + IF($J289="",0,$J289))</f>
        <v/>
      </c>
      <c r="P289" s="8">
        <f>IF($A289="","", $O289 - SUMIFS(Repayment_Ledger!$E$2:$E$801,Repayment_Ledger!$A$2:$A$801, $A289))</f>
        <v/>
      </c>
      <c r="Q289" s="6">
        <f>IF($P289&lt;=0,"", MINIFS(Repayment_Ledger!$C$2:$C$801, Repayment_Ledger!$A$2:$A$801, $A289, Repayment_Ledger!$F$2:$F$801, "&lt;&gt;Paid"))</f>
        <v/>
      </c>
    </row>
    <row r="290">
      <c r="A290">
        <f>IF($B290="","", "L"&amp;TEXT(ROW()-1,"0000"))</f>
        <v/>
      </c>
      <c r="G290" s="8" t="n"/>
      <c r="I290" s="10" t="n"/>
      <c r="J290" s="8" t="n"/>
      <c r="K290" s="6" t="n"/>
      <c r="M290" s="6">
        <f>IF($K290="","",$K290+7)</f>
        <v/>
      </c>
      <c r="N290" s="8">
        <f>IF($O290="","", ROUND($O290/$L290,2))</f>
        <v/>
      </c>
      <c r="O290" s="8">
        <f>IF($G290="","", $G290*(1+$I290) + IF($J290="",0,$J290))</f>
        <v/>
      </c>
      <c r="P290" s="8">
        <f>IF($A290="","", $O290 - SUMIFS(Repayment_Ledger!$E$2:$E$801,Repayment_Ledger!$A$2:$A$801, $A290))</f>
        <v/>
      </c>
      <c r="Q290" s="6">
        <f>IF($P290&lt;=0,"", MINIFS(Repayment_Ledger!$C$2:$C$801, Repayment_Ledger!$A$2:$A$801, $A290, Repayment_Ledger!$F$2:$F$801, "&lt;&gt;Paid"))</f>
        <v/>
      </c>
    </row>
    <row r="291">
      <c r="A291">
        <f>IF($B291="","", "L"&amp;TEXT(ROW()-1,"0000"))</f>
        <v/>
      </c>
      <c r="G291" s="8" t="n"/>
      <c r="I291" s="10" t="n"/>
      <c r="J291" s="8" t="n"/>
      <c r="K291" s="6" t="n"/>
      <c r="M291" s="6">
        <f>IF($K291="","",$K291+7)</f>
        <v/>
      </c>
      <c r="N291" s="8">
        <f>IF($O291="","", ROUND($O291/$L291,2))</f>
        <v/>
      </c>
      <c r="O291" s="8">
        <f>IF($G291="","", $G291*(1+$I291) + IF($J291="",0,$J291))</f>
        <v/>
      </c>
      <c r="P291" s="8">
        <f>IF($A291="","", $O291 - SUMIFS(Repayment_Ledger!$E$2:$E$801,Repayment_Ledger!$A$2:$A$801, $A291))</f>
        <v/>
      </c>
      <c r="Q291" s="6">
        <f>IF($P291&lt;=0,"", MINIFS(Repayment_Ledger!$C$2:$C$801, Repayment_Ledger!$A$2:$A$801, $A291, Repayment_Ledger!$F$2:$F$801, "&lt;&gt;Paid"))</f>
        <v/>
      </c>
    </row>
    <row r="292">
      <c r="A292">
        <f>IF($B292="","", "L"&amp;TEXT(ROW()-1,"0000"))</f>
        <v/>
      </c>
      <c r="G292" s="8" t="n"/>
      <c r="I292" s="10" t="n"/>
      <c r="J292" s="8" t="n"/>
      <c r="K292" s="6" t="n"/>
      <c r="M292" s="6">
        <f>IF($K292="","",$K292+7)</f>
        <v/>
      </c>
      <c r="N292" s="8">
        <f>IF($O292="","", ROUND($O292/$L292,2))</f>
        <v/>
      </c>
      <c r="O292" s="8">
        <f>IF($G292="","", $G292*(1+$I292) + IF($J292="",0,$J292))</f>
        <v/>
      </c>
      <c r="P292" s="8">
        <f>IF($A292="","", $O292 - SUMIFS(Repayment_Ledger!$E$2:$E$801,Repayment_Ledger!$A$2:$A$801, $A292))</f>
        <v/>
      </c>
      <c r="Q292" s="6">
        <f>IF($P292&lt;=0,"", MINIFS(Repayment_Ledger!$C$2:$C$801, Repayment_Ledger!$A$2:$A$801, $A292, Repayment_Ledger!$F$2:$F$801, "&lt;&gt;Paid"))</f>
        <v/>
      </c>
    </row>
    <row r="293">
      <c r="A293">
        <f>IF($B293="","", "L"&amp;TEXT(ROW()-1,"0000"))</f>
        <v/>
      </c>
      <c r="G293" s="8" t="n"/>
      <c r="I293" s="10" t="n"/>
      <c r="J293" s="8" t="n"/>
      <c r="K293" s="6" t="n"/>
      <c r="M293" s="6">
        <f>IF($K293="","",$K293+7)</f>
        <v/>
      </c>
      <c r="N293" s="8">
        <f>IF($O293="","", ROUND($O293/$L293,2))</f>
        <v/>
      </c>
      <c r="O293" s="8">
        <f>IF($G293="","", $G293*(1+$I293) + IF($J293="",0,$J293))</f>
        <v/>
      </c>
      <c r="P293" s="8">
        <f>IF($A293="","", $O293 - SUMIFS(Repayment_Ledger!$E$2:$E$801,Repayment_Ledger!$A$2:$A$801, $A293))</f>
        <v/>
      </c>
      <c r="Q293" s="6">
        <f>IF($P293&lt;=0,"", MINIFS(Repayment_Ledger!$C$2:$C$801, Repayment_Ledger!$A$2:$A$801, $A293, Repayment_Ledger!$F$2:$F$801, "&lt;&gt;Paid"))</f>
        <v/>
      </c>
    </row>
    <row r="294">
      <c r="A294">
        <f>IF($B294="","", "L"&amp;TEXT(ROW()-1,"0000"))</f>
        <v/>
      </c>
      <c r="G294" s="8" t="n"/>
      <c r="I294" s="10" t="n"/>
      <c r="J294" s="8" t="n"/>
      <c r="K294" s="6" t="n"/>
      <c r="M294" s="6">
        <f>IF($K294="","",$K294+7)</f>
        <v/>
      </c>
      <c r="N294" s="8">
        <f>IF($O294="","", ROUND($O294/$L294,2))</f>
        <v/>
      </c>
      <c r="O294" s="8">
        <f>IF($G294="","", $G294*(1+$I294) + IF($J294="",0,$J294))</f>
        <v/>
      </c>
      <c r="P294" s="8">
        <f>IF($A294="","", $O294 - SUMIFS(Repayment_Ledger!$E$2:$E$801,Repayment_Ledger!$A$2:$A$801, $A294))</f>
        <v/>
      </c>
      <c r="Q294" s="6">
        <f>IF($P294&lt;=0,"", MINIFS(Repayment_Ledger!$C$2:$C$801, Repayment_Ledger!$A$2:$A$801, $A294, Repayment_Ledger!$F$2:$F$801, "&lt;&gt;Paid"))</f>
        <v/>
      </c>
    </row>
    <row r="295">
      <c r="A295">
        <f>IF($B295="","", "L"&amp;TEXT(ROW()-1,"0000"))</f>
        <v/>
      </c>
      <c r="G295" s="8" t="n"/>
      <c r="I295" s="10" t="n"/>
      <c r="J295" s="8" t="n"/>
      <c r="K295" s="6" t="n"/>
      <c r="M295" s="6">
        <f>IF($K295="","",$K295+7)</f>
        <v/>
      </c>
      <c r="N295" s="8">
        <f>IF($O295="","", ROUND($O295/$L295,2))</f>
        <v/>
      </c>
      <c r="O295" s="8">
        <f>IF($G295="","", $G295*(1+$I295) + IF($J295="",0,$J295))</f>
        <v/>
      </c>
      <c r="P295" s="8">
        <f>IF($A295="","", $O295 - SUMIFS(Repayment_Ledger!$E$2:$E$801,Repayment_Ledger!$A$2:$A$801, $A295))</f>
        <v/>
      </c>
      <c r="Q295" s="6">
        <f>IF($P295&lt;=0,"", MINIFS(Repayment_Ledger!$C$2:$C$801, Repayment_Ledger!$A$2:$A$801, $A295, Repayment_Ledger!$F$2:$F$801, "&lt;&gt;Paid"))</f>
        <v/>
      </c>
    </row>
    <row r="296">
      <c r="A296">
        <f>IF($B296="","", "L"&amp;TEXT(ROW()-1,"0000"))</f>
        <v/>
      </c>
      <c r="G296" s="8" t="n"/>
      <c r="I296" s="10" t="n"/>
      <c r="J296" s="8" t="n"/>
      <c r="K296" s="6" t="n"/>
      <c r="M296" s="6">
        <f>IF($K296="","",$K296+7)</f>
        <v/>
      </c>
      <c r="N296" s="8">
        <f>IF($O296="","", ROUND($O296/$L296,2))</f>
        <v/>
      </c>
      <c r="O296" s="8">
        <f>IF($G296="","", $G296*(1+$I296) + IF($J296="",0,$J296))</f>
        <v/>
      </c>
      <c r="P296" s="8">
        <f>IF($A296="","", $O296 - SUMIFS(Repayment_Ledger!$E$2:$E$801,Repayment_Ledger!$A$2:$A$801, $A296))</f>
        <v/>
      </c>
      <c r="Q296" s="6">
        <f>IF($P296&lt;=0,"", MINIFS(Repayment_Ledger!$C$2:$C$801, Repayment_Ledger!$A$2:$A$801, $A296, Repayment_Ledger!$F$2:$F$801, "&lt;&gt;Paid"))</f>
        <v/>
      </c>
    </row>
    <row r="297">
      <c r="A297">
        <f>IF($B297="","", "L"&amp;TEXT(ROW()-1,"0000"))</f>
        <v/>
      </c>
      <c r="G297" s="8" t="n"/>
      <c r="I297" s="10" t="n"/>
      <c r="J297" s="8" t="n"/>
      <c r="K297" s="6" t="n"/>
      <c r="M297" s="6">
        <f>IF($K297="","",$K297+7)</f>
        <v/>
      </c>
      <c r="N297" s="8">
        <f>IF($O297="","", ROUND($O297/$L297,2))</f>
        <v/>
      </c>
      <c r="O297" s="8">
        <f>IF($G297="","", $G297*(1+$I297) + IF($J297="",0,$J297))</f>
        <v/>
      </c>
      <c r="P297" s="8">
        <f>IF($A297="","", $O297 - SUMIFS(Repayment_Ledger!$E$2:$E$801,Repayment_Ledger!$A$2:$A$801, $A297))</f>
        <v/>
      </c>
      <c r="Q297" s="6">
        <f>IF($P297&lt;=0,"", MINIFS(Repayment_Ledger!$C$2:$C$801, Repayment_Ledger!$A$2:$A$801, $A297, Repayment_Ledger!$F$2:$F$801, "&lt;&gt;Paid"))</f>
        <v/>
      </c>
    </row>
    <row r="298">
      <c r="A298">
        <f>IF($B298="","", "L"&amp;TEXT(ROW()-1,"0000"))</f>
        <v/>
      </c>
      <c r="G298" s="8" t="n"/>
      <c r="I298" s="10" t="n"/>
      <c r="J298" s="8" t="n"/>
      <c r="K298" s="6" t="n"/>
      <c r="M298" s="6">
        <f>IF($K298="","",$K298+7)</f>
        <v/>
      </c>
      <c r="N298" s="8">
        <f>IF($O298="","", ROUND($O298/$L298,2))</f>
        <v/>
      </c>
      <c r="O298" s="8">
        <f>IF($G298="","", $G298*(1+$I298) + IF($J298="",0,$J298))</f>
        <v/>
      </c>
      <c r="P298" s="8">
        <f>IF($A298="","", $O298 - SUMIFS(Repayment_Ledger!$E$2:$E$801,Repayment_Ledger!$A$2:$A$801, $A298))</f>
        <v/>
      </c>
      <c r="Q298" s="6">
        <f>IF($P298&lt;=0,"", MINIFS(Repayment_Ledger!$C$2:$C$801, Repayment_Ledger!$A$2:$A$801, $A298, Repayment_Ledger!$F$2:$F$801, "&lt;&gt;Paid"))</f>
        <v/>
      </c>
    </row>
    <row r="299">
      <c r="A299">
        <f>IF($B299="","", "L"&amp;TEXT(ROW()-1,"0000"))</f>
        <v/>
      </c>
      <c r="G299" s="8" t="n"/>
      <c r="I299" s="10" t="n"/>
      <c r="J299" s="8" t="n"/>
      <c r="K299" s="6" t="n"/>
      <c r="M299" s="6">
        <f>IF($K299="","",$K299+7)</f>
        <v/>
      </c>
      <c r="N299" s="8">
        <f>IF($O299="","", ROUND($O299/$L299,2))</f>
        <v/>
      </c>
      <c r="O299" s="8">
        <f>IF($G299="","", $G299*(1+$I299) + IF($J299="",0,$J299))</f>
        <v/>
      </c>
      <c r="P299" s="8">
        <f>IF($A299="","", $O299 - SUMIFS(Repayment_Ledger!$E$2:$E$801,Repayment_Ledger!$A$2:$A$801, $A299))</f>
        <v/>
      </c>
      <c r="Q299" s="6">
        <f>IF($P299&lt;=0,"", MINIFS(Repayment_Ledger!$C$2:$C$801, Repayment_Ledger!$A$2:$A$801, $A299, Repayment_Ledger!$F$2:$F$801, "&lt;&gt;Paid"))</f>
        <v/>
      </c>
    </row>
    <row r="300">
      <c r="A300">
        <f>IF($B300="","", "L"&amp;TEXT(ROW()-1,"0000"))</f>
        <v/>
      </c>
      <c r="G300" s="8" t="n"/>
      <c r="I300" s="10" t="n"/>
      <c r="J300" s="8" t="n"/>
      <c r="K300" s="6" t="n"/>
      <c r="M300" s="6">
        <f>IF($K300="","",$K300+7)</f>
        <v/>
      </c>
      <c r="N300" s="8">
        <f>IF($O300="","", ROUND($O300/$L300,2))</f>
        <v/>
      </c>
      <c r="O300" s="8">
        <f>IF($G300="","", $G300*(1+$I300) + IF($J300="",0,$J300))</f>
        <v/>
      </c>
      <c r="P300" s="8">
        <f>IF($A300="","", $O300 - SUMIFS(Repayment_Ledger!$E$2:$E$801,Repayment_Ledger!$A$2:$A$801, $A300))</f>
        <v/>
      </c>
      <c r="Q300" s="6">
        <f>IF($P300&lt;=0,"", MINIFS(Repayment_Ledger!$C$2:$C$801, Repayment_Ledger!$A$2:$A$801, $A300, Repayment_Ledger!$F$2:$F$801, "&lt;&gt;Paid"))</f>
        <v/>
      </c>
    </row>
    <row r="301">
      <c r="A301">
        <f>IF($B301="","", "L"&amp;TEXT(ROW()-1,"0000"))</f>
        <v/>
      </c>
      <c r="G301" s="8" t="n"/>
      <c r="I301" s="10" t="n"/>
      <c r="J301" s="8" t="n"/>
      <c r="K301" s="6" t="n"/>
      <c r="M301" s="6">
        <f>IF($K301="","",$K301+7)</f>
        <v/>
      </c>
      <c r="N301" s="8">
        <f>IF($O301="","", ROUND($O301/$L301,2))</f>
        <v/>
      </c>
      <c r="O301" s="8">
        <f>IF($G301="","", $G301*(1+$I301) + IF($J301="",0,$J301))</f>
        <v/>
      </c>
      <c r="P301" s="8">
        <f>IF($A301="","", $O301 - SUMIFS(Repayment_Ledger!$E$2:$E$801,Repayment_Ledger!$A$2:$A$801, $A301))</f>
        <v/>
      </c>
      <c r="Q301" s="6">
        <f>IF($P301&lt;=0,"", MINIFS(Repayment_Ledger!$C$2:$C$801, Repayment_Ledger!$A$2:$A$801, $A301, Repayment_Ledger!$F$2:$F$801, "&lt;&gt;Paid"))</f>
        <v/>
      </c>
    </row>
  </sheetData>
  <dataValidations count="5">
    <dataValidation sqref="D2:D301" showDropDown="0" showInputMessage="0" showErrorMessage="0" allowBlank="1" type="list">
      <formula1>=Products</formula1>
    </dataValidation>
    <dataValidation sqref="E2:E301" showDropDown="0" showInputMessage="0" showErrorMessage="0" allowBlank="1" type="list">
      <formula1>=LoanTypes</formula1>
    </dataValidation>
    <dataValidation sqref="H2:H301" showDropDown="0" showInputMessage="0" showErrorMessage="0" allowBlank="1" type="list">
      <formula1>"Flat,Declining"</formula1>
    </dataValidation>
    <dataValidation sqref="R2:R301" showDropDown="0" showInputMessage="0" showErrorMessage="0" allowBlank="1" type="list">
      <formula1>=StatusList</formula1>
    </dataValidation>
    <dataValidation sqref="S2:S301" showDropDown="0" showInputMessage="0" showErrorMessage="0" allowBlank="1" type="list">
      <formula1>=StaffNames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8" customWidth="1" min="9" max="9"/>
    <col width="14" customWidth="1" min="10" max="10"/>
    <col width="18" customWidth="1" min="11" max="11"/>
    <col width="24" customWidth="1" min="12" max="12"/>
  </cols>
  <sheetData>
    <row r="1" ht="28" customHeight="1">
      <c r="A1" s="3" t="inlineStr">
        <is>
          <t>Loan ID</t>
        </is>
      </c>
      <c r="B1" s="3" t="inlineStr">
        <is>
          <t>Installment No</t>
        </is>
      </c>
      <c r="C1" s="3" t="inlineStr">
        <is>
          <t>Due Date</t>
        </is>
      </c>
      <c r="D1" s="3" t="inlineStr">
        <is>
          <t>Due Amount</t>
        </is>
      </c>
      <c r="E1" s="3" t="inlineStr">
        <is>
          <t>Paid Amount</t>
        </is>
      </c>
      <c r="F1" s="3" t="inlineStr">
        <is>
          <t>Payment Status</t>
        </is>
      </c>
      <c r="G1" s="3" t="inlineStr">
        <is>
          <t>Payment Date</t>
        </is>
      </c>
      <c r="H1" s="3" t="inlineStr">
        <is>
          <t>Receipt No</t>
        </is>
      </c>
      <c r="I1" s="3" t="inlineStr">
        <is>
          <t>Balance After Payment</t>
        </is>
      </c>
      <c r="J1" s="3" t="inlineStr">
        <is>
          <t>Days Past Due</t>
        </is>
      </c>
      <c r="K1" s="3" t="inlineStr">
        <is>
          <t>Collected By</t>
        </is>
      </c>
      <c r="L1" s="3" t="inlineStr">
        <is>
          <t>Notes</t>
        </is>
      </c>
    </row>
    <row r="2">
      <c r="A2" s="4" t="n"/>
      <c r="B2" s="4" t="n"/>
      <c r="C2" s="5">
        <f>IF(AND($A2&lt;&gt;"",$B2&lt;&gt;""), XLOOKUP($A2,Loan_Register!$A$2:$A$301,Loan_Register!$M$2:$M$301,"") + 7*($B2-1), "")</f>
        <v/>
      </c>
      <c r="D2" s="7">
        <f>IF($A2&lt;&gt;"", XLOOKUP($A2,Loan_Register!$A$2:$A$301,Loan_Register!$N$2:$N$301,""), "")</f>
        <v/>
      </c>
      <c r="E2" s="7" t="n"/>
      <c r="F2" s="4">
        <f>IF($A2="","", IF($E2&gt;=$D2,"Paid", IF(TODAY()&gt;$C2,"Overdue","Pending")))</f>
        <v/>
      </c>
      <c r="G2" s="5" t="n"/>
      <c r="H2" s="4" t="n"/>
      <c r="I2" s="7">
        <f>IF($A2="","", SUMIFS($D$2:$D$801,$A$2:$A$801,$A2) - SUMIFS($E$2:$E$801,$A$2:$A$801,$A2))</f>
        <v/>
      </c>
      <c r="J2" s="4">
        <f>IF($F2="Paid",0, IF($C2="","", MAX(0, TODAY()-$C2)))</f>
        <v/>
      </c>
      <c r="K2" s="4" t="n"/>
      <c r="L2" s="4" t="n"/>
    </row>
    <row r="3">
      <c r="A3" s="4" t="n"/>
      <c r="B3" s="4" t="n"/>
      <c r="C3" s="5">
        <f>IF(AND($A3&lt;&gt;"",$B3&lt;&gt;""), XLOOKUP($A3,Loan_Register!$A$2:$A$301,Loan_Register!$M$2:$M$301,"") + 7*($B3-1), "")</f>
        <v/>
      </c>
      <c r="D3" s="7">
        <f>IF($A3&lt;&gt;"", XLOOKUP($A3,Loan_Register!$A$2:$A$301,Loan_Register!$N$2:$N$301,""), "")</f>
        <v/>
      </c>
      <c r="E3" s="7" t="n"/>
      <c r="F3" s="4">
        <f>IF($A3="","", IF($E3&gt;=$D3,"Paid", IF(TODAY()&gt;$C3,"Overdue","Pending")))</f>
        <v/>
      </c>
      <c r="G3" s="5" t="n"/>
      <c r="H3" s="4" t="n"/>
      <c r="I3" s="7">
        <f>IF($A3="","", SUMIFS($D$2:$D$801,$A$2:$A$801,$A3) - SUMIFS($E$2:$E$801,$A$2:$A$801,$A3))</f>
        <v/>
      </c>
      <c r="J3" s="4">
        <f>IF($F3="Paid",0, IF($C3="","", MAX(0, TODAY()-$C3)))</f>
        <v/>
      </c>
      <c r="K3" s="4" t="n"/>
      <c r="L3" s="4" t="n"/>
    </row>
    <row r="4">
      <c r="A4" s="4" t="n"/>
      <c r="B4" s="4" t="n"/>
      <c r="C4" s="5">
        <f>IF(AND($A4&lt;&gt;"",$B4&lt;&gt;""), XLOOKUP($A4,Loan_Register!$A$2:$A$301,Loan_Register!$M$2:$M$301,"") + 7*($B4-1), "")</f>
        <v/>
      </c>
      <c r="D4" s="7">
        <f>IF($A4&lt;&gt;"", XLOOKUP($A4,Loan_Register!$A$2:$A$301,Loan_Register!$N$2:$N$301,""), "")</f>
        <v/>
      </c>
      <c r="E4" s="7" t="n"/>
      <c r="F4" s="4">
        <f>IF($A4="","", IF($E4&gt;=$D4,"Paid", IF(TODAY()&gt;$C4,"Overdue","Pending")))</f>
        <v/>
      </c>
      <c r="G4" s="5" t="n"/>
      <c r="H4" s="4" t="n"/>
      <c r="I4" s="7">
        <f>IF($A4="","", SUMIFS($D$2:$D$801,$A$2:$A$801,$A4) - SUMIFS($E$2:$E$801,$A$2:$A$801,$A4))</f>
        <v/>
      </c>
      <c r="J4" s="4">
        <f>IF($F4="Paid",0, IF($C4="","", MAX(0, TODAY()-$C4)))</f>
        <v/>
      </c>
      <c r="K4" s="4" t="n"/>
      <c r="L4" s="4" t="n"/>
    </row>
    <row r="5">
      <c r="A5" s="4" t="n"/>
      <c r="B5" s="4" t="n"/>
      <c r="C5" s="5">
        <f>IF(AND($A5&lt;&gt;"",$B5&lt;&gt;""), XLOOKUP($A5,Loan_Register!$A$2:$A$301,Loan_Register!$M$2:$M$301,"") + 7*($B5-1), "")</f>
        <v/>
      </c>
      <c r="D5" s="7">
        <f>IF($A5&lt;&gt;"", XLOOKUP($A5,Loan_Register!$A$2:$A$301,Loan_Register!$N$2:$N$301,""), "")</f>
        <v/>
      </c>
      <c r="E5" s="7" t="n"/>
      <c r="F5" s="4">
        <f>IF($A5="","", IF($E5&gt;=$D5,"Paid", IF(TODAY()&gt;$C5,"Overdue","Pending")))</f>
        <v/>
      </c>
      <c r="G5" s="5" t="n"/>
      <c r="H5" s="4" t="n"/>
      <c r="I5" s="7">
        <f>IF($A5="","", SUMIFS($D$2:$D$801,$A$2:$A$801,$A5) - SUMIFS($E$2:$E$801,$A$2:$A$801,$A5))</f>
        <v/>
      </c>
      <c r="J5" s="4">
        <f>IF($F5="Paid",0, IF($C5="","", MAX(0, TODAY()-$C5)))</f>
        <v/>
      </c>
      <c r="K5" s="4" t="n"/>
      <c r="L5" s="4" t="n"/>
    </row>
    <row r="6">
      <c r="A6" s="4" t="n"/>
      <c r="B6" s="4" t="n"/>
      <c r="C6" s="5">
        <f>IF(AND($A6&lt;&gt;"",$B6&lt;&gt;""), XLOOKUP($A6,Loan_Register!$A$2:$A$301,Loan_Register!$M$2:$M$301,"") + 7*($B6-1), "")</f>
        <v/>
      </c>
      <c r="D6" s="7">
        <f>IF($A6&lt;&gt;"", XLOOKUP($A6,Loan_Register!$A$2:$A$301,Loan_Register!$N$2:$N$301,""), "")</f>
        <v/>
      </c>
      <c r="E6" s="7" t="n"/>
      <c r="F6" s="4">
        <f>IF($A6="","", IF($E6&gt;=$D6,"Paid", IF(TODAY()&gt;$C6,"Overdue","Pending")))</f>
        <v/>
      </c>
      <c r="G6" s="5" t="n"/>
      <c r="H6" s="4" t="n"/>
      <c r="I6" s="7">
        <f>IF($A6="","", SUMIFS($D$2:$D$801,$A$2:$A$801,$A6) - SUMIFS($E$2:$E$801,$A$2:$A$801,$A6))</f>
        <v/>
      </c>
      <c r="J6" s="4">
        <f>IF($F6="Paid",0, IF($C6="","", MAX(0, TODAY()-$C6)))</f>
        <v/>
      </c>
      <c r="K6" s="4" t="n"/>
      <c r="L6" s="4" t="n"/>
    </row>
    <row r="7">
      <c r="A7" s="4" t="n"/>
      <c r="B7" s="4" t="n"/>
      <c r="C7" s="5">
        <f>IF(AND($A7&lt;&gt;"",$B7&lt;&gt;""), XLOOKUP($A7,Loan_Register!$A$2:$A$301,Loan_Register!$M$2:$M$301,"") + 7*($B7-1), "")</f>
        <v/>
      </c>
      <c r="D7" s="7">
        <f>IF($A7&lt;&gt;"", XLOOKUP($A7,Loan_Register!$A$2:$A$301,Loan_Register!$N$2:$N$301,""), "")</f>
        <v/>
      </c>
      <c r="E7" s="7" t="n"/>
      <c r="F7" s="4">
        <f>IF($A7="","", IF($E7&gt;=$D7,"Paid", IF(TODAY()&gt;$C7,"Overdue","Pending")))</f>
        <v/>
      </c>
      <c r="G7" s="5" t="n"/>
      <c r="H7" s="4" t="n"/>
      <c r="I7" s="7">
        <f>IF($A7="","", SUMIFS($D$2:$D$801,$A$2:$A$801,$A7) - SUMIFS($E$2:$E$801,$A$2:$A$801,$A7))</f>
        <v/>
      </c>
      <c r="J7" s="4">
        <f>IF($F7="Paid",0, IF($C7="","", MAX(0, TODAY()-$C7)))</f>
        <v/>
      </c>
      <c r="K7" s="4" t="n"/>
      <c r="L7" s="4" t="n"/>
    </row>
    <row r="8">
      <c r="A8" s="4" t="n"/>
      <c r="B8" s="4" t="n"/>
      <c r="C8" s="5">
        <f>IF(AND($A8&lt;&gt;"",$B8&lt;&gt;""), XLOOKUP($A8,Loan_Register!$A$2:$A$301,Loan_Register!$M$2:$M$301,"") + 7*($B8-1), "")</f>
        <v/>
      </c>
      <c r="D8" s="7">
        <f>IF($A8&lt;&gt;"", XLOOKUP($A8,Loan_Register!$A$2:$A$301,Loan_Register!$N$2:$N$301,""), "")</f>
        <v/>
      </c>
      <c r="E8" s="7" t="n"/>
      <c r="F8" s="4">
        <f>IF($A8="","", IF($E8&gt;=$D8,"Paid", IF(TODAY()&gt;$C8,"Overdue","Pending")))</f>
        <v/>
      </c>
      <c r="G8" s="5" t="n"/>
      <c r="H8" s="4" t="n"/>
      <c r="I8" s="7">
        <f>IF($A8="","", SUMIFS($D$2:$D$801,$A$2:$A$801,$A8) - SUMIFS($E$2:$E$801,$A$2:$A$801,$A8))</f>
        <v/>
      </c>
      <c r="J8" s="4">
        <f>IF($F8="Paid",0, IF($C8="","", MAX(0, TODAY()-$C8)))</f>
        <v/>
      </c>
      <c r="K8" s="4" t="n"/>
      <c r="L8" s="4" t="n"/>
    </row>
    <row r="9">
      <c r="A9" s="4" t="n"/>
      <c r="B9" s="4" t="n"/>
      <c r="C9" s="5">
        <f>IF(AND($A9&lt;&gt;"",$B9&lt;&gt;""), XLOOKUP($A9,Loan_Register!$A$2:$A$301,Loan_Register!$M$2:$M$301,"") + 7*($B9-1), "")</f>
        <v/>
      </c>
      <c r="D9" s="7">
        <f>IF($A9&lt;&gt;"", XLOOKUP($A9,Loan_Register!$A$2:$A$301,Loan_Register!$N$2:$N$301,""), "")</f>
        <v/>
      </c>
      <c r="E9" s="7" t="n"/>
      <c r="F9" s="4">
        <f>IF($A9="","", IF($E9&gt;=$D9,"Paid", IF(TODAY()&gt;$C9,"Overdue","Pending")))</f>
        <v/>
      </c>
      <c r="G9" s="5" t="n"/>
      <c r="H9" s="4" t="n"/>
      <c r="I9" s="7">
        <f>IF($A9="","", SUMIFS($D$2:$D$801,$A$2:$A$801,$A9) - SUMIFS($E$2:$E$801,$A$2:$A$801,$A9))</f>
        <v/>
      </c>
      <c r="J9" s="4">
        <f>IF($F9="Paid",0, IF($C9="","", MAX(0, TODAY()-$C9)))</f>
        <v/>
      </c>
      <c r="K9" s="4" t="n"/>
      <c r="L9" s="4" t="n"/>
    </row>
    <row r="10">
      <c r="A10" s="4" t="n"/>
      <c r="B10" s="4" t="n"/>
      <c r="C10" s="5">
        <f>IF(AND($A10&lt;&gt;"",$B10&lt;&gt;""), XLOOKUP($A10,Loan_Register!$A$2:$A$301,Loan_Register!$M$2:$M$301,"") + 7*($B10-1), "")</f>
        <v/>
      </c>
      <c r="D10" s="7">
        <f>IF($A10&lt;&gt;"", XLOOKUP($A10,Loan_Register!$A$2:$A$301,Loan_Register!$N$2:$N$301,""), "")</f>
        <v/>
      </c>
      <c r="E10" s="7" t="n"/>
      <c r="F10" s="4">
        <f>IF($A10="","", IF($E10&gt;=$D10,"Paid", IF(TODAY()&gt;$C10,"Overdue","Pending")))</f>
        <v/>
      </c>
      <c r="G10" s="5" t="n"/>
      <c r="H10" s="4" t="n"/>
      <c r="I10" s="7">
        <f>IF($A10="","", SUMIFS($D$2:$D$801,$A$2:$A$801,$A10) - SUMIFS($E$2:$E$801,$A$2:$A$801,$A10))</f>
        <v/>
      </c>
      <c r="J10" s="4">
        <f>IF($F10="Paid",0, IF($C10="","", MAX(0, TODAY()-$C10)))</f>
        <v/>
      </c>
      <c r="K10" s="4" t="n"/>
      <c r="L10" s="4" t="n"/>
    </row>
    <row r="11">
      <c r="A11" s="4" t="n"/>
      <c r="B11" s="4" t="n"/>
      <c r="C11" s="5">
        <f>IF(AND($A11&lt;&gt;"",$B11&lt;&gt;""), XLOOKUP($A11,Loan_Register!$A$2:$A$301,Loan_Register!$M$2:$M$301,"") + 7*($B11-1), "")</f>
        <v/>
      </c>
      <c r="D11" s="7">
        <f>IF($A11&lt;&gt;"", XLOOKUP($A11,Loan_Register!$A$2:$A$301,Loan_Register!$N$2:$N$301,""), "")</f>
        <v/>
      </c>
      <c r="E11" s="7" t="n"/>
      <c r="F11" s="4">
        <f>IF($A11="","", IF($E11&gt;=$D11,"Paid", IF(TODAY()&gt;$C11,"Overdue","Pending")))</f>
        <v/>
      </c>
      <c r="G11" s="5" t="n"/>
      <c r="H11" s="4" t="n"/>
      <c r="I11" s="7">
        <f>IF($A11="","", SUMIFS($D$2:$D$801,$A$2:$A$801,$A11) - SUMIFS($E$2:$E$801,$A$2:$A$801,$A11))</f>
        <v/>
      </c>
      <c r="J11" s="4">
        <f>IF($F11="Paid",0, IF($C11="","", MAX(0, TODAY()-$C11)))</f>
        <v/>
      </c>
      <c r="K11" s="4" t="n"/>
      <c r="L11" s="4" t="n"/>
    </row>
    <row r="12">
      <c r="A12" s="4" t="n"/>
      <c r="B12" s="4" t="n"/>
      <c r="C12" s="5">
        <f>IF(AND($A12&lt;&gt;"",$B12&lt;&gt;""), XLOOKUP($A12,Loan_Register!$A$2:$A$301,Loan_Register!$M$2:$M$301,"") + 7*($B12-1), "")</f>
        <v/>
      </c>
      <c r="D12" s="7">
        <f>IF($A12&lt;&gt;"", XLOOKUP($A12,Loan_Register!$A$2:$A$301,Loan_Register!$N$2:$N$301,""), "")</f>
        <v/>
      </c>
      <c r="E12" s="7" t="n"/>
      <c r="F12" s="4">
        <f>IF($A12="","", IF($E12&gt;=$D12,"Paid", IF(TODAY()&gt;$C12,"Overdue","Pending")))</f>
        <v/>
      </c>
      <c r="G12" s="5" t="n"/>
      <c r="H12" s="4" t="n"/>
      <c r="I12" s="7">
        <f>IF($A12="","", SUMIFS($D$2:$D$801,$A$2:$A$801,$A12) - SUMIFS($E$2:$E$801,$A$2:$A$801,$A12))</f>
        <v/>
      </c>
      <c r="J12" s="4">
        <f>IF($F12="Paid",0, IF($C12="","", MAX(0, TODAY()-$C12)))</f>
        <v/>
      </c>
      <c r="K12" s="4" t="n"/>
      <c r="L12" s="4" t="n"/>
    </row>
    <row r="13">
      <c r="A13" s="4" t="n"/>
      <c r="B13" s="4" t="n"/>
      <c r="C13" s="5">
        <f>IF(AND($A13&lt;&gt;"",$B13&lt;&gt;""), XLOOKUP($A13,Loan_Register!$A$2:$A$301,Loan_Register!$M$2:$M$301,"") + 7*($B13-1), "")</f>
        <v/>
      </c>
      <c r="D13" s="7">
        <f>IF($A13&lt;&gt;"", XLOOKUP($A13,Loan_Register!$A$2:$A$301,Loan_Register!$N$2:$N$301,""), "")</f>
        <v/>
      </c>
      <c r="E13" s="7" t="n"/>
      <c r="F13" s="4">
        <f>IF($A13="","", IF($E13&gt;=$D13,"Paid", IF(TODAY()&gt;$C13,"Overdue","Pending")))</f>
        <v/>
      </c>
      <c r="G13" s="5" t="n"/>
      <c r="H13" s="4" t="n"/>
      <c r="I13" s="7">
        <f>IF($A13="","", SUMIFS($D$2:$D$801,$A$2:$A$801,$A13) - SUMIFS($E$2:$E$801,$A$2:$A$801,$A13))</f>
        <v/>
      </c>
      <c r="J13" s="4">
        <f>IF($F13="Paid",0, IF($C13="","", MAX(0, TODAY()-$C13)))</f>
        <v/>
      </c>
      <c r="K13" s="4" t="n"/>
      <c r="L13" s="4" t="n"/>
    </row>
    <row r="14">
      <c r="A14" s="4" t="n"/>
      <c r="B14" s="4" t="n"/>
      <c r="C14" s="5">
        <f>IF(AND($A14&lt;&gt;"",$B14&lt;&gt;""), XLOOKUP($A14,Loan_Register!$A$2:$A$301,Loan_Register!$M$2:$M$301,"") + 7*($B14-1), "")</f>
        <v/>
      </c>
      <c r="D14" s="7">
        <f>IF($A14&lt;&gt;"", XLOOKUP($A14,Loan_Register!$A$2:$A$301,Loan_Register!$N$2:$N$301,""), "")</f>
        <v/>
      </c>
      <c r="E14" s="7" t="n"/>
      <c r="F14" s="4">
        <f>IF($A14="","", IF($E14&gt;=$D14,"Paid", IF(TODAY()&gt;$C14,"Overdue","Pending")))</f>
        <v/>
      </c>
      <c r="G14" s="5" t="n"/>
      <c r="H14" s="4" t="n"/>
      <c r="I14" s="7">
        <f>IF($A14="","", SUMIFS($D$2:$D$801,$A$2:$A$801,$A14) - SUMIFS($E$2:$E$801,$A$2:$A$801,$A14))</f>
        <v/>
      </c>
      <c r="J14" s="4">
        <f>IF($F14="Paid",0, IF($C14="","", MAX(0, TODAY()-$C14)))</f>
        <v/>
      </c>
      <c r="K14" s="4" t="n"/>
      <c r="L14" s="4" t="n"/>
    </row>
    <row r="15">
      <c r="A15" s="4" t="n"/>
      <c r="B15" s="4" t="n"/>
      <c r="C15" s="5">
        <f>IF(AND($A15&lt;&gt;"",$B15&lt;&gt;""), XLOOKUP($A15,Loan_Register!$A$2:$A$301,Loan_Register!$M$2:$M$301,"") + 7*($B15-1), "")</f>
        <v/>
      </c>
      <c r="D15" s="7">
        <f>IF($A15&lt;&gt;"", XLOOKUP($A15,Loan_Register!$A$2:$A$301,Loan_Register!$N$2:$N$301,""), "")</f>
        <v/>
      </c>
      <c r="E15" s="7" t="n"/>
      <c r="F15" s="4">
        <f>IF($A15="","", IF($E15&gt;=$D15,"Paid", IF(TODAY()&gt;$C15,"Overdue","Pending")))</f>
        <v/>
      </c>
      <c r="G15" s="5" t="n"/>
      <c r="H15" s="4" t="n"/>
      <c r="I15" s="7">
        <f>IF($A15="","", SUMIFS($D$2:$D$801,$A$2:$A$801,$A15) - SUMIFS($E$2:$E$801,$A$2:$A$801,$A15))</f>
        <v/>
      </c>
      <c r="J15" s="4">
        <f>IF($F15="Paid",0, IF($C15="","", MAX(0, TODAY()-$C15)))</f>
        <v/>
      </c>
      <c r="K15" s="4" t="n"/>
      <c r="L15" s="4" t="n"/>
    </row>
    <row r="16">
      <c r="A16" s="4" t="n"/>
      <c r="B16" s="4" t="n"/>
      <c r="C16" s="5">
        <f>IF(AND($A16&lt;&gt;"",$B16&lt;&gt;""), XLOOKUP($A16,Loan_Register!$A$2:$A$301,Loan_Register!$M$2:$M$301,"") + 7*($B16-1), "")</f>
        <v/>
      </c>
      <c r="D16" s="7">
        <f>IF($A16&lt;&gt;"", XLOOKUP($A16,Loan_Register!$A$2:$A$301,Loan_Register!$N$2:$N$301,""), "")</f>
        <v/>
      </c>
      <c r="E16" s="7" t="n"/>
      <c r="F16" s="4">
        <f>IF($A16="","", IF($E16&gt;=$D16,"Paid", IF(TODAY()&gt;$C16,"Overdue","Pending")))</f>
        <v/>
      </c>
      <c r="G16" s="5" t="n"/>
      <c r="H16" s="4" t="n"/>
      <c r="I16" s="7">
        <f>IF($A16="","", SUMIFS($D$2:$D$801,$A$2:$A$801,$A16) - SUMIFS($E$2:$E$801,$A$2:$A$801,$A16))</f>
        <v/>
      </c>
      <c r="J16" s="4">
        <f>IF($F16="Paid",0, IF($C16="","", MAX(0, TODAY()-$C16)))</f>
        <v/>
      </c>
      <c r="K16" s="4" t="n"/>
      <c r="L16" s="4" t="n"/>
    </row>
    <row r="17">
      <c r="A17" s="4" t="n"/>
      <c r="B17" s="4" t="n"/>
      <c r="C17" s="5">
        <f>IF(AND($A17&lt;&gt;"",$B17&lt;&gt;""), XLOOKUP($A17,Loan_Register!$A$2:$A$301,Loan_Register!$M$2:$M$301,"") + 7*($B17-1), "")</f>
        <v/>
      </c>
      <c r="D17" s="7">
        <f>IF($A17&lt;&gt;"", XLOOKUP($A17,Loan_Register!$A$2:$A$301,Loan_Register!$N$2:$N$301,""), "")</f>
        <v/>
      </c>
      <c r="E17" s="7" t="n"/>
      <c r="F17" s="4">
        <f>IF($A17="","", IF($E17&gt;=$D17,"Paid", IF(TODAY()&gt;$C17,"Overdue","Pending")))</f>
        <v/>
      </c>
      <c r="G17" s="5" t="n"/>
      <c r="H17" s="4" t="n"/>
      <c r="I17" s="7">
        <f>IF($A17="","", SUMIFS($D$2:$D$801,$A$2:$A$801,$A17) - SUMIFS($E$2:$E$801,$A$2:$A$801,$A17))</f>
        <v/>
      </c>
      <c r="J17" s="4">
        <f>IF($F17="Paid",0, IF($C17="","", MAX(0, TODAY()-$C17)))</f>
        <v/>
      </c>
      <c r="K17" s="4" t="n"/>
      <c r="L17" s="4" t="n"/>
    </row>
    <row r="18">
      <c r="A18" s="4" t="n"/>
      <c r="B18" s="4" t="n"/>
      <c r="C18" s="5">
        <f>IF(AND($A18&lt;&gt;"",$B18&lt;&gt;""), XLOOKUP($A18,Loan_Register!$A$2:$A$301,Loan_Register!$M$2:$M$301,"") + 7*($B18-1), "")</f>
        <v/>
      </c>
      <c r="D18" s="7">
        <f>IF($A18&lt;&gt;"", XLOOKUP($A18,Loan_Register!$A$2:$A$301,Loan_Register!$N$2:$N$301,""), "")</f>
        <v/>
      </c>
      <c r="E18" s="7" t="n"/>
      <c r="F18" s="4">
        <f>IF($A18="","", IF($E18&gt;=$D18,"Paid", IF(TODAY()&gt;$C18,"Overdue","Pending")))</f>
        <v/>
      </c>
      <c r="G18" s="5" t="n"/>
      <c r="H18" s="4" t="n"/>
      <c r="I18" s="7">
        <f>IF($A18="","", SUMIFS($D$2:$D$801,$A$2:$A$801,$A18) - SUMIFS($E$2:$E$801,$A$2:$A$801,$A18))</f>
        <v/>
      </c>
      <c r="J18" s="4">
        <f>IF($F18="Paid",0, IF($C18="","", MAX(0, TODAY()-$C18)))</f>
        <v/>
      </c>
      <c r="K18" s="4" t="n"/>
      <c r="L18" s="4" t="n"/>
    </row>
    <row r="19">
      <c r="A19" s="4" t="n"/>
      <c r="B19" s="4" t="n"/>
      <c r="C19" s="5">
        <f>IF(AND($A19&lt;&gt;"",$B19&lt;&gt;""), XLOOKUP($A19,Loan_Register!$A$2:$A$301,Loan_Register!$M$2:$M$301,"") + 7*($B19-1), "")</f>
        <v/>
      </c>
      <c r="D19" s="7">
        <f>IF($A19&lt;&gt;"", XLOOKUP($A19,Loan_Register!$A$2:$A$301,Loan_Register!$N$2:$N$301,""), "")</f>
        <v/>
      </c>
      <c r="E19" s="7" t="n"/>
      <c r="F19" s="4">
        <f>IF($A19="","", IF($E19&gt;=$D19,"Paid", IF(TODAY()&gt;$C19,"Overdue","Pending")))</f>
        <v/>
      </c>
      <c r="G19" s="5" t="n"/>
      <c r="H19" s="4" t="n"/>
      <c r="I19" s="7">
        <f>IF($A19="","", SUMIFS($D$2:$D$801,$A$2:$A$801,$A19) - SUMIFS($E$2:$E$801,$A$2:$A$801,$A19))</f>
        <v/>
      </c>
      <c r="J19" s="4">
        <f>IF($F19="Paid",0, IF($C19="","", MAX(0, TODAY()-$C19)))</f>
        <v/>
      </c>
      <c r="K19" s="4" t="n"/>
      <c r="L19" s="4" t="n"/>
    </row>
    <row r="20">
      <c r="A20" s="4" t="n"/>
      <c r="B20" s="4" t="n"/>
      <c r="C20" s="5">
        <f>IF(AND($A20&lt;&gt;"",$B20&lt;&gt;""), XLOOKUP($A20,Loan_Register!$A$2:$A$301,Loan_Register!$M$2:$M$301,"") + 7*($B20-1), "")</f>
        <v/>
      </c>
      <c r="D20" s="7">
        <f>IF($A20&lt;&gt;"", XLOOKUP($A20,Loan_Register!$A$2:$A$301,Loan_Register!$N$2:$N$301,""), "")</f>
        <v/>
      </c>
      <c r="E20" s="7" t="n"/>
      <c r="F20" s="4">
        <f>IF($A20="","", IF($E20&gt;=$D20,"Paid", IF(TODAY()&gt;$C20,"Overdue","Pending")))</f>
        <v/>
      </c>
      <c r="G20" s="5" t="n"/>
      <c r="H20" s="4" t="n"/>
      <c r="I20" s="7">
        <f>IF($A20="","", SUMIFS($D$2:$D$801,$A$2:$A$801,$A20) - SUMIFS($E$2:$E$801,$A$2:$A$801,$A20))</f>
        <v/>
      </c>
      <c r="J20" s="4">
        <f>IF($F20="Paid",0, IF($C20="","", MAX(0, TODAY()-$C20)))</f>
        <v/>
      </c>
      <c r="K20" s="4" t="n"/>
      <c r="L20" s="4" t="n"/>
    </row>
    <row r="21">
      <c r="A21" s="4" t="n"/>
      <c r="B21" s="4" t="n"/>
      <c r="C21" s="5">
        <f>IF(AND($A21&lt;&gt;"",$B21&lt;&gt;""), XLOOKUP($A21,Loan_Register!$A$2:$A$301,Loan_Register!$M$2:$M$301,"") + 7*($B21-1), "")</f>
        <v/>
      </c>
      <c r="D21" s="7">
        <f>IF($A21&lt;&gt;"", XLOOKUP($A21,Loan_Register!$A$2:$A$301,Loan_Register!$N$2:$N$301,""), "")</f>
        <v/>
      </c>
      <c r="E21" s="7" t="n"/>
      <c r="F21" s="4">
        <f>IF($A21="","", IF($E21&gt;=$D21,"Paid", IF(TODAY()&gt;$C21,"Overdue","Pending")))</f>
        <v/>
      </c>
      <c r="G21" s="5" t="n"/>
      <c r="H21" s="4" t="n"/>
      <c r="I21" s="7">
        <f>IF($A21="","", SUMIFS($D$2:$D$801,$A$2:$A$801,$A21) - SUMIFS($E$2:$E$801,$A$2:$A$801,$A21))</f>
        <v/>
      </c>
      <c r="J21" s="4">
        <f>IF($F21="Paid",0, IF($C21="","", MAX(0, TODAY()-$C21)))</f>
        <v/>
      </c>
      <c r="K21" s="4" t="n"/>
      <c r="L21" s="4" t="n"/>
    </row>
    <row r="22">
      <c r="A22" s="4" t="n"/>
      <c r="B22" s="4" t="n"/>
      <c r="C22" s="5">
        <f>IF(AND($A22&lt;&gt;"",$B22&lt;&gt;""), XLOOKUP($A22,Loan_Register!$A$2:$A$301,Loan_Register!$M$2:$M$301,"") + 7*($B22-1), "")</f>
        <v/>
      </c>
      <c r="D22" s="7">
        <f>IF($A22&lt;&gt;"", XLOOKUP($A22,Loan_Register!$A$2:$A$301,Loan_Register!$N$2:$N$301,""), "")</f>
        <v/>
      </c>
      <c r="E22" s="7" t="n"/>
      <c r="F22" s="4">
        <f>IF($A22="","", IF($E22&gt;=$D22,"Paid", IF(TODAY()&gt;$C22,"Overdue","Pending")))</f>
        <v/>
      </c>
      <c r="G22" s="5" t="n"/>
      <c r="H22" s="4" t="n"/>
      <c r="I22" s="7">
        <f>IF($A22="","", SUMIFS($D$2:$D$801,$A$2:$A$801,$A22) - SUMIFS($E$2:$E$801,$A$2:$A$801,$A22))</f>
        <v/>
      </c>
      <c r="J22" s="4">
        <f>IF($F22="Paid",0, IF($C22="","", MAX(0, TODAY()-$C22)))</f>
        <v/>
      </c>
      <c r="K22" s="4" t="n"/>
      <c r="L22" s="4" t="n"/>
    </row>
    <row r="23">
      <c r="A23" s="4" t="n"/>
      <c r="B23" s="4" t="n"/>
      <c r="C23" s="5">
        <f>IF(AND($A23&lt;&gt;"",$B23&lt;&gt;""), XLOOKUP($A23,Loan_Register!$A$2:$A$301,Loan_Register!$M$2:$M$301,"") + 7*($B23-1), "")</f>
        <v/>
      </c>
      <c r="D23" s="7">
        <f>IF($A23&lt;&gt;"", XLOOKUP($A23,Loan_Register!$A$2:$A$301,Loan_Register!$N$2:$N$301,""), "")</f>
        <v/>
      </c>
      <c r="E23" s="7" t="n"/>
      <c r="F23" s="4">
        <f>IF($A23="","", IF($E23&gt;=$D23,"Paid", IF(TODAY()&gt;$C23,"Overdue","Pending")))</f>
        <v/>
      </c>
      <c r="G23" s="5" t="n"/>
      <c r="H23" s="4" t="n"/>
      <c r="I23" s="7">
        <f>IF($A23="","", SUMIFS($D$2:$D$801,$A$2:$A$801,$A23) - SUMIFS($E$2:$E$801,$A$2:$A$801,$A23))</f>
        <v/>
      </c>
      <c r="J23" s="4">
        <f>IF($F23="Paid",0, IF($C23="","", MAX(0, TODAY()-$C23)))</f>
        <v/>
      </c>
      <c r="K23" s="4" t="n"/>
      <c r="L23" s="4" t="n"/>
    </row>
    <row r="24">
      <c r="A24" s="4" t="n"/>
      <c r="B24" s="4" t="n"/>
      <c r="C24" s="5">
        <f>IF(AND($A24&lt;&gt;"",$B24&lt;&gt;""), XLOOKUP($A24,Loan_Register!$A$2:$A$301,Loan_Register!$M$2:$M$301,"") + 7*($B24-1), "")</f>
        <v/>
      </c>
      <c r="D24" s="7">
        <f>IF($A24&lt;&gt;"", XLOOKUP($A24,Loan_Register!$A$2:$A$301,Loan_Register!$N$2:$N$301,""), "")</f>
        <v/>
      </c>
      <c r="E24" s="7" t="n"/>
      <c r="F24" s="4">
        <f>IF($A24="","", IF($E24&gt;=$D24,"Paid", IF(TODAY()&gt;$C24,"Overdue","Pending")))</f>
        <v/>
      </c>
      <c r="G24" s="5" t="n"/>
      <c r="H24" s="4" t="n"/>
      <c r="I24" s="7">
        <f>IF($A24="","", SUMIFS($D$2:$D$801,$A$2:$A$801,$A24) - SUMIFS($E$2:$E$801,$A$2:$A$801,$A24))</f>
        <v/>
      </c>
      <c r="J24" s="4">
        <f>IF($F24="Paid",0, IF($C24="","", MAX(0, TODAY()-$C24)))</f>
        <v/>
      </c>
      <c r="K24" s="4" t="n"/>
      <c r="L24" s="4" t="n"/>
    </row>
    <row r="25">
      <c r="A25" s="4" t="n"/>
      <c r="B25" s="4" t="n"/>
      <c r="C25" s="5">
        <f>IF(AND($A25&lt;&gt;"",$B25&lt;&gt;""), XLOOKUP($A25,Loan_Register!$A$2:$A$301,Loan_Register!$M$2:$M$301,"") + 7*($B25-1), "")</f>
        <v/>
      </c>
      <c r="D25" s="7">
        <f>IF($A25&lt;&gt;"", XLOOKUP($A25,Loan_Register!$A$2:$A$301,Loan_Register!$N$2:$N$301,""), "")</f>
        <v/>
      </c>
      <c r="E25" s="7" t="n"/>
      <c r="F25" s="4">
        <f>IF($A25="","", IF($E25&gt;=$D25,"Paid", IF(TODAY()&gt;$C25,"Overdue","Pending")))</f>
        <v/>
      </c>
      <c r="G25" s="5" t="n"/>
      <c r="H25" s="4" t="n"/>
      <c r="I25" s="7">
        <f>IF($A25="","", SUMIFS($D$2:$D$801,$A$2:$A$801,$A25) - SUMIFS($E$2:$E$801,$A$2:$A$801,$A25))</f>
        <v/>
      </c>
      <c r="J25" s="4">
        <f>IF($F25="Paid",0, IF($C25="","", MAX(0, TODAY()-$C25)))</f>
        <v/>
      </c>
      <c r="K25" s="4" t="n"/>
      <c r="L25" s="4" t="n"/>
    </row>
    <row r="26">
      <c r="A26" s="4" t="n"/>
      <c r="B26" s="4" t="n"/>
      <c r="C26" s="5">
        <f>IF(AND($A26&lt;&gt;"",$B26&lt;&gt;""), XLOOKUP($A26,Loan_Register!$A$2:$A$301,Loan_Register!$M$2:$M$301,"") + 7*($B26-1), "")</f>
        <v/>
      </c>
      <c r="D26" s="7">
        <f>IF($A26&lt;&gt;"", XLOOKUP($A26,Loan_Register!$A$2:$A$301,Loan_Register!$N$2:$N$301,""), "")</f>
        <v/>
      </c>
      <c r="E26" s="7" t="n"/>
      <c r="F26" s="4">
        <f>IF($A26="","", IF($E26&gt;=$D26,"Paid", IF(TODAY()&gt;$C26,"Overdue","Pending")))</f>
        <v/>
      </c>
      <c r="G26" s="5" t="n"/>
      <c r="H26" s="4" t="n"/>
      <c r="I26" s="7">
        <f>IF($A26="","", SUMIFS($D$2:$D$801,$A$2:$A$801,$A26) - SUMIFS($E$2:$E$801,$A$2:$A$801,$A26))</f>
        <v/>
      </c>
      <c r="J26" s="4">
        <f>IF($F26="Paid",0, IF($C26="","", MAX(0, TODAY()-$C26)))</f>
        <v/>
      </c>
      <c r="K26" s="4" t="n"/>
      <c r="L26" s="4" t="n"/>
    </row>
    <row r="27">
      <c r="A27" s="4" t="n"/>
      <c r="B27" s="4" t="n"/>
      <c r="C27" s="5">
        <f>IF(AND($A27&lt;&gt;"",$B27&lt;&gt;""), XLOOKUP($A27,Loan_Register!$A$2:$A$301,Loan_Register!$M$2:$M$301,"") + 7*($B27-1), "")</f>
        <v/>
      </c>
      <c r="D27" s="7">
        <f>IF($A27&lt;&gt;"", XLOOKUP($A27,Loan_Register!$A$2:$A$301,Loan_Register!$N$2:$N$301,""), "")</f>
        <v/>
      </c>
      <c r="E27" s="7" t="n"/>
      <c r="F27" s="4">
        <f>IF($A27="","", IF($E27&gt;=$D27,"Paid", IF(TODAY()&gt;$C27,"Overdue","Pending")))</f>
        <v/>
      </c>
      <c r="G27" s="5" t="n"/>
      <c r="H27" s="4" t="n"/>
      <c r="I27" s="7">
        <f>IF($A27="","", SUMIFS($D$2:$D$801,$A$2:$A$801,$A27) - SUMIFS($E$2:$E$801,$A$2:$A$801,$A27))</f>
        <v/>
      </c>
      <c r="J27" s="4">
        <f>IF($F27="Paid",0, IF($C27="","", MAX(0, TODAY()-$C27)))</f>
        <v/>
      </c>
      <c r="K27" s="4" t="n"/>
      <c r="L27" s="4" t="n"/>
    </row>
    <row r="28">
      <c r="A28" s="4" t="n"/>
      <c r="B28" s="4" t="n"/>
      <c r="C28" s="5">
        <f>IF(AND($A28&lt;&gt;"",$B28&lt;&gt;""), XLOOKUP($A28,Loan_Register!$A$2:$A$301,Loan_Register!$M$2:$M$301,"") + 7*($B28-1), "")</f>
        <v/>
      </c>
      <c r="D28" s="7">
        <f>IF($A28&lt;&gt;"", XLOOKUP($A28,Loan_Register!$A$2:$A$301,Loan_Register!$N$2:$N$301,""), "")</f>
        <v/>
      </c>
      <c r="E28" s="7" t="n"/>
      <c r="F28" s="4">
        <f>IF($A28="","", IF($E28&gt;=$D28,"Paid", IF(TODAY()&gt;$C28,"Overdue","Pending")))</f>
        <v/>
      </c>
      <c r="G28" s="5" t="n"/>
      <c r="H28" s="4" t="n"/>
      <c r="I28" s="7">
        <f>IF($A28="","", SUMIFS($D$2:$D$801,$A$2:$A$801,$A28) - SUMIFS($E$2:$E$801,$A$2:$A$801,$A28))</f>
        <v/>
      </c>
      <c r="J28" s="4">
        <f>IF($F28="Paid",0, IF($C28="","", MAX(0, TODAY()-$C28)))</f>
        <v/>
      </c>
      <c r="K28" s="4" t="n"/>
      <c r="L28" s="4" t="n"/>
    </row>
    <row r="29">
      <c r="A29" s="4" t="n"/>
      <c r="B29" s="4" t="n"/>
      <c r="C29" s="5">
        <f>IF(AND($A29&lt;&gt;"",$B29&lt;&gt;""), XLOOKUP($A29,Loan_Register!$A$2:$A$301,Loan_Register!$M$2:$M$301,"") + 7*($B29-1), "")</f>
        <v/>
      </c>
      <c r="D29" s="7">
        <f>IF($A29&lt;&gt;"", XLOOKUP($A29,Loan_Register!$A$2:$A$301,Loan_Register!$N$2:$N$301,""), "")</f>
        <v/>
      </c>
      <c r="E29" s="7" t="n"/>
      <c r="F29" s="4">
        <f>IF($A29="","", IF($E29&gt;=$D29,"Paid", IF(TODAY()&gt;$C29,"Overdue","Pending")))</f>
        <v/>
      </c>
      <c r="G29" s="5" t="n"/>
      <c r="H29" s="4" t="n"/>
      <c r="I29" s="7">
        <f>IF($A29="","", SUMIFS($D$2:$D$801,$A$2:$A$801,$A29) - SUMIFS($E$2:$E$801,$A$2:$A$801,$A29))</f>
        <v/>
      </c>
      <c r="J29" s="4">
        <f>IF($F29="Paid",0, IF($C29="","", MAX(0, TODAY()-$C29)))</f>
        <v/>
      </c>
      <c r="K29" s="4" t="n"/>
      <c r="L29" s="4" t="n"/>
    </row>
    <row r="30">
      <c r="A30" s="4" t="n"/>
      <c r="B30" s="4" t="n"/>
      <c r="C30" s="5">
        <f>IF(AND($A30&lt;&gt;"",$B30&lt;&gt;""), XLOOKUP($A30,Loan_Register!$A$2:$A$301,Loan_Register!$M$2:$M$301,"") + 7*($B30-1), "")</f>
        <v/>
      </c>
      <c r="D30" s="7">
        <f>IF($A30&lt;&gt;"", XLOOKUP($A30,Loan_Register!$A$2:$A$301,Loan_Register!$N$2:$N$301,""), "")</f>
        <v/>
      </c>
      <c r="E30" s="7" t="n"/>
      <c r="F30" s="4">
        <f>IF($A30="","", IF($E30&gt;=$D30,"Paid", IF(TODAY()&gt;$C30,"Overdue","Pending")))</f>
        <v/>
      </c>
      <c r="G30" s="5" t="n"/>
      <c r="H30" s="4" t="n"/>
      <c r="I30" s="7">
        <f>IF($A30="","", SUMIFS($D$2:$D$801,$A$2:$A$801,$A30) - SUMIFS($E$2:$E$801,$A$2:$A$801,$A30))</f>
        <v/>
      </c>
      <c r="J30" s="4">
        <f>IF($F30="Paid",0, IF($C30="","", MAX(0, TODAY()-$C30)))</f>
        <v/>
      </c>
      <c r="K30" s="4" t="n"/>
      <c r="L30" s="4" t="n"/>
    </row>
    <row r="31">
      <c r="A31" s="4" t="n"/>
      <c r="B31" s="4" t="n"/>
      <c r="C31" s="5">
        <f>IF(AND($A31&lt;&gt;"",$B31&lt;&gt;""), XLOOKUP($A31,Loan_Register!$A$2:$A$301,Loan_Register!$M$2:$M$301,"") + 7*($B31-1), "")</f>
        <v/>
      </c>
      <c r="D31" s="7">
        <f>IF($A31&lt;&gt;"", XLOOKUP($A31,Loan_Register!$A$2:$A$301,Loan_Register!$N$2:$N$301,""), "")</f>
        <v/>
      </c>
      <c r="E31" s="7" t="n"/>
      <c r="F31" s="4">
        <f>IF($A31="","", IF($E31&gt;=$D31,"Paid", IF(TODAY()&gt;$C31,"Overdue","Pending")))</f>
        <v/>
      </c>
      <c r="G31" s="5" t="n"/>
      <c r="H31" s="4" t="n"/>
      <c r="I31" s="7">
        <f>IF($A31="","", SUMIFS($D$2:$D$801,$A$2:$A$801,$A31) - SUMIFS($E$2:$E$801,$A$2:$A$801,$A31))</f>
        <v/>
      </c>
      <c r="J31" s="4">
        <f>IF($F31="Paid",0, IF($C31="","", MAX(0, TODAY()-$C31)))</f>
        <v/>
      </c>
      <c r="K31" s="4" t="n"/>
      <c r="L31" s="4" t="n"/>
    </row>
    <row r="32">
      <c r="A32" s="4" t="n"/>
      <c r="B32" s="4" t="n"/>
      <c r="C32" s="5">
        <f>IF(AND($A32&lt;&gt;"",$B32&lt;&gt;""), XLOOKUP($A32,Loan_Register!$A$2:$A$301,Loan_Register!$M$2:$M$301,"") + 7*($B32-1), "")</f>
        <v/>
      </c>
      <c r="D32" s="7">
        <f>IF($A32&lt;&gt;"", XLOOKUP($A32,Loan_Register!$A$2:$A$301,Loan_Register!$N$2:$N$301,""), "")</f>
        <v/>
      </c>
      <c r="E32" s="7" t="n"/>
      <c r="F32" s="4">
        <f>IF($A32="","", IF($E32&gt;=$D32,"Paid", IF(TODAY()&gt;$C32,"Overdue","Pending")))</f>
        <v/>
      </c>
      <c r="G32" s="5" t="n"/>
      <c r="H32" s="4" t="n"/>
      <c r="I32" s="7">
        <f>IF($A32="","", SUMIFS($D$2:$D$801,$A$2:$A$801,$A32) - SUMIFS($E$2:$E$801,$A$2:$A$801,$A32))</f>
        <v/>
      </c>
      <c r="J32" s="4">
        <f>IF($F32="Paid",0, IF($C32="","", MAX(0, TODAY()-$C32)))</f>
        <v/>
      </c>
      <c r="K32" s="4" t="n"/>
      <c r="L32" s="4" t="n"/>
    </row>
    <row r="33">
      <c r="A33" s="4" t="n"/>
      <c r="B33" s="4" t="n"/>
      <c r="C33" s="5">
        <f>IF(AND($A33&lt;&gt;"",$B33&lt;&gt;""), XLOOKUP($A33,Loan_Register!$A$2:$A$301,Loan_Register!$M$2:$M$301,"") + 7*($B33-1), "")</f>
        <v/>
      </c>
      <c r="D33" s="7">
        <f>IF($A33&lt;&gt;"", XLOOKUP($A33,Loan_Register!$A$2:$A$301,Loan_Register!$N$2:$N$301,""), "")</f>
        <v/>
      </c>
      <c r="E33" s="7" t="n"/>
      <c r="F33" s="4">
        <f>IF($A33="","", IF($E33&gt;=$D33,"Paid", IF(TODAY()&gt;$C33,"Overdue","Pending")))</f>
        <v/>
      </c>
      <c r="G33" s="5" t="n"/>
      <c r="H33" s="4" t="n"/>
      <c r="I33" s="7">
        <f>IF($A33="","", SUMIFS($D$2:$D$801,$A$2:$A$801,$A33) - SUMIFS($E$2:$E$801,$A$2:$A$801,$A33))</f>
        <v/>
      </c>
      <c r="J33" s="4">
        <f>IF($F33="Paid",0, IF($C33="","", MAX(0, TODAY()-$C33)))</f>
        <v/>
      </c>
      <c r="K33" s="4" t="n"/>
      <c r="L33" s="4" t="n"/>
    </row>
    <row r="34">
      <c r="A34" s="4" t="n"/>
      <c r="B34" s="4" t="n"/>
      <c r="C34" s="5">
        <f>IF(AND($A34&lt;&gt;"",$B34&lt;&gt;""), XLOOKUP($A34,Loan_Register!$A$2:$A$301,Loan_Register!$M$2:$M$301,"") + 7*($B34-1), "")</f>
        <v/>
      </c>
      <c r="D34" s="7">
        <f>IF($A34&lt;&gt;"", XLOOKUP($A34,Loan_Register!$A$2:$A$301,Loan_Register!$N$2:$N$301,""), "")</f>
        <v/>
      </c>
      <c r="E34" s="7" t="n"/>
      <c r="F34" s="4">
        <f>IF($A34="","", IF($E34&gt;=$D34,"Paid", IF(TODAY()&gt;$C34,"Overdue","Pending")))</f>
        <v/>
      </c>
      <c r="G34" s="5" t="n"/>
      <c r="H34" s="4" t="n"/>
      <c r="I34" s="7">
        <f>IF($A34="","", SUMIFS($D$2:$D$801,$A$2:$A$801,$A34) - SUMIFS($E$2:$E$801,$A$2:$A$801,$A34))</f>
        <v/>
      </c>
      <c r="J34" s="4">
        <f>IF($F34="Paid",0, IF($C34="","", MAX(0, TODAY()-$C34)))</f>
        <v/>
      </c>
      <c r="K34" s="4" t="n"/>
      <c r="L34" s="4" t="n"/>
    </row>
    <row r="35">
      <c r="A35" s="4" t="n"/>
      <c r="B35" s="4" t="n"/>
      <c r="C35" s="5">
        <f>IF(AND($A35&lt;&gt;"",$B35&lt;&gt;""), XLOOKUP($A35,Loan_Register!$A$2:$A$301,Loan_Register!$M$2:$M$301,"") + 7*($B35-1), "")</f>
        <v/>
      </c>
      <c r="D35" s="7">
        <f>IF($A35&lt;&gt;"", XLOOKUP($A35,Loan_Register!$A$2:$A$301,Loan_Register!$N$2:$N$301,""), "")</f>
        <v/>
      </c>
      <c r="E35" s="7" t="n"/>
      <c r="F35" s="4">
        <f>IF($A35="","", IF($E35&gt;=$D35,"Paid", IF(TODAY()&gt;$C35,"Overdue","Pending")))</f>
        <v/>
      </c>
      <c r="G35" s="5" t="n"/>
      <c r="H35" s="4" t="n"/>
      <c r="I35" s="7">
        <f>IF($A35="","", SUMIFS($D$2:$D$801,$A$2:$A$801,$A35) - SUMIFS($E$2:$E$801,$A$2:$A$801,$A35))</f>
        <v/>
      </c>
      <c r="J35" s="4">
        <f>IF($F35="Paid",0, IF($C35="","", MAX(0, TODAY()-$C35)))</f>
        <v/>
      </c>
      <c r="K35" s="4" t="n"/>
      <c r="L35" s="4" t="n"/>
    </row>
    <row r="36">
      <c r="A36" s="4" t="n"/>
      <c r="B36" s="4" t="n"/>
      <c r="C36" s="5">
        <f>IF(AND($A36&lt;&gt;"",$B36&lt;&gt;""), XLOOKUP($A36,Loan_Register!$A$2:$A$301,Loan_Register!$M$2:$M$301,"") + 7*($B36-1), "")</f>
        <v/>
      </c>
      <c r="D36" s="7">
        <f>IF($A36&lt;&gt;"", XLOOKUP($A36,Loan_Register!$A$2:$A$301,Loan_Register!$N$2:$N$301,""), "")</f>
        <v/>
      </c>
      <c r="E36" s="7" t="n"/>
      <c r="F36" s="4">
        <f>IF($A36="","", IF($E36&gt;=$D36,"Paid", IF(TODAY()&gt;$C36,"Overdue","Pending")))</f>
        <v/>
      </c>
      <c r="G36" s="5" t="n"/>
      <c r="H36" s="4" t="n"/>
      <c r="I36" s="7">
        <f>IF($A36="","", SUMIFS($D$2:$D$801,$A$2:$A$801,$A36) - SUMIFS($E$2:$E$801,$A$2:$A$801,$A36))</f>
        <v/>
      </c>
      <c r="J36" s="4">
        <f>IF($F36="Paid",0, IF($C36="","", MAX(0, TODAY()-$C36)))</f>
        <v/>
      </c>
      <c r="K36" s="4" t="n"/>
      <c r="L36" s="4" t="n"/>
    </row>
    <row r="37">
      <c r="A37" s="4" t="n"/>
      <c r="B37" s="4" t="n"/>
      <c r="C37" s="5">
        <f>IF(AND($A37&lt;&gt;"",$B37&lt;&gt;""), XLOOKUP($A37,Loan_Register!$A$2:$A$301,Loan_Register!$M$2:$M$301,"") + 7*($B37-1), "")</f>
        <v/>
      </c>
      <c r="D37" s="7">
        <f>IF($A37&lt;&gt;"", XLOOKUP($A37,Loan_Register!$A$2:$A$301,Loan_Register!$N$2:$N$301,""), "")</f>
        <v/>
      </c>
      <c r="E37" s="7" t="n"/>
      <c r="F37" s="4">
        <f>IF($A37="","", IF($E37&gt;=$D37,"Paid", IF(TODAY()&gt;$C37,"Overdue","Pending")))</f>
        <v/>
      </c>
      <c r="G37" s="5" t="n"/>
      <c r="H37" s="4" t="n"/>
      <c r="I37" s="7">
        <f>IF($A37="","", SUMIFS($D$2:$D$801,$A$2:$A$801,$A37) - SUMIFS($E$2:$E$801,$A$2:$A$801,$A37))</f>
        <v/>
      </c>
      <c r="J37" s="4">
        <f>IF($F37="Paid",0, IF($C37="","", MAX(0, TODAY()-$C37)))</f>
        <v/>
      </c>
      <c r="K37" s="4" t="n"/>
      <c r="L37" s="4" t="n"/>
    </row>
    <row r="38">
      <c r="A38" s="4" t="n"/>
      <c r="B38" s="4" t="n"/>
      <c r="C38" s="5">
        <f>IF(AND($A38&lt;&gt;"",$B38&lt;&gt;""), XLOOKUP($A38,Loan_Register!$A$2:$A$301,Loan_Register!$M$2:$M$301,"") + 7*($B38-1), "")</f>
        <v/>
      </c>
      <c r="D38" s="7">
        <f>IF($A38&lt;&gt;"", XLOOKUP($A38,Loan_Register!$A$2:$A$301,Loan_Register!$N$2:$N$301,""), "")</f>
        <v/>
      </c>
      <c r="E38" s="7" t="n"/>
      <c r="F38" s="4">
        <f>IF($A38="","", IF($E38&gt;=$D38,"Paid", IF(TODAY()&gt;$C38,"Overdue","Pending")))</f>
        <v/>
      </c>
      <c r="G38" s="5" t="n"/>
      <c r="H38" s="4" t="n"/>
      <c r="I38" s="7">
        <f>IF($A38="","", SUMIFS($D$2:$D$801,$A$2:$A$801,$A38) - SUMIFS($E$2:$E$801,$A$2:$A$801,$A38))</f>
        <v/>
      </c>
      <c r="J38" s="4">
        <f>IF($F38="Paid",0, IF($C38="","", MAX(0, TODAY()-$C38)))</f>
        <v/>
      </c>
      <c r="K38" s="4" t="n"/>
      <c r="L38" s="4" t="n"/>
    </row>
    <row r="39">
      <c r="A39" s="4" t="n"/>
      <c r="B39" s="4" t="n"/>
      <c r="C39" s="5">
        <f>IF(AND($A39&lt;&gt;"",$B39&lt;&gt;""), XLOOKUP($A39,Loan_Register!$A$2:$A$301,Loan_Register!$M$2:$M$301,"") + 7*($B39-1), "")</f>
        <v/>
      </c>
      <c r="D39" s="7">
        <f>IF($A39&lt;&gt;"", XLOOKUP($A39,Loan_Register!$A$2:$A$301,Loan_Register!$N$2:$N$301,""), "")</f>
        <v/>
      </c>
      <c r="E39" s="7" t="n"/>
      <c r="F39" s="4">
        <f>IF($A39="","", IF($E39&gt;=$D39,"Paid", IF(TODAY()&gt;$C39,"Overdue","Pending")))</f>
        <v/>
      </c>
      <c r="G39" s="5" t="n"/>
      <c r="H39" s="4" t="n"/>
      <c r="I39" s="7">
        <f>IF($A39="","", SUMIFS($D$2:$D$801,$A$2:$A$801,$A39) - SUMIFS($E$2:$E$801,$A$2:$A$801,$A39))</f>
        <v/>
      </c>
      <c r="J39" s="4">
        <f>IF($F39="Paid",0, IF($C39="","", MAX(0, TODAY()-$C39)))</f>
        <v/>
      </c>
      <c r="K39" s="4" t="n"/>
      <c r="L39" s="4" t="n"/>
    </row>
    <row r="40">
      <c r="A40" s="4" t="n"/>
      <c r="B40" s="4" t="n"/>
      <c r="C40" s="5">
        <f>IF(AND($A40&lt;&gt;"",$B40&lt;&gt;""), XLOOKUP($A40,Loan_Register!$A$2:$A$301,Loan_Register!$M$2:$M$301,"") + 7*($B40-1), "")</f>
        <v/>
      </c>
      <c r="D40" s="7">
        <f>IF($A40&lt;&gt;"", XLOOKUP($A40,Loan_Register!$A$2:$A$301,Loan_Register!$N$2:$N$301,""), "")</f>
        <v/>
      </c>
      <c r="E40" s="7" t="n"/>
      <c r="F40" s="4">
        <f>IF($A40="","", IF($E40&gt;=$D40,"Paid", IF(TODAY()&gt;$C40,"Overdue","Pending")))</f>
        <v/>
      </c>
      <c r="G40" s="5" t="n"/>
      <c r="H40" s="4" t="n"/>
      <c r="I40" s="7">
        <f>IF($A40="","", SUMIFS($D$2:$D$801,$A$2:$A$801,$A40) - SUMIFS($E$2:$E$801,$A$2:$A$801,$A40))</f>
        <v/>
      </c>
      <c r="J40" s="4">
        <f>IF($F40="Paid",0, IF($C40="","", MAX(0, TODAY()-$C40)))</f>
        <v/>
      </c>
      <c r="K40" s="4" t="n"/>
      <c r="L40" s="4" t="n"/>
    </row>
    <row r="41">
      <c r="A41" s="4" t="n"/>
      <c r="B41" s="4" t="n"/>
      <c r="C41" s="5">
        <f>IF(AND($A41&lt;&gt;"",$B41&lt;&gt;""), XLOOKUP($A41,Loan_Register!$A$2:$A$301,Loan_Register!$M$2:$M$301,"") + 7*($B41-1), "")</f>
        <v/>
      </c>
      <c r="D41" s="7">
        <f>IF($A41&lt;&gt;"", XLOOKUP($A41,Loan_Register!$A$2:$A$301,Loan_Register!$N$2:$N$301,""), "")</f>
        <v/>
      </c>
      <c r="E41" s="7" t="n"/>
      <c r="F41" s="4">
        <f>IF($A41="","", IF($E41&gt;=$D41,"Paid", IF(TODAY()&gt;$C41,"Overdue","Pending")))</f>
        <v/>
      </c>
      <c r="G41" s="5" t="n"/>
      <c r="H41" s="4" t="n"/>
      <c r="I41" s="7">
        <f>IF($A41="","", SUMIFS($D$2:$D$801,$A$2:$A$801,$A41) - SUMIFS($E$2:$E$801,$A$2:$A$801,$A41))</f>
        <v/>
      </c>
      <c r="J41" s="4">
        <f>IF($F41="Paid",0, IF($C41="","", MAX(0, TODAY()-$C41)))</f>
        <v/>
      </c>
      <c r="K41" s="4" t="n"/>
      <c r="L41" s="4" t="n"/>
    </row>
    <row r="42">
      <c r="A42" s="4" t="n"/>
      <c r="B42" s="4" t="n"/>
      <c r="C42" s="5">
        <f>IF(AND($A42&lt;&gt;"",$B42&lt;&gt;""), XLOOKUP($A42,Loan_Register!$A$2:$A$301,Loan_Register!$M$2:$M$301,"") + 7*($B42-1), "")</f>
        <v/>
      </c>
      <c r="D42" s="7">
        <f>IF($A42&lt;&gt;"", XLOOKUP($A42,Loan_Register!$A$2:$A$301,Loan_Register!$N$2:$N$301,""), "")</f>
        <v/>
      </c>
      <c r="E42" s="7" t="n"/>
      <c r="F42" s="4">
        <f>IF($A42="","", IF($E42&gt;=$D42,"Paid", IF(TODAY()&gt;$C42,"Overdue","Pending")))</f>
        <v/>
      </c>
      <c r="G42" s="5" t="n"/>
      <c r="H42" s="4" t="n"/>
      <c r="I42" s="7">
        <f>IF($A42="","", SUMIFS($D$2:$D$801,$A$2:$A$801,$A42) - SUMIFS($E$2:$E$801,$A$2:$A$801,$A42))</f>
        <v/>
      </c>
      <c r="J42" s="4">
        <f>IF($F42="Paid",0, IF($C42="","", MAX(0, TODAY()-$C42)))</f>
        <v/>
      </c>
      <c r="K42" s="4" t="n"/>
      <c r="L42" s="4" t="n"/>
    </row>
    <row r="43">
      <c r="A43" s="4" t="n"/>
      <c r="B43" s="4" t="n"/>
      <c r="C43" s="5">
        <f>IF(AND($A43&lt;&gt;"",$B43&lt;&gt;""), XLOOKUP($A43,Loan_Register!$A$2:$A$301,Loan_Register!$M$2:$M$301,"") + 7*($B43-1), "")</f>
        <v/>
      </c>
      <c r="D43" s="7">
        <f>IF($A43&lt;&gt;"", XLOOKUP($A43,Loan_Register!$A$2:$A$301,Loan_Register!$N$2:$N$301,""), "")</f>
        <v/>
      </c>
      <c r="E43" s="7" t="n"/>
      <c r="F43" s="4">
        <f>IF($A43="","", IF($E43&gt;=$D43,"Paid", IF(TODAY()&gt;$C43,"Overdue","Pending")))</f>
        <v/>
      </c>
      <c r="G43" s="5" t="n"/>
      <c r="H43" s="4" t="n"/>
      <c r="I43" s="7">
        <f>IF($A43="","", SUMIFS($D$2:$D$801,$A$2:$A$801,$A43) - SUMIFS($E$2:$E$801,$A$2:$A$801,$A43))</f>
        <v/>
      </c>
      <c r="J43" s="4">
        <f>IF($F43="Paid",0, IF($C43="","", MAX(0, TODAY()-$C43)))</f>
        <v/>
      </c>
      <c r="K43" s="4" t="n"/>
      <c r="L43" s="4" t="n"/>
    </row>
    <row r="44">
      <c r="A44" s="4" t="n"/>
      <c r="B44" s="4" t="n"/>
      <c r="C44" s="5">
        <f>IF(AND($A44&lt;&gt;"",$B44&lt;&gt;""), XLOOKUP($A44,Loan_Register!$A$2:$A$301,Loan_Register!$M$2:$M$301,"") + 7*($B44-1), "")</f>
        <v/>
      </c>
      <c r="D44" s="7">
        <f>IF($A44&lt;&gt;"", XLOOKUP($A44,Loan_Register!$A$2:$A$301,Loan_Register!$N$2:$N$301,""), "")</f>
        <v/>
      </c>
      <c r="E44" s="7" t="n"/>
      <c r="F44" s="4">
        <f>IF($A44="","", IF($E44&gt;=$D44,"Paid", IF(TODAY()&gt;$C44,"Overdue","Pending")))</f>
        <v/>
      </c>
      <c r="G44" s="5" t="n"/>
      <c r="H44" s="4" t="n"/>
      <c r="I44" s="7">
        <f>IF($A44="","", SUMIFS($D$2:$D$801,$A$2:$A$801,$A44) - SUMIFS($E$2:$E$801,$A$2:$A$801,$A44))</f>
        <v/>
      </c>
      <c r="J44" s="4">
        <f>IF($F44="Paid",0, IF($C44="","", MAX(0, TODAY()-$C44)))</f>
        <v/>
      </c>
      <c r="K44" s="4" t="n"/>
      <c r="L44" s="4" t="n"/>
    </row>
    <row r="45">
      <c r="A45" s="4" t="n"/>
      <c r="B45" s="4" t="n"/>
      <c r="C45" s="5">
        <f>IF(AND($A45&lt;&gt;"",$B45&lt;&gt;""), XLOOKUP($A45,Loan_Register!$A$2:$A$301,Loan_Register!$M$2:$M$301,"") + 7*($B45-1), "")</f>
        <v/>
      </c>
      <c r="D45" s="7">
        <f>IF($A45&lt;&gt;"", XLOOKUP($A45,Loan_Register!$A$2:$A$301,Loan_Register!$N$2:$N$301,""), "")</f>
        <v/>
      </c>
      <c r="E45" s="7" t="n"/>
      <c r="F45" s="4">
        <f>IF($A45="","", IF($E45&gt;=$D45,"Paid", IF(TODAY()&gt;$C45,"Overdue","Pending")))</f>
        <v/>
      </c>
      <c r="G45" s="5" t="n"/>
      <c r="H45" s="4" t="n"/>
      <c r="I45" s="7">
        <f>IF($A45="","", SUMIFS($D$2:$D$801,$A$2:$A$801,$A45) - SUMIFS($E$2:$E$801,$A$2:$A$801,$A45))</f>
        <v/>
      </c>
      <c r="J45" s="4">
        <f>IF($F45="Paid",0, IF($C45="","", MAX(0, TODAY()-$C45)))</f>
        <v/>
      </c>
      <c r="K45" s="4" t="n"/>
      <c r="L45" s="4" t="n"/>
    </row>
    <row r="46">
      <c r="A46" s="4" t="n"/>
      <c r="B46" s="4" t="n"/>
      <c r="C46" s="5">
        <f>IF(AND($A46&lt;&gt;"",$B46&lt;&gt;""), XLOOKUP($A46,Loan_Register!$A$2:$A$301,Loan_Register!$M$2:$M$301,"") + 7*($B46-1), "")</f>
        <v/>
      </c>
      <c r="D46" s="7">
        <f>IF($A46&lt;&gt;"", XLOOKUP($A46,Loan_Register!$A$2:$A$301,Loan_Register!$N$2:$N$301,""), "")</f>
        <v/>
      </c>
      <c r="E46" s="7" t="n"/>
      <c r="F46" s="4">
        <f>IF($A46="","", IF($E46&gt;=$D46,"Paid", IF(TODAY()&gt;$C46,"Overdue","Pending")))</f>
        <v/>
      </c>
      <c r="G46" s="5" t="n"/>
      <c r="H46" s="4" t="n"/>
      <c r="I46" s="7">
        <f>IF($A46="","", SUMIFS($D$2:$D$801,$A$2:$A$801,$A46) - SUMIFS($E$2:$E$801,$A$2:$A$801,$A46))</f>
        <v/>
      </c>
      <c r="J46" s="4">
        <f>IF($F46="Paid",0, IF($C46="","", MAX(0, TODAY()-$C46)))</f>
        <v/>
      </c>
      <c r="K46" s="4" t="n"/>
      <c r="L46" s="4" t="n"/>
    </row>
    <row r="47">
      <c r="A47" s="4" t="n"/>
      <c r="B47" s="4" t="n"/>
      <c r="C47" s="5">
        <f>IF(AND($A47&lt;&gt;"",$B47&lt;&gt;""), XLOOKUP($A47,Loan_Register!$A$2:$A$301,Loan_Register!$M$2:$M$301,"") + 7*($B47-1), "")</f>
        <v/>
      </c>
      <c r="D47" s="7">
        <f>IF($A47&lt;&gt;"", XLOOKUP($A47,Loan_Register!$A$2:$A$301,Loan_Register!$N$2:$N$301,""), "")</f>
        <v/>
      </c>
      <c r="E47" s="7" t="n"/>
      <c r="F47" s="4">
        <f>IF($A47="","", IF($E47&gt;=$D47,"Paid", IF(TODAY()&gt;$C47,"Overdue","Pending")))</f>
        <v/>
      </c>
      <c r="G47" s="5" t="n"/>
      <c r="H47" s="4" t="n"/>
      <c r="I47" s="7">
        <f>IF($A47="","", SUMIFS($D$2:$D$801,$A$2:$A$801,$A47) - SUMIFS($E$2:$E$801,$A$2:$A$801,$A47))</f>
        <v/>
      </c>
      <c r="J47" s="4">
        <f>IF($F47="Paid",0, IF($C47="","", MAX(0, TODAY()-$C47)))</f>
        <v/>
      </c>
      <c r="K47" s="4" t="n"/>
      <c r="L47" s="4" t="n"/>
    </row>
    <row r="48">
      <c r="A48" s="4" t="n"/>
      <c r="B48" s="4" t="n"/>
      <c r="C48" s="5">
        <f>IF(AND($A48&lt;&gt;"",$B48&lt;&gt;""), XLOOKUP($A48,Loan_Register!$A$2:$A$301,Loan_Register!$M$2:$M$301,"") + 7*($B48-1), "")</f>
        <v/>
      </c>
      <c r="D48" s="7">
        <f>IF($A48&lt;&gt;"", XLOOKUP($A48,Loan_Register!$A$2:$A$301,Loan_Register!$N$2:$N$301,""), "")</f>
        <v/>
      </c>
      <c r="E48" s="7" t="n"/>
      <c r="F48" s="4">
        <f>IF($A48="","", IF($E48&gt;=$D48,"Paid", IF(TODAY()&gt;$C48,"Overdue","Pending")))</f>
        <v/>
      </c>
      <c r="G48" s="5" t="n"/>
      <c r="H48" s="4" t="n"/>
      <c r="I48" s="7">
        <f>IF($A48="","", SUMIFS($D$2:$D$801,$A$2:$A$801,$A48) - SUMIFS($E$2:$E$801,$A$2:$A$801,$A48))</f>
        <v/>
      </c>
      <c r="J48" s="4">
        <f>IF($F48="Paid",0, IF($C48="","", MAX(0, TODAY()-$C48)))</f>
        <v/>
      </c>
      <c r="K48" s="4" t="n"/>
      <c r="L48" s="4" t="n"/>
    </row>
    <row r="49">
      <c r="A49" s="4" t="n"/>
      <c r="B49" s="4" t="n"/>
      <c r="C49" s="5">
        <f>IF(AND($A49&lt;&gt;"",$B49&lt;&gt;""), XLOOKUP($A49,Loan_Register!$A$2:$A$301,Loan_Register!$M$2:$M$301,"") + 7*($B49-1), "")</f>
        <v/>
      </c>
      <c r="D49" s="7">
        <f>IF($A49&lt;&gt;"", XLOOKUP($A49,Loan_Register!$A$2:$A$301,Loan_Register!$N$2:$N$301,""), "")</f>
        <v/>
      </c>
      <c r="E49" s="7" t="n"/>
      <c r="F49" s="4">
        <f>IF($A49="","", IF($E49&gt;=$D49,"Paid", IF(TODAY()&gt;$C49,"Overdue","Pending")))</f>
        <v/>
      </c>
      <c r="G49" s="5" t="n"/>
      <c r="H49" s="4" t="n"/>
      <c r="I49" s="7">
        <f>IF($A49="","", SUMIFS($D$2:$D$801,$A$2:$A$801,$A49) - SUMIFS($E$2:$E$801,$A$2:$A$801,$A49))</f>
        <v/>
      </c>
      <c r="J49" s="4">
        <f>IF($F49="Paid",0, IF($C49="","", MAX(0, TODAY()-$C49)))</f>
        <v/>
      </c>
      <c r="K49" s="4" t="n"/>
      <c r="L49" s="4" t="n"/>
    </row>
    <row r="50">
      <c r="A50" s="4" t="n"/>
      <c r="B50" s="4" t="n"/>
      <c r="C50" s="5">
        <f>IF(AND($A50&lt;&gt;"",$B50&lt;&gt;""), XLOOKUP($A50,Loan_Register!$A$2:$A$301,Loan_Register!$M$2:$M$301,"") + 7*($B50-1), "")</f>
        <v/>
      </c>
      <c r="D50" s="7">
        <f>IF($A50&lt;&gt;"", XLOOKUP($A50,Loan_Register!$A$2:$A$301,Loan_Register!$N$2:$N$301,""), "")</f>
        <v/>
      </c>
      <c r="E50" s="7" t="n"/>
      <c r="F50" s="4">
        <f>IF($A50="","", IF($E50&gt;=$D50,"Paid", IF(TODAY()&gt;$C50,"Overdue","Pending")))</f>
        <v/>
      </c>
      <c r="G50" s="5" t="n"/>
      <c r="H50" s="4" t="n"/>
      <c r="I50" s="7">
        <f>IF($A50="","", SUMIFS($D$2:$D$801,$A$2:$A$801,$A50) - SUMIFS($E$2:$E$801,$A$2:$A$801,$A50))</f>
        <v/>
      </c>
      <c r="J50" s="4">
        <f>IF($F50="Paid",0, IF($C50="","", MAX(0, TODAY()-$C50)))</f>
        <v/>
      </c>
      <c r="K50" s="4" t="n"/>
      <c r="L50" s="4" t="n"/>
    </row>
    <row r="51">
      <c r="A51" s="4" t="n"/>
      <c r="B51" s="4" t="n"/>
      <c r="C51" s="5">
        <f>IF(AND($A51&lt;&gt;"",$B51&lt;&gt;""), XLOOKUP($A51,Loan_Register!$A$2:$A$301,Loan_Register!$M$2:$M$301,"") + 7*($B51-1), "")</f>
        <v/>
      </c>
      <c r="D51" s="7">
        <f>IF($A51&lt;&gt;"", XLOOKUP($A51,Loan_Register!$A$2:$A$301,Loan_Register!$N$2:$N$301,""), "")</f>
        <v/>
      </c>
      <c r="E51" s="7" t="n"/>
      <c r="F51" s="4">
        <f>IF($A51="","", IF($E51&gt;=$D51,"Paid", IF(TODAY()&gt;$C51,"Overdue","Pending")))</f>
        <v/>
      </c>
      <c r="G51" s="5" t="n"/>
      <c r="H51" s="4" t="n"/>
      <c r="I51" s="7">
        <f>IF($A51="","", SUMIFS($D$2:$D$801,$A$2:$A$801,$A51) - SUMIFS($E$2:$E$801,$A$2:$A$801,$A51))</f>
        <v/>
      </c>
      <c r="J51" s="4">
        <f>IF($F51="Paid",0, IF($C51="","", MAX(0, TODAY()-$C51)))</f>
        <v/>
      </c>
      <c r="K51" s="4" t="n"/>
      <c r="L51" s="4" t="n"/>
    </row>
    <row r="52">
      <c r="A52" s="4" t="n"/>
      <c r="B52" s="4" t="n"/>
      <c r="C52" s="5">
        <f>IF(AND($A52&lt;&gt;"",$B52&lt;&gt;""), XLOOKUP($A52,Loan_Register!$A$2:$A$301,Loan_Register!$M$2:$M$301,"") + 7*($B52-1), "")</f>
        <v/>
      </c>
      <c r="D52" s="7">
        <f>IF($A52&lt;&gt;"", XLOOKUP($A52,Loan_Register!$A$2:$A$301,Loan_Register!$N$2:$N$301,""), "")</f>
        <v/>
      </c>
      <c r="E52" s="7" t="n"/>
      <c r="F52" s="4">
        <f>IF($A52="","", IF($E52&gt;=$D52,"Paid", IF(TODAY()&gt;$C52,"Overdue","Pending")))</f>
        <v/>
      </c>
      <c r="G52" s="5" t="n"/>
      <c r="H52" s="4" t="n"/>
      <c r="I52" s="7">
        <f>IF($A52="","", SUMIFS($D$2:$D$801,$A$2:$A$801,$A52) - SUMIFS($E$2:$E$801,$A$2:$A$801,$A52))</f>
        <v/>
      </c>
      <c r="J52" s="4">
        <f>IF($F52="Paid",0, IF($C52="","", MAX(0, TODAY()-$C52)))</f>
        <v/>
      </c>
      <c r="K52" s="4" t="n"/>
      <c r="L52" s="4" t="n"/>
    </row>
    <row r="53">
      <c r="A53" s="4" t="n"/>
      <c r="B53" s="4" t="n"/>
      <c r="C53" s="5">
        <f>IF(AND($A53&lt;&gt;"",$B53&lt;&gt;""), XLOOKUP($A53,Loan_Register!$A$2:$A$301,Loan_Register!$M$2:$M$301,"") + 7*($B53-1), "")</f>
        <v/>
      </c>
      <c r="D53" s="7">
        <f>IF($A53&lt;&gt;"", XLOOKUP($A53,Loan_Register!$A$2:$A$301,Loan_Register!$N$2:$N$301,""), "")</f>
        <v/>
      </c>
      <c r="E53" s="7" t="n"/>
      <c r="F53" s="4">
        <f>IF($A53="","", IF($E53&gt;=$D53,"Paid", IF(TODAY()&gt;$C53,"Overdue","Pending")))</f>
        <v/>
      </c>
      <c r="G53" s="5" t="n"/>
      <c r="H53" s="4" t="n"/>
      <c r="I53" s="7">
        <f>IF($A53="","", SUMIFS($D$2:$D$801,$A$2:$A$801,$A53) - SUMIFS($E$2:$E$801,$A$2:$A$801,$A53))</f>
        <v/>
      </c>
      <c r="J53" s="4">
        <f>IF($F53="Paid",0, IF($C53="","", MAX(0, TODAY()-$C53)))</f>
        <v/>
      </c>
      <c r="K53" s="4" t="n"/>
      <c r="L53" s="4" t="n"/>
    </row>
    <row r="54">
      <c r="A54" s="4" t="n"/>
      <c r="B54" s="4" t="n"/>
      <c r="C54" s="5">
        <f>IF(AND($A54&lt;&gt;"",$B54&lt;&gt;""), XLOOKUP($A54,Loan_Register!$A$2:$A$301,Loan_Register!$M$2:$M$301,"") + 7*($B54-1), "")</f>
        <v/>
      </c>
      <c r="D54" s="7">
        <f>IF($A54&lt;&gt;"", XLOOKUP($A54,Loan_Register!$A$2:$A$301,Loan_Register!$N$2:$N$301,""), "")</f>
        <v/>
      </c>
      <c r="E54" s="7" t="n"/>
      <c r="F54" s="4">
        <f>IF($A54="","", IF($E54&gt;=$D54,"Paid", IF(TODAY()&gt;$C54,"Overdue","Pending")))</f>
        <v/>
      </c>
      <c r="G54" s="5" t="n"/>
      <c r="H54" s="4" t="n"/>
      <c r="I54" s="7">
        <f>IF($A54="","", SUMIFS($D$2:$D$801,$A$2:$A$801,$A54) - SUMIFS($E$2:$E$801,$A$2:$A$801,$A54))</f>
        <v/>
      </c>
      <c r="J54" s="4">
        <f>IF($F54="Paid",0, IF($C54="","", MAX(0, TODAY()-$C54)))</f>
        <v/>
      </c>
      <c r="K54" s="4" t="n"/>
      <c r="L54" s="4" t="n"/>
    </row>
    <row r="55">
      <c r="A55" s="4" t="n"/>
      <c r="B55" s="4" t="n"/>
      <c r="C55" s="5">
        <f>IF(AND($A55&lt;&gt;"",$B55&lt;&gt;""), XLOOKUP($A55,Loan_Register!$A$2:$A$301,Loan_Register!$M$2:$M$301,"") + 7*($B55-1), "")</f>
        <v/>
      </c>
      <c r="D55" s="7">
        <f>IF($A55&lt;&gt;"", XLOOKUP($A55,Loan_Register!$A$2:$A$301,Loan_Register!$N$2:$N$301,""), "")</f>
        <v/>
      </c>
      <c r="E55" s="7" t="n"/>
      <c r="F55" s="4">
        <f>IF($A55="","", IF($E55&gt;=$D55,"Paid", IF(TODAY()&gt;$C55,"Overdue","Pending")))</f>
        <v/>
      </c>
      <c r="G55" s="5" t="n"/>
      <c r="H55" s="4" t="n"/>
      <c r="I55" s="7">
        <f>IF($A55="","", SUMIFS($D$2:$D$801,$A$2:$A$801,$A55) - SUMIFS($E$2:$E$801,$A$2:$A$801,$A55))</f>
        <v/>
      </c>
      <c r="J55" s="4">
        <f>IF($F55="Paid",0, IF($C55="","", MAX(0, TODAY()-$C55)))</f>
        <v/>
      </c>
      <c r="K55" s="4" t="n"/>
      <c r="L55" s="4" t="n"/>
    </row>
    <row r="56">
      <c r="A56" s="4" t="n"/>
      <c r="B56" s="4" t="n"/>
      <c r="C56" s="5">
        <f>IF(AND($A56&lt;&gt;"",$B56&lt;&gt;""), XLOOKUP($A56,Loan_Register!$A$2:$A$301,Loan_Register!$M$2:$M$301,"") + 7*($B56-1), "")</f>
        <v/>
      </c>
      <c r="D56" s="7">
        <f>IF($A56&lt;&gt;"", XLOOKUP($A56,Loan_Register!$A$2:$A$301,Loan_Register!$N$2:$N$301,""), "")</f>
        <v/>
      </c>
      <c r="E56" s="7" t="n"/>
      <c r="F56" s="4">
        <f>IF($A56="","", IF($E56&gt;=$D56,"Paid", IF(TODAY()&gt;$C56,"Overdue","Pending")))</f>
        <v/>
      </c>
      <c r="G56" s="5" t="n"/>
      <c r="H56" s="4" t="n"/>
      <c r="I56" s="7">
        <f>IF($A56="","", SUMIFS($D$2:$D$801,$A$2:$A$801,$A56) - SUMIFS($E$2:$E$801,$A$2:$A$801,$A56))</f>
        <v/>
      </c>
      <c r="J56" s="4">
        <f>IF($F56="Paid",0, IF($C56="","", MAX(0, TODAY()-$C56)))</f>
        <v/>
      </c>
      <c r="K56" s="4" t="n"/>
      <c r="L56" s="4" t="n"/>
    </row>
    <row r="57">
      <c r="A57" s="4" t="n"/>
      <c r="B57" s="4" t="n"/>
      <c r="C57" s="5">
        <f>IF(AND($A57&lt;&gt;"",$B57&lt;&gt;""), XLOOKUP($A57,Loan_Register!$A$2:$A$301,Loan_Register!$M$2:$M$301,"") + 7*($B57-1), "")</f>
        <v/>
      </c>
      <c r="D57" s="7">
        <f>IF($A57&lt;&gt;"", XLOOKUP($A57,Loan_Register!$A$2:$A$301,Loan_Register!$N$2:$N$301,""), "")</f>
        <v/>
      </c>
      <c r="E57" s="7" t="n"/>
      <c r="F57" s="4">
        <f>IF($A57="","", IF($E57&gt;=$D57,"Paid", IF(TODAY()&gt;$C57,"Overdue","Pending")))</f>
        <v/>
      </c>
      <c r="G57" s="5" t="n"/>
      <c r="H57" s="4" t="n"/>
      <c r="I57" s="7">
        <f>IF($A57="","", SUMIFS($D$2:$D$801,$A$2:$A$801,$A57) - SUMIFS($E$2:$E$801,$A$2:$A$801,$A57))</f>
        <v/>
      </c>
      <c r="J57" s="4">
        <f>IF($F57="Paid",0, IF($C57="","", MAX(0, TODAY()-$C57)))</f>
        <v/>
      </c>
      <c r="K57" s="4" t="n"/>
      <c r="L57" s="4" t="n"/>
    </row>
    <row r="58">
      <c r="A58" s="4" t="n"/>
      <c r="B58" s="4" t="n"/>
      <c r="C58" s="5">
        <f>IF(AND($A58&lt;&gt;"",$B58&lt;&gt;""), XLOOKUP($A58,Loan_Register!$A$2:$A$301,Loan_Register!$M$2:$M$301,"") + 7*($B58-1), "")</f>
        <v/>
      </c>
      <c r="D58" s="7">
        <f>IF($A58&lt;&gt;"", XLOOKUP($A58,Loan_Register!$A$2:$A$301,Loan_Register!$N$2:$N$301,""), "")</f>
        <v/>
      </c>
      <c r="E58" s="7" t="n"/>
      <c r="F58" s="4">
        <f>IF($A58="","", IF($E58&gt;=$D58,"Paid", IF(TODAY()&gt;$C58,"Overdue","Pending")))</f>
        <v/>
      </c>
      <c r="G58" s="5" t="n"/>
      <c r="H58" s="4" t="n"/>
      <c r="I58" s="7">
        <f>IF($A58="","", SUMIFS($D$2:$D$801,$A$2:$A$801,$A58) - SUMIFS($E$2:$E$801,$A$2:$A$801,$A58))</f>
        <v/>
      </c>
      <c r="J58" s="4">
        <f>IF($F58="Paid",0, IF($C58="","", MAX(0, TODAY()-$C58)))</f>
        <v/>
      </c>
      <c r="K58" s="4" t="n"/>
      <c r="L58" s="4" t="n"/>
    </row>
    <row r="59">
      <c r="A59" s="4" t="n"/>
      <c r="B59" s="4" t="n"/>
      <c r="C59" s="5">
        <f>IF(AND($A59&lt;&gt;"",$B59&lt;&gt;""), XLOOKUP($A59,Loan_Register!$A$2:$A$301,Loan_Register!$M$2:$M$301,"") + 7*($B59-1), "")</f>
        <v/>
      </c>
      <c r="D59" s="7">
        <f>IF($A59&lt;&gt;"", XLOOKUP($A59,Loan_Register!$A$2:$A$301,Loan_Register!$N$2:$N$301,""), "")</f>
        <v/>
      </c>
      <c r="E59" s="7" t="n"/>
      <c r="F59" s="4">
        <f>IF($A59="","", IF($E59&gt;=$D59,"Paid", IF(TODAY()&gt;$C59,"Overdue","Pending")))</f>
        <v/>
      </c>
      <c r="G59" s="5" t="n"/>
      <c r="H59" s="4" t="n"/>
      <c r="I59" s="7">
        <f>IF($A59="","", SUMIFS($D$2:$D$801,$A$2:$A$801,$A59) - SUMIFS($E$2:$E$801,$A$2:$A$801,$A59))</f>
        <v/>
      </c>
      <c r="J59" s="4">
        <f>IF($F59="Paid",0, IF($C59="","", MAX(0, TODAY()-$C59)))</f>
        <v/>
      </c>
      <c r="K59" s="4" t="n"/>
      <c r="L59" s="4" t="n"/>
    </row>
    <row r="60">
      <c r="A60" s="4" t="n"/>
      <c r="B60" s="4" t="n"/>
      <c r="C60" s="5">
        <f>IF(AND($A60&lt;&gt;"",$B60&lt;&gt;""), XLOOKUP($A60,Loan_Register!$A$2:$A$301,Loan_Register!$M$2:$M$301,"") + 7*($B60-1), "")</f>
        <v/>
      </c>
      <c r="D60" s="7">
        <f>IF($A60&lt;&gt;"", XLOOKUP($A60,Loan_Register!$A$2:$A$301,Loan_Register!$N$2:$N$301,""), "")</f>
        <v/>
      </c>
      <c r="E60" s="7" t="n"/>
      <c r="F60" s="4">
        <f>IF($A60="","", IF($E60&gt;=$D60,"Paid", IF(TODAY()&gt;$C60,"Overdue","Pending")))</f>
        <v/>
      </c>
      <c r="G60" s="5" t="n"/>
      <c r="H60" s="4" t="n"/>
      <c r="I60" s="7">
        <f>IF($A60="","", SUMIFS($D$2:$D$801,$A$2:$A$801,$A60) - SUMIFS($E$2:$E$801,$A$2:$A$801,$A60))</f>
        <v/>
      </c>
      <c r="J60" s="4">
        <f>IF($F60="Paid",0, IF($C60="","", MAX(0, TODAY()-$C60)))</f>
        <v/>
      </c>
      <c r="K60" s="4" t="n"/>
      <c r="L60" s="4" t="n"/>
    </row>
    <row r="61">
      <c r="A61" s="4" t="n"/>
      <c r="B61" s="4" t="n"/>
      <c r="C61" s="5">
        <f>IF(AND($A61&lt;&gt;"",$B61&lt;&gt;""), XLOOKUP($A61,Loan_Register!$A$2:$A$301,Loan_Register!$M$2:$M$301,"") + 7*($B61-1), "")</f>
        <v/>
      </c>
      <c r="D61" s="7">
        <f>IF($A61&lt;&gt;"", XLOOKUP($A61,Loan_Register!$A$2:$A$301,Loan_Register!$N$2:$N$301,""), "")</f>
        <v/>
      </c>
      <c r="E61" s="7" t="n"/>
      <c r="F61" s="4">
        <f>IF($A61="","", IF($E61&gt;=$D61,"Paid", IF(TODAY()&gt;$C61,"Overdue","Pending")))</f>
        <v/>
      </c>
      <c r="G61" s="5" t="n"/>
      <c r="H61" s="4" t="n"/>
      <c r="I61" s="7">
        <f>IF($A61="","", SUMIFS($D$2:$D$801,$A$2:$A$801,$A61) - SUMIFS($E$2:$E$801,$A$2:$A$801,$A61))</f>
        <v/>
      </c>
      <c r="J61" s="4">
        <f>IF($F61="Paid",0, IF($C61="","", MAX(0, TODAY()-$C61)))</f>
        <v/>
      </c>
      <c r="K61" s="4" t="n"/>
      <c r="L61" s="4" t="n"/>
    </row>
    <row r="62">
      <c r="A62" s="4" t="n"/>
      <c r="B62" s="4" t="n"/>
      <c r="C62" s="5">
        <f>IF(AND($A62&lt;&gt;"",$B62&lt;&gt;""), XLOOKUP($A62,Loan_Register!$A$2:$A$301,Loan_Register!$M$2:$M$301,"") + 7*($B62-1), "")</f>
        <v/>
      </c>
      <c r="D62" s="7">
        <f>IF($A62&lt;&gt;"", XLOOKUP($A62,Loan_Register!$A$2:$A$301,Loan_Register!$N$2:$N$301,""), "")</f>
        <v/>
      </c>
      <c r="E62" s="7" t="n"/>
      <c r="F62" s="4">
        <f>IF($A62="","", IF($E62&gt;=$D62,"Paid", IF(TODAY()&gt;$C62,"Overdue","Pending")))</f>
        <v/>
      </c>
      <c r="G62" s="5" t="n"/>
      <c r="H62" s="4" t="n"/>
      <c r="I62" s="7">
        <f>IF($A62="","", SUMIFS($D$2:$D$801,$A$2:$A$801,$A62) - SUMIFS($E$2:$E$801,$A$2:$A$801,$A62))</f>
        <v/>
      </c>
      <c r="J62" s="4">
        <f>IF($F62="Paid",0, IF($C62="","", MAX(0, TODAY()-$C62)))</f>
        <v/>
      </c>
      <c r="K62" s="4" t="n"/>
      <c r="L62" s="4" t="n"/>
    </row>
    <row r="63">
      <c r="A63" s="4" t="n"/>
      <c r="B63" s="4" t="n"/>
      <c r="C63" s="5">
        <f>IF(AND($A63&lt;&gt;"",$B63&lt;&gt;""), XLOOKUP($A63,Loan_Register!$A$2:$A$301,Loan_Register!$M$2:$M$301,"") + 7*($B63-1), "")</f>
        <v/>
      </c>
      <c r="D63" s="7">
        <f>IF($A63&lt;&gt;"", XLOOKUP($A63,Loan_Register!$A$2:$A$301,Loan_Register!$N$2:$N$301,""), "")</f>
        <v/>
      </c>
      <c r="E63" s="7" t="n"/>
      <c r="F63" s="4">
        <f>IF($A63="","", IF($E63&gt;=$D63,"Paid", IF(TODAY()&gt;$C63,"Overdue","Pending")))</f>
        <v/>
      </c>
      <c r="G63" s="5" t="n"/>
      <c r="H63" s="4" t="n"/>
      <c r="I63" s="7">
        <f>IF($A63="","", SUMIFS($D$2:$D$801,$A$2:$A$801,$A63) - SUMIFS($E$2:$E$801,$A$2:$A$801,$A63))</f>
        <v/>
      </c>
      <c r="J63" s="4">
        <f>IF($F63="Paid",0, IF($C63="","", MAX(0, TODAY()-$C63)))</f>
        <v/>
      </c>
      <c r="K63" s="4" t="n"/>
      <c r="L63" s="4" t="n"/>
    </row>
    <row r="64">
      <c r="A64" s="4" t="n"/>
      <c r="B64" s="4" t="n"/>
      <c r="C64" s="5">
        <f>IF(AND($A64&lt;&gt;"",$B64&lt;&gt;""), XLOOKUP($A64,Loan_Register!$A$2:$A$301,Loan_Register!$M$2:$M$301,"") + 7*($B64-1), "")</f>
        <v/>
      </c>
      <c r="D64" s="7">
        <f>IF($A64&lt;&gt;"", XLOOKUP($A64,Loan_Register!$A$2:$A$301,Loan_Register!$N$2:$N$301,""), "")</f>
        <v/>
      </c>
      <c r="E64" s="7" t="n"/>
      <c r="F64" s="4">
        <f>IF($A64="","", IF($E64&gt;=$D64,"Paid", IF(TODAY()&gt;$C64,"Overdue","Pending")))</f>
        <v/>
      </c>
      <c r="G64" s="5" t="n"/>
      <c r="H64" s="4" t="n"/>
      <c r="I64" s="7">
        <f>IF($A64="","", SUMIFS($D$2:$D$801,$A$2:$A$801,$A64) - SUMIFS($E$2:$E$801,$A$2:$A$801,$A64))</f>
        <v/>
      </c>
      <c r="J64" s="4">
        <f>IF($F64="Paid",0, IF($C64="","", MAX(0, TODAY()-$C64)))</f>
        <v/>
      </c>
      <c r="K64" s="4" t="n"/>
      <c r="L64" s="4" t="n"/>
    </row>
    <row r="65">
      <c r="A65" s="4" t="n"/>
      <c r="B65" s="4" t="n"/>
      <c r="C65" s="5">
        <f>IF(AND($A65&lt;&gt;"",$B65&lt;&gt;""), XLOOKUP($A65,Loan_Register!$A$2:$A$301,Loan_Register!$M$2:$M$301,"") + 7*($B65-1), "")</f>
        <v/>
      </c>
      <c r="D65" s="7">
        <f>IF($A65&lt;&gt;"", XLOOKUP($A65,Loan_Register!$A$2:$A$301,Loan_Register!$N$2:$N$301,""), "")</f>
        <v/>
      </c>
      <c r="E65" s="7" t="n"/>
      <c r="F65" s="4">
        <f>IF($A65="","", IF($E65&gt;=$D65,"Paid", IF(TODAY()&gt;$C65,"Overdue","Pending")))</f>
        <v/>
      </c>
      <c r="G65" s="5" t="n"/>
      <c r="H65" s="4" t="n"/>
      <c r="I65" s="7">
        <f>IF($A65="","", SUMIFS($D$2:$D$801,$A$2:$A$801,$A65) - SUMIFS($E$2:$E$801,$A$2:$A$801,$A65))</f>
        <v/>
      </c>
      <c r="J65" s="4">
        <f>IF($F65="Paid",0, IF($C65="","", MAX(0, TODAY()-$C65)))</f>
        <v/>
      </c>
      <c r="K65" s="4" t="n"/>
      <c r="L65" s="4" t="n"/>
    </row>
    <row r="66">
      <c r="A66" s="4" t="n"/>
      <c r="B66" s="4" t="n"/>
      <c r="C66" s="5">
        <f>IF(AND($A66&lt;&gt;"",$B66&lt;&gt;""), XLOOKUP($A66,Loan_Register!$A$2:$A$301,Loan_Register!$M$2:$M$301,"") + 7*($B66-1), "")</f>
        <v/>
      </c>
      <c r="D66" s="7">
        <f>IF($A66&lt;&gt;"", XLOOKUP($A66,Loan_Register!$A$2:$A$301,Loan_Register!$N$2:$N$301,""), "")</f>
        <v/>
      </c>
      <c r="E66" s="7" t="n"/>
      <c r="F66" s="4">
        <f>IF($A66="","", IF($E66&gt;=$D66,"Paid", IF(TODAY()&gt;$C66,"Overdue","Pending")))</f>
        <v/>
      </c>
      <c r="G66" s="5" t="n"/>
      <c r="H66" s="4" t="n"/>
      <c r="I66" s="7">
        <f>IF($A66="","", SUMIFS($D$2:$D$801,$A$2:$A$801,$A66) - SUMIFS($E$2:$E$801,$A$2:$A$801,$A66))</f>
        <v/>
      </c>
      <c r="J66" s="4">
        <f>IF($F66="Paid",0, IF($C66="","", MAX(0, TODAY()-$C66)))</f>
        <v/>
      </c>
      <c r="K66" s="4" t="n"/>
      <c r="L66" s="4" t="n"/>
    </row>
    <row r="67">
      <c r="A67" s="4" t="n"/>
      <c r="B67" s="4" t="n"/>
      <c r="C67" s="5">
        <f>IF(AND($A67&lt;&gt;"",$B67&lt;&gt;""), XLOOKUP($A67,Loan_Register!$A$2:$A$301,Loan_Register!$M$2:$M$301,"") + 7*($B67-1), "")</f>
        <v/>
      </c>
      <c r="D67" s="7">
        <f>IF($A67&lt;&gt;"", XLOOKUP($A67,Loan_Register!$A$2:$A$301,Loan_Register!$N$2:$N$301,""), "")</f>
        <v/>
      </c>
      <c r="E67" s="7" t="n"/>
      <c r="F67" s="4">
        <f>IF($A67="","", IF($E67&gt;=$D67,"Paid", IF(TODAY()&gt;$C67,"Overdue","Pending")))</f>
        <v/>
      </c>
      <c r="G67" s="5" t="n"/>
      <c r="H67" s="4" t="n"/>
      <c r="I67" s="7">
        <f>IF($A67="","", SUMIFS($D$2:$D$801,$A$2:$A$801,$A67) - SUMIFS($E$2:$E$801,$A$2:$A$801,$A67))</f>
        <v/>
      </c>
      <c r="J67" s="4">
        <f>IF($F67="Paid",0, IF($C67="","", MAX(0, TODAY()-$C67)))</f>
        <v/>
      </c>
      <c r="K67" s="4" t="n"/>
      <c r="L67" s="4" t="n"/>
    </row>
    <row r="68">
      <c r="A68" s="4" t="n"/>
      <c r="B68" s="4" t="n"/>
      <c r="C68" s="5">
        <f>IF(AND($A68&lt;&gt;"",$B68&lt;&gt;""), XLOOKUP($A68,Loan_Register!$A$2:$A$301,Loan_Register!$M$2:$M$301,"") + 7*($B68-1), "")</f>
        <v/>
      </c>
      <c r="D68" s="7">
        <f>IF($A68&lt;&gt;"", XLOOKUP($A68,Loan_Register!$A$2:$A$301,Loan_Register!$N$2:$N$301,""), "")</f>
        <v/>
      </c>
      <c r="E68" s="7" t="n"/>
      <c r="F68" s="4">
        <f>IF($A68="","", IF($E68&gt;=$D68,"Paid", IF(TODAY()&gt;$C68,"Overdue","Pending")))</f>
        <v/>
      </c>
      <c r="G68" s="5" t="n"/>
      <c r="H68" s="4" t="n"/>
      <c r="I68" s="7">
        <f>IF($A68="","", SUMIFS($D$2:$D$801,$A$2:$A$801,$A68) - SUMIFS($E$2:$E$801,$A$2:$A$801,$A68))</f>
        <v/>
      </c>
      <c r="J68" s="4">
        <f>IF($F68="Paid",0, IF($C68="","", MAX(0, TODAY()-$C68)))</f>
        <v/>
      </c>
      <c r="K68" s="4" t="n"/>
      <c r="L68" s="4" t="n"/>
    </row>
    <row r="69">
      <c r="A69" s="4" t="n"/>
      <c r="B69" s="4" t="n"/>
      <c r="C69" s="5">
        <f>IF(AND($A69&lt;&gt;"",$B69&lt;&gt;""), XLOOKUP($A69,Loan_Register!$A$2:$A$301,Loan_Register!$M$2:$M$301,"") + 7*($B69-1), "")</f>
        <v/>
      </c>
      <c r="D69" s="7">
        <f>IF($A69&lt;&gt;"", XLOOKUP($A69,Loan_Register!$A$2:$A$301,Loan_Register!$N$2:$N$301,""), "")</f>
        <v/>
      </c>
      <c r="E69" s="7" t="n"/>
      <c r="F69" s="4">
        <f>IF($A69="","", IF($E69&gt;=$D69,"Paid", IF(TODAY()&gt;$C69,"Overdue","Pending")))</f>
        <v/>
      </c>
      <c r="G69" s="5" t="n"/>
      <c r="H69" s="4" t="n"/>
      <c r="I69" s="7">
        <f>IF($A69="","", SUMIFS($D$2:$D$801,$A$2:$A$801,$A69) - SUMIFS($E$2:$E$801,$A$2:$A$801,$A69))</f>
        <v/>
      </c>
      <c r="J69" s="4">
        <f>IF($F69="Paid",0, IF($C69="","", MAX(0, TODAY()-$C69)))</f>
        <v/>
      </c>
      <c r="K69" s="4" t="n"/>
      <c r="L69" s="4" t="n"/>
    </row>
    <row r="70">
      <c r="A70" s="4" t="n"/>
      <c r="B70" s="4" t="n"/>
      <c r="C70" s="5">
        <f>IF(AND($A70&lt;&gt;"",$B70&lt;&gt;""), XLOOKUP($A70,Loan_Register!$A$2:$A$301,Loan_Register!$M$2:$M$301,"") + 7*($B70-1), "")</f>
        <v/>
      </c>
      <c r="D70" s="7">
        <f>IF($A70&lt;&gt;"", XLOOKUP($A70,Loan_Register!$A$2:$A$301,Loan_Register!$N$2:$N$301,""), "")</f>
        <v/>
      </c>
      <c r="E70" s="7" t="n"/>
      <c r="F70" s="4">
        <f>IF($A70="","", IF($E70&gt;=$D70,"Paid", IF(TODAY()&gt;$C70,"Overdue","Pending")))</f>
        <v/>
      </c>
      <c r="G70" s="5" t="n"/>
      <c r="H70" s="4" t="n"/>
      <c r="I70" s="7">
        <f>IF($A70="","", SUMIFS($D$2:$D$801,$A$2:$A$801,$A70) - SUMIFS($E$2:$E$801,$A$2:$A$801,$A70))</f>
        <v/>
      </c>
      <c r="J70" s="4">
        <f>IF($F70="Paid",0, IF($C70="","", MAX(0, TODAY()-$C70)))</f>
        <v/>
      </c>
      <c r="K70" s="4" t="n"/>
      <c r="L70" s="4" t="n"/>
    </row>
    <row r="71">
      <c r="A71" s="4" t="n"/>
      <c r="B71" s="4" t="n"/>
      <c r="C71" s="5">
        <f>IF(AND($A71&lt;&gt;"",$B71&lt;&gt;""), XLOOKUP($A71,Loan_Register!$A$2:$A$301,Loan_Register!$M$2:$M$301,"") + 7*($B71-1), "")</f>
        <v/>
      </c>
      <c r="D71" s="7">
        <f>IF($A71&lt;&gt;"", XLOOKUP($A71,Loan_Register!$A$2:$A$301,Loan_Register!$N$2:$N$301,""), "")</f>
        <v/>
      </c>
      <c r="E71" s="7" t="n"/>
      <c r="F71" s="4">
        <f>IF($A71="","", IF($E71&gt;=$D71,"Paid", IF(TODAY()&gt;$C71,"Overdue","Pending")))</f>
        <v/>
      </c>
      <c r="G71" s="5" t="n"/>
      <c r="H71" s="4" t="n"/>
      <c r="I71" s="7">
        <f>IF($A71="","", SUMIFS($D$2:$D$801,$A$2:$A$801,$A71) - SUMIFS($E$2:$E$801,$A$2:$A$801,$A71))</f>
        <v/>
      </c>
      <c r="J71" s="4">
        <f>IF($F71="Paid",0, IF($C71="","", MAX(0, TODAY()-$C71)))</f>
        <v/>
      </c>
      <c r="K71" s="4" t="n"/>
      <c r="L71" s="4" t="n"/>
    </row>
    <row r="72">
      <c r="A72" s="4" t="n"/>
      <c r="B72" s="4" t="n"/>
      <c r="C72" s="5">
        <f>IF(AND($A72&lt;&gt;"",$B72&lt;&gt;""), XLOOKUP($A72,Loan_Register!$A$2:$A$301,Loan_Register!$M$2:$M$301,"") + 7*($B72-1), "")</f>
        <v/>
      </c>
      <c r="D72" s="7">
        <f>IF($A72&lt;&gt;"", XLOOKUP($A72,Loan_Register!$A$2:$A$301,Loan_Register!$N$2:$N$301,""), "")</f>
        <v/>
      </c>
      <c r="E72" s="7" t="n"/>
      <c r="F72" s="4">
        <f>IF($A72="","", IF($E72&gt;=$D72,"Paid", IF(TODAY()&gt;$C72,"Overdue","Pending")))</f>
        <v/>
      </c>
      <c r="G72" s="5" t="n"/>
      <c r="H72" s="4" t="n"/>
      <c r="I72" s="7">
        <f>IF($A72="","", SUMIFS($D$2:$D$801,$A$2:$A$801,$A72) - SUMIFS($E$2:$E$801,$A$2:$A$801,$A72))</f>
        <v/>
      </c>
      <c r="J72" s="4">
        <f>IF($F72="Paid",0, IF($C72="","", MAX(0, TODAY()-$C72)))</f>
        <v/>
      </c>
      <c r="K72" s="4" t="n"/>
      <c r="L72" s="4" t="n"/>
    </row>
    <row r="73">
      <c r="A73" s="4" t="n"/>
      <c r="B73" s="4" t="n"/>
      <c r="C73" s="5">
        <f>IF(AND($A73&lt;&gt;"",$B73&lt;&gt;""), XLOOKUP($A73,Loan_Register!$A$2:$A$301,Loan_Register!$M$2:$M$301,"") + 7*($B73-1), "")</f>
        <v/>
      </c>
      <c r="D73" s="7">
        <f>IF($A73&lt;&gt;"", XLOOKUP($A73,Loan_Register!$A$2:$A$301,Loan_Register!$N$2:$N$301,""), "")</f>
        <v/>
      </c>
      <c r="E73" s="7" t="n"/>
      <c r="F73" s="4">
        <f>IF($A73="","", IF($E73&gt;=$D73,"Paid", IF(TODAY()&gt;$C73,"Overdue","Pending")))</f>
        <v/>
      </c>
      <c r="G73" s="5" t="n"/>
      <c r="H73" s="4" t="n"/>
      <c r="I73" s="7">
        <f>IF($A73="","", SUMIFS($D$2:$D$801,$A$2:$A$801,$A73) - SUMIFS($E$2:$E$801,$A$2:$A$801,$A73))</f>
        <v/>
      </c>
      <c r="J73" s="4">
        <f>IF($F73="Paid",0, IF($C73="","", MAX(0, TODAY()-$C73)))</f>
        <v/>
      </c>
      <c r="K73" s="4" t="n"/>
      <c r="L73" s="4" t="n"/>
    </row>
    <row r="74">
      <c r="A74" s="4" t="n"/>
      <c r="B74" s="4" t="n"/>
      <c r="C74" s="5">
        <f>IF(AND($A74&lt;&gt;"",$B74&lt;&gt;""), XLOOKUP($A74,Loan_Register!$A$2:$A$301,Loan_Register!$M$2:$M$301,"") + 7*($B74-1), "")</f>
        <v/>
      </c>
      <c r="D74" s="7">
        <f>IF($A74&lt;&gt;"", XLOOKUP($A74,Loan_Register!$A$2:$A$301,Loan_Register!$N$2:$N$301,""), "")</f>
        <v/>
      </c>
      <c r="E74" s="7" t="n"/>
      <c r="F74" s="4">
        <f>IF($A74="","", IF($E74&gt;=$D74,"Paid", IF(TODAY()&gt;$C74,"Overdue","Pending")))</f>
        <v/>
      </c>
      <c r="G74" s="5" t="n"/>
      <c r="H74" s="4" t="n"/>
      <c r="I74" s="7">
        <f>IF($A74="","", SUMIFS($D$2:$D$801,$A$2:$A$801,$A74) - SUMIFS($E$2:$E$801,$A$2:$A$801,$A74))</f>
        <v/>
      </c>
      <c r="J74" s="4">
        <f>IF($F74="Paid",0, IF($C74="","", MAX(0, TODAY()-$C74)))</f>
        <v/>
      </c>
      <c r="K74" s="4" t="n"/>
      <c r="L74" s="4" t="n"/>
    </row>
    <row r="75">
      <c r="A75" s="4" t="n"/>
      <c r="B75" s="4" t="n"/>
      <c r="C75" s="5">
        <f>IF(AND($A75&lt;&gt;"",$B75&lt;&gt;""), XLOOKUP($A75,Loan_Register!$A$2:$A$301,Loan_Register!$M$2:$M$301,"") + 7*($B75-1), "")</f>
        <v/>
      </c>
      <c r="D75" s="7">
        <f>IF($A75&lt;&gt;"", XLOOKUP($A75,Loan_Register!$A$2:$A$301,Loan_Register!$N$2:$N$301,""), "")</f>
        <v/>
      </c>
      <c r="E75" s="7" t="n"/>
      <c r="F75" s="4">
        <f>IF($A75="","", IF($E75&gt;=$D75,"Paid", IF(TODAY()&gt;$C75,"Overdue","Pending")))</f>
        <v/>
      </c>
      <c r="G75" s="5" t="n"/>
      <c r="H75" s="4" t="n"/>
      <c r="I75" s="7">
        <f>IF($A75="","", SUMIFS($D$2:$D$801,$A$2:$A$801,$A75) - SUMIFS($E$2:$E$801,$A$2:$A$801,$A75))</f>
        <v/>
      </c>
      <c r="J75" s="4">
        <f>IF($F75="Paid",0, IF($C75="","", MAX(0, TODAY()-$C75)))</f>
        <v/>
      </c>
      <c r="K75" s="4" t="n"/>
      <c r="L75" s="4" t="n"/>
    </row>
    <row r="76">
      <c r="A76" s="4" t="n"/>
      <c r="B76" s="4" t="n"/>
      <c r="C76" s="5">
        <f>IF(AND($A76&lt;&gt;"",$B76&lt;&gt;""), XLOOKUP($A76,Loan_Register!$A$2:$A$301,Loan_Register!$M$2:$M$301,"") + 7*($B76-1), "")</f>
        <v/>
      </c>
      <c r="D76" s="7">
        <f>IF($A76&lt;&gt;"", XLOOKUP($A76,Loan_Register!$A$2:$A$301,Loan_Register!$N$2:$N$301,""), "")</f>
        <v/>
      </c>
      <c r="E76" s="7" t="n"/>
      <c r="F76" s="4">
        <f>IF($A76="","", IF($E76&gt;=$D76,"Paid", IF(TODAY()&gt;$C76,"Overdue","Pending")))</f>
        <v/>
      </c>
      <c r="G76" s="5" t="n"/>
      <c r="H76" s="4" t="n"/>
      <c r="I76" s="7">
        <f>IF($A76="","", SUMIFS($D$2:$D$801,$A$2:$A$801,$A76) - SUMIFS($E$2:$E$801,$A$2:$A$801,$A76))</f>
        <v/>
      </c>
      <c r="J76" s="4">
        <f>IF($F76="Paid",0, IF($C76="","", MAX(0, TODAY()-$C76)))</f>
        <v/>
      </c>
      <c r="K76" s="4" t="n"/>
      <c r="L76" s="4" t="n"/>
    </row>
    <row r="77">
      <c r="A77" s="4" t="n"/>
      <c r="B77" s="4" t="n"/>
      <c r="C77" s="5">
        <f>IF(AND($A77&lt;&gt;"",$B77&lt;&gt;""), XLOOKUP($A77,Loan_Register!$A$2:$A$301,Loan_Register!$M$2:$M$301,"") + 7*($B77-1), "")</f>
        <v/>
      </c>
      <c r="D77" s="7">
        <f>IF($A77&lt;&gt;"", XLOOKUP($A77,Loan_Register!$A$2:$A$301,Loan_Register!$N$2:$N$301,""), "")</f>
        <v/>
      </c>
      <c r="E77" s="7" t="n"/>
      <c r="F77" s="4">
        <f>IF($A77="","", IF($E77&gt;=$D77,"Paid", IF(TODAY()&gt;$C77,"Overdue","Pending")))</f>
        <v/>
      </c>
      <c r="G77" s="5" t="n"/>
      <c r="H77" s="4" t="n"/>
      <c r="I77" s="7">
        <f>IF($A77="","", SUMIFS($D$2:$D$801,$A$2:$A$801,$A77) - SUMIFS($E$2:$E$801,$A$2:$A$801,$A77))</f>
        <v/>
      </c>
      <c r="J77" s="4">
        <f>IF($F77="Paid",0, IF($C77="","", MAX(0, TODAY()-$C77)))</f>
        <v/>
      </c>
      <c r="K77" s="4" t="n"/>
      <c r="L77" s="4" t="n"/>
    </row>
    <row r="78">
      <c r="A78" s="4" t="n"/>
      <c r="B78" s="4" t="n"/>
      <c r="C78" s="5">
        <f>IF(AND($A78&lt;&gt;"",$B78&lt;&gt;""), XLOOKUP($A78,Loan_Register!$A$2:$A$301,Loan_Register!$M$2:$M$301,"") + 7*($B78-1), "")</f>
        <v/>
      </c>
      <c r="D78" s="7">
        <f>IF($A78&lt;&gt;"", XLOOKUP($A78,Loan_Register!$A$2:$A$301,Loan_Register!$N$2:$N$301,""), "")</f>
        <v/>
      </c>
      <c r="E78" s="7" t="n"/>
      <c r="F78" s="4">
        <f>IF($A78="","", IF($E78&gt;=$D78,"Paid", IF(TODAY()&gt;$C78,"Overdue","Pending")))</f>
        <v/>
      </c>
      <c r="G78" s="5" t="n"/>
      <c r="H78" s="4" t="n"/>
      <c r="I78" s="7">
        <f>IF($A78="","", SUMIFS($D$2:$D$801,$A$2:$A$801,$A78) - SUMIFS($E$2:$E$801,$A$2:$A$801,$A78))</f>
        <v/>
      </c>
      <c r="J78" s="4">
        <f>IF($F78="Paid",0, IF($C78="","", MAX(0, TODAY()-$C78)))</f>
        <v/>
      </c>
      <c r="K78" s="4" t="n"/>
      <c r="L78" s="4" t="n"/>
    </row>
    <row r="79">
      <c r="A79" s="4" t="n"/>
      <c r="B79" s="4" t="n"/>
      <c r="C79" s="5">
        <f>IF(AND($A79&lt;&gt;"",$B79&lt;&gt;""), XLOOKUP($A79,Loan_Register!$A$2:$A$301,Loan_Register!$M$2:$M$301,"") + 7*($B79-1), "")</f>
        <v/>
      </c>
      <c r="D79" s="7">
        <f>IF($A79&lt;&gt;"", XLOOKUP($A79,Loan_Register!$A$2:$A$301,Loan_Register!$N$2:$N$301,""), "")</f>
        <v/>
      </c>
      <c r="E79" s="7" t="n"/>
      <c r="F79" s="4">
        <f>IF($A79="","", IF($E79&gt;=$D79,"Paid", IF(TODAY()&gt;$C79,"Overdue","Pending")))</f>
        <v/>
      </c>
      <c r="G79" s="5" t="n"/>
      <c r="H79" s="4" t="n"/>
      <c r="I79" s="7">
        <f>IF($A79="","", SUMIFS($D$2:$D$801,$A$2:$A$801,$A79) - SUMIFS($E$2:$E$801,$A$2:$A$801,$A79))</f>
        <v/>
      </c>
      <c r="J79" s="4">
        <f>IF($F79="Paid",0, IF($C79="","", MAX(0, TODAY()-$C79)))</f>
        <v/>
      </c>
      <c r="K79" s="4" t="n"/>
      <c r="L79" s="4" t="n"/>
    </row>
    <row r="80">
      <c r="A80" s="4" t="n"/>
      <c r="B80" s="4" t="n"/>
      <c r="C80" s="5">
        <f>IF(AND($A80&lt;&gt;"",$B80&lt;&gt;""), XLOOKUP($A80,Loan_Register!$A$2:$A$301,Loan_Register!$M$2:$M$301,"") + 7*($B80-1), "")</f>
        <v/>
      </c>
      <c r="D80" s="7">
        <f>IF($A80&lt;&gt;"", XLOOKUP($A80,Loan_Register!$A$2:$A$301,Loan_Register!$N$2:$N$301,""), "")</f>
        <v/>
      </c>
      <c r="E80" s="7" t="n"/>
      <c r="F80" s="4">
        <f>IF($A80="","", IF($E80&gt;=$D80,"Paid", IF(TODAY()&gt;$C80,"Overdue","Pending")))</f>
        <v/>
      </c>
      <c r="G80" s="5" t="n"/>
      <c r="H80" s="4" t="n"/>
      <c r="I80" s="7">
        <f>IF($A80="","", SUMIFS($D$2:$D$801,$A$2:$A$801,$A80) - SUMIFS($E$2:$E$801,$A$2:$A$801,$A80))</f>
        <v/>
      </c>
      <c r="J80" s="4">
        <f>IF($F80="Paid",0, IF($C80="","", MAX(0, TODAY()-$C80)))</f>
        <v/>
      </c>
      <c r="K80" s="4" t="n"/>
      <c r="L80" s="4" t="n"/>
    </row>
    <row r="81">
      <c r="A81" s="4" t="n"/>
      <c r="B81" s="4" t="n"/>
      <c r="C81" s="5">
        <f>IF(AND($A81&lt;&gt;"",$B81&lt;&gt;""), XLOOKUP($A81,Loan_Register!$A$2:$A$301,Loan_Register!$M$2:$M$301,"") + 7*($B81-1), "")</f>
        <v/>
      </c>
      <c r="D81" s="7">
        <f>IF($A81&lt;&gt;"", XLOOKUP($A81,Loan_Register!$A$2:$A$301,Loan_Register!$N$2:$N$301,""), "")</f>
        <v/>
      </c>
      <c r="E81" s="7" t="n"/>
      <c r="F81" s="4">
        <f>IF($A81="","", IF($E81&gt;=$D81,"Paid", IF(TODAY()&gt;$C81,"Overdue","Pending")))</f>
        <v/>
      </c>
      <c r="G81" s="5" t="n"/>
      <c r="H81" s="4" t="n"/>
      <c r="I81" s="7">
        <f>IF($A81="","", SUMIFS($D$2:$D$801,$A$2:$A$801,$A81) - SUMIFS($E$2:$E$801,$A$2:$A$801,$A81))</f>
        <v/>
      </c>
      <c r="J81" s="4">
        <f>IF($F81="Paid",0, IF($C81="","", MAX(0, TODAY()-$C81)))</f>
        <v/>
      </c>
      <c r="K81" s="4" t="n"/>
      <c r="L81" s="4" t="n"/>
    </row>
    <row r="82">
      <c r="A82" s="4" t="n"/>
      <c r="B82" s="4" t="n"/>
      <c r="C82" s="5">
        <f>IF(AND($A82&lt;&gt;"",$B82&lt;&gt;""), XLOOKUP($A82,Loan_Register!$A$2:$A$301,Loan_Register!$M$2:$M$301,"") + 7*($B82-1), "")</f>
        <v/>
      </c>
      <c r="D82" s="7">
        <f>IF($A82&lt;&gt;"", XLOOKUP($A82,Loan_Register!$A$2:$A$301,Loan_Register!$N$2:$N$301,""), "")</f>
        <v/>
      </c>
      <c r="E82" s="7" t="n"/>
      <c r="F82" s="4">
        <f>IF($A82="","", IF($E82&gt;=$D82,"Paid", IF(TODAY()&gt;$C82,"Overdue","Pending")))</f>
        <v/>
      </c>
      <c r="G82" s="5" t="n"/>
      <c r="H82" s="4" t="n"/>
      <c r="I82" s="7">
        <f>IF($A82="","", SUMIFS($D$2:$D$801,$A$2:$A$801,$A82) - SUMIFS($E$2:$E$801,$A$2:$A$801,$A82))</f>
        <v/>
      </c>
      <c r="J82" s="4">
        <f>IF($F82="Paid",0, IF($C82="","", MAX(0, TODAY()-$C82)))</f>
        <v/>
      </c>
      <c r="K82" s="4" t="n"/>
      <c r="L82" s="4" t="n"/>
    </row>
    <row r="83">
      <c r="A83" s="4" t="n"/>
      <c r="B83" s="4" t="n"/>
      <c r="C83" s="5">
        <f>IF(AND($A83&lt;&gt;"",$B83&lt;&gt;""), XLOOKUP($A83,Loan_Register!$A$2:$A$301,Loan_Register!$M$2:$M$301,"") + 7*($B83-1), "")</f>
        <v/>
      </c>
      <c r="D83" s="7">
        <f>IF($A83&lt;&gt;"", XLOOKUP($A83,Loan_Register!$A$2:$A$301,Loan_Register!$N$2:$N$301,""), "")</f>
        <v/>
      </c>
      <c r="E83" s="7" t="n"/>
      <c r="F83" s="4">
        <f>IF($A83="","", IF($E83&gt;=$D83,"Paid", IF(TODAY()&gt;$C83,"Overdue","Pending")))</f>
        <v/>
      </c>
      <c r="G83" s="5" t="n"/>
      <c r="H83" s="4" t="n"/>
      <c r="I83" s="7">
        <f>IF($A83="","", SUMIFS($D$2:$D$801,$A$2:$A$801,$A83) - SUMIFS($E$2:$E$801,$A$2:$A$801,$A83))</f>
        <v/>
      </c>
      <c r="J83" s="4">
        <f>IF($F83="Paid",0, IF($C83="","", MAX(0, TODAY()-$C83)))</f>
        <v/>
      </c>
      <c r="K83" s="4" t="n"/>
      <c r="L83" s="4" t="n"/>
    </row>
    <row r="84">
      <c r="A84" s="4" t="n"/>
      <c r="B84" s="4" t="n"/>
      <c r="C84" s="5">
        <f>IF(AND($A84&lt;&gt;"",$B84&lt;&gt;""), XLOOKUP($A84,Loan_Register!$A$2:$A$301,Loan_Register!$M$2:$M$301,"") + 7*($B84-1), "")</f>
        <v/>
      </c>
      <c r="D84" s="7">
        <f>IF($A84&lt;&gt;"", XLOOKUP($A84,Loan_Register!$A$2:$A$301,Loan_Register!$N$2:$N$301,""), "")</f>
        <v/>
      </c>
      <c r="E84" s="7" t="n"/>
      <c r="F84" s="4">
        <f>IF($A84="","", IF($E84&gt;=$D84,"Paid", IF(TODAY()&gt;$C84,"Overdue","Pending")))</f>
        <v/>
      </c>
      <c r="G84" s="5" t="n"/>
      <c r="H84" s="4" t="n"/>
      <c r="I84" s="7">
        <f>IF($A84="","", SUMIFS($D$2:$D$801,$A$2:$A$801,$A84) - SUMIFS($E$2:$E$801,$A$2:$A$801,$A84))</f>
        <v/>
      </c>
      <c r="J84" s="4">
        <f>IF($F84="Paid",0, IF($C84="","", MAX(0, TODAY()-$C84)))</f>
        <v/>
      </c>
      <c r="K84" s="4" t="n"/>
      <c r="L84" s="4" t="n"/>
    </row>
    <row r="85">
      <c r="A85" s="4" t="n"/>
      <c r="B85" s="4" t="n"/>
      <c r="C85" s="5">
        <f>IF(AND($A85&lt;&gt;"",$B85&lt;&gt;""), XLOOKUP($A85,Loan_Register!$A$2:$A$301,Loan_Register!$M$2:$M$301,"") + 7*($B85-1), "")</f>
        <v/>
      </c>
      <c r="D85" s="7">
        <f>IF($A85&lt;&gt;"", XLOOKUP($A85,Loan_Register!$A$2:$A$301,Loan_Register!$N$2:$N$301,""), "")</f>
        <v/>
      </c>
      <c r="E85" s="7" t="n"/>
      <c r="F85" s="4">
        <f>IF($A85="","", IF($E85&gt;=$D85,"Paid", IF(TODAY()&gt;$C85,"Overdue","Pending")))</f>
        <v/>
      </c>
      <c r="G85" s="5" t="n"/>
      <c r="H85" s="4" t="n"/>
      <c r="I85" s="7">
        <f>IF($A85="","", SUMIFS($D$2:$D$801,$A$2:$A$801,$A85) - SUMIFS($E$2:$E$801,$A$2:$A$801,$A85))</f>
        <v/>
      </c>
      <c r="J85" s="4">
        <f>IF($F85="Paid",0, IF($C85="","", MAX(0, TODAY()-$C85)))</f>
        <v/>
      </c>
      <c r="K85" s="4" t="n"/>
      <c r="L85" s="4" t="n"/>
    </row>
    <row r="86">
      <c r="A86" s="4" t="n"/>
      <c r="B86" s="4" t="n"/>
      <c r="C86" s="5">
        <f>IF(AND($A86&lt;&gt;"",$B86&lt;&gt;""), XLOOKUP($A86,Loan_Register!$A$2:$A$301,Loan_Register!$M$2:$M$301,"") + 7*($B86-1), "")</f>
        <v/>
      </c>
      <c r="D86" s="7">
        <f>IF($A86&lt;&gt;"", XLOOKUP($A86,Loan_Register!$A$2:$A$301,Loan_Register!$N$2:$N$301,""), "")</f>
        <v/>
      </c>
      <c r="E86" s="7" t="n"/>
      <c r="F86" s="4">
        <f>IF($A86="","", IF($E86&gt;=$D86,"Paid", IF(TODAY()&gt;$C86,"Overdue","Pending")))</f>
        <v/>
      </c>
      <c r="G86" s="5" t="n"/>
      <c r="H86" s="4" t="n"/>
      <c r="I86" s="7">
        <f>IF($A86="","", SUMIFS($D$2:$D$801,$A$2:$A$801,$A86) - SUMIFS($E$2:$E$801,$A$2:$A$801,$A86))</f>
        <v/>
      </c>
      <c r="J86" s="4">
        <f>IF($F86="Paid",0, IF($C86="","", MAX(0, TODAY()-$C86)))</f>
        <v/>
      </c>
      <c r="K86" s="4" t="n"/>
      <c r="L86" s="4" t="n"/>
    </row>
    <row r="87">
      <c r="A87" s="4" t="n"/>
      <c r="B87" s="4" t="n"/>
      <c r="C87" s="5">
        <f>IF(AND($A87&lt;&gt;"",$B87&lt;&gt;""), XLOOKUP($A87,Loan_Register!$A$2:$A$301,Loan_Register!$M$2:$M$301,"") + 7*($B87-1), "")</f>
        <v/>
      </c>
      <c r="D87" s="7">
        <f>IF($A87&lt;&gt;"", XLOOKUP($A87,Loan_Register!$A$2:$A$301,Loan_Register!$N$2:$N$301,""), "")</f>
        <v/>
      </c>
      <c r="E87" s="7" t="n"/>
      <c r="F87" s="4">
        <f>IF($A87="","", IF($E87&gt;=$D87,"Paid", IF(TODAY()&gt;$C87,"Overdue","Pending")))</f>
        <v/>
      </c>
      <c r="G87" s="5" t="n"/>
      <c r="H87" s="4" t="n"/>
      <c r="I87" s="7">
        <f>IF($A87="","", SUMIFS($D$2:$D$801,$A$2:$A$801,$A87) - SUMIFS($E$2:$E$801,$A$2:$A$801,$A87))</f>
        <v/>
      </c>
      <c r="J87" s="4">
        <f>IF($F87="Paid",0, IF($C87="","", MAX(0, TODAY()-$C87)))</f>
        <v/>
      </c>
      <c r="K87" s="4" t="n"/>
      <c r="L87" s="4" t="n"/>
    </row>
    <row r="88">
      <c r="A88" s="4" t="n"/>
      <c r="B88" s="4" t="n"/>
      <c r="C88" s="5">
        <f>IF(AND($A88&lt;&gt;"",$B88&lt;&gt;""), XLOOKUP($A88,Loan_Register!$A$2:$A$301,Loan_Register!$M$2:$M$301,"") + 7*($B88-1), "")</f>
        <v/>
      </c>
      <c r="D88" s="7">
        <f>IF($A88&lt;&gt;"", XLOOKUP($A88,Loan_Register!$A$2:$A$301,Loan_Register!$N$2:$N$301,""), "")</f>
        <v/>
      </c>
      <c r="E88" s="7" t="n"/>
      <c r="F88" s="4">
        <f>IF($A88="","", IF($E88&gt;=$D88,"Paid", IF(TODAY()&gt;$C88,"Overdue","Pending")))</f>
        <v/>
      </c>
      <c r="G88" s="5" t="n"/>
      <c r="H88" s="4" t="n"/>
      <c r="I88" s="7">
        <f>IF($A88="","", SUMIFS($D$2:$D$801,$A$2:$A$801,$A88) - SUMIFS($E$2:$E$801,$A$2:$A$801,$A88))</f>
        <v/>
      </c>
      <c r="J88" s="4">
        <f>IF($F88="Paid",0, IF($C88="","", MAX(0, TODAY()-$C88)))</f>
        <v/>
      </c>
      <c r="K88" s="4" t="n"/>
      <c r="L88" s="4" t="n"/>
    </row>
    <row r="89">
      <c r="A89" s="4" t="n"/>
      <c r="B89" s="4" t="n"/>
      <c r="C89" s="5">
        <f>IF(AND($A89&lt;&gt;"",$B89&lt;&gt;""), XLOOKUP($A89,Loan_Register!$A$2:$A$301,Loan_Register!$M$2:$M$301,"") + 7*($B89-1), "")</f>
        <v/>
      </c>
      <c r="D89" s="7">
        <f>IF($A89&lt;&gt;"", XLOOKUP($A89,Loan_Register!$A$2:$A$301,Loan_Register!$N$2:$N$301,""), "")</f>
        <v/>
      </c>
      <c r="E89" s="7" t="n"/>
      <c r="F89" s="4">
        <f>IF($A89="","", IF($E89&gt;=$D89,"Paid", IF(TODAY()&gt;$C89,"Overdue","Pending")))</f>
        <v/>
      </c>
      <c r="G89" s="5" t="n"/>
      <c r="H89" s="4" t="n"/>
      <c r="I89" s="7">
        <f>IF($A89="","", SUMIFS($D$2:$D$801,$A$2:$A$801,$A89) - SUMIFS($E$2:$E$801,$A$2:$A$801,$A89))</f>
        <v/>
      </c>
      <c r="J89" s="4">
        <f>IF($F89="Paid",0, IF($C89="","", MAX(0, TODAY()-$C89)))</f>
        <v/>
      </c>
      <c r="K89" s="4" t="n"/>
      <c r="L89" s="4" t="n"/>
    </row>
    <row r="90">
      <c r="A90" s="4" t="n"/>
      <c r="B90" s="4" t="n"/>
      <c r="C90" s="5">
        <f>IF(AND($A90&lt;&gt;"",$B90&lt;&gt;""), XLOOKUP($A90,Loan_Register!$A$2:$A$301,Loan_Register!$M$2:$M$301,"") + 7*($B90-1), "")</f>
        <v/>
      </c>
      <c r="D90" s="7">
        <f>IF($A90&lt;&gt;"", XLOOKUP($A90,Loan_Register!$A$2:$A$301,Loan_Register!$N$2:$N$301,""), "")</f>
        <v/>
      </c>
      <c r="E90" s="7" t="n"/>
      <c r="F90" s="4">
        <f>IF($A90="","", IF($E90&gt;=$D90,"Paid", IF(TODAY()&gt;$C90,"Overdue","Pending")))</f>
        <v/>
      </c>
      <c r="G90" s="5" t="n"/>
      <c r="H90" s="4" t="n"/>
      <c r="I90" s="7">
        <f>IF($A90="","", SUMIFS($D$2:$D$801,$A$2:$A$801,$A90) - SUMIFS($E$2:$E$801,$A$2:$A$801,$A90))</f>
        <v/>
      </c>
      <c r="J90" s="4">
        <f>IF($F90="Paid",0, IF($C90="","", MAX(0, TODAY()-$C90)))</f>
        <v/>
      </c>
      <c r="K90" s="4" t="n"/>
      <c r="L90" s="4" t="n"/>
    </row>
    <row r="91">
      <c r="A91" s="4" t="n"/>
      <c r="B91" s="4" t="n"/>
      <c r="C91" s="5">
        <f>IF(AND($A91&lt;&gt;"",$B91&lt;&gt;""), XLOOKUP($A91,Loan_Register!$A$2:$A$301,Loan_Register!$M$2:$M$301,"") + 7*($B91-1), "")</f>
        <v/>
      </c>
      <c r="D91" s="7">
        <f>IF($A91&lt;&gt;"", XLOOKUP($A91,Loan_Register!$A$2:$A$301,Loan_Register!$N$2:$N$301,""), "")</f>
        <v/>
      </c>
      <c r="E91" s="7" t="n"/>
      <c r="F91" s="4">
        <f>IF($A91="","", IF($E91&gt;=$D91,"Paid", IF(TODAY()&gt;$C91,"Overdue","Pending")))</f>
        <v/>
      </c>
      <c r="G91" s="5" t="n"/>
      <c r="H91" s="4" t="n"/>
      <c r="I91" s="7">
        <f>IF($A91="","", SUMIFS($D$2:$D$801,$A$2:$A$801,$A91) - SUMIFS($E$2:$E$801,$A$2:$A$801,$A91))</f>
        <v/>
      </c>
      <c r="J91" s="4">
        <f>IF($F91="Paid",0, IF($C91="","", MAX(0, TODAY()-$C91)))</f>
        <v/>
      </c>
      <c r="K91" s="4" t="n"/>
      <c r="L91" s="4" t="n"/>
    </row>
    <row r="92">
      <c r="A92" s="4" t="n"/>
      <c r="B92" s="4" t="n"/>
      <c r="C92" s="5">
        <f>IF(AND($A92&lt;&gt;"",$B92&lt;&gt;""), XLOOKUP($A92,Loan_Register!$A$2:$A$301,Loan_Register!$M$2:$M$301,"") + 7*($B92-1), "")</f>
        <v/>
      </c>
      <c r="D92" s="7">
        <f>IF($A92&lt;&gt;"", XLOOKUP($A92,Loan_Register!$A$2:$A$301,Loan_Register!$N$2:$N$301,""), "")</f>
        <v/>
      </c>
      <c r="E92" s="7" t="n"/>
      <c r="F92" s="4">
        <f>IF($A92="","", IF($E92&gt;=$D92,"Paid", IF(TODAY()&gt;$C92,"Overdue","Pending")))</f>
        <v/>
      </c>
      <c r="G92" s="5" t="n"/>
      <c r="H92" s="4" t="n"/>
      <c r="I92" s="7">
        <f>IF($A92="","", SUMIFS($D$2:$D$801,$A$2:$A$801,$A92) - SUMIFS($E$2:$E$801,$A$2:$A$801,$A92))</f>
        <v/>
      </c>
      <c r="J92" s="4">
        <f>IF($F92="Paid",0, IF($C92="","", MAX(0, TODAY()-$C92)))</f>
        <v/>
      </c>
      <c r="K92" s="4" t="n"/>
      <c r="L92" s="4" t="n"/>
    </row>
    <row r="93">
      <c r="A93" s="4" t="n"/>
      <c r="B93" s="4" t="n"/>
      <c r="C93" s="5">
        <f>IF(AND($A93&lt;&gt;"",$B93&lt;&gt;""), XLOOKUP($A93,Loan_Register!$A$2:$A$301,Loan_Register!$M$2:$M$301,"") + 7*($B93-1), "")</f>
        <v/>
      </c>
      <c r="D93" s="7">
        <f>IF($A93&lt;&gt;"", XLOOKUP($A93,Loan_Register!$A$2:$A$301,Loan_Register!$N$2:$N$301,""), "")</f>
        <v/>
      </c>
      <c r="E93" s="7" t="n"/>
      <c r="F93" s="4">
        <f>IF($A93="","", IF($E93&gt;=$D93,"Paid", IF(TODAY()&gt;$C93,"Overdue","Pending")))</f>
        <v/>
      </c>
      <c r="G93" s="5" t="n"/>
      <c r="H93" s="4" t="n"/>
      <c r="I93" s="7">
        <f>IF($A93="","", SUMIFS($D$2:$D$801,$A$2:$A$801,$A93) - SUMIFS($E$2:$E$801,$A$2:$A$801,$A93))</f>
        <v/>
      </c>
      <c r="J93" s="4">
        <f>IF($F93="Paid",0, IF($C93="","", MAX(0, TODAY()-$C93)))</f>
        <v/>
      </c>
      <c r="K93" s="4" t="n"/>
      <c r="L93" s="4" t="n"/>
    </row>
    <row r="94">
      <c r="A94" s="4" t="n"/>
      <c r="B94" s="4" t="n"/>
      <c r="C94" s="5">
        <f>IF(AND($A94&lt;&gt;"",$B94&lt;&gt;""), XLOOKUP($A94,Loan_Register!$A$2:$A$301,Loan_Register!$M$2:$M$301,"") + 7*($B94-1), "")</f>
        <v/>
      </c>
      <c r="D94" s="7">
        <f>IF($A94&lt;&gt;"", XLOOKUP($A94,Loan_Register!$A$2:$A$301,Loan_Register!$N$2:$N$301,""), "")</f>
        <v/>
      </c>
      <c r="E94" s="7" t="n"/>
      <c r="F94" s="4">
        <f>IF($A94="","", IF($E94&gt;=$D94,"Paid", IF(TODAY()&gt;$C94,"Overdue","Pending")))</f>
        <v/>
      </c>
      <c r="G94" s="5" t="n"/>
      <c r="H94" s="4" t="n"/>
      <c r="I94" s="7">
        <f>IF($A94="","", SUMIFS($D$2:$D$801,$A$2:$A$801,$A94) - SUMIFS($E$2:$E$801,$A$2:$A$801,$A94))</f>
        <v/>
      </c>
      <c r="J94" s="4">
        <f>IF($F94="Paid",0, IF($C94="","", MAX(0, TODAY()-$C94)))</f>
        <v/>
      </c>
      <c r="K94" s="4" t="n"/>
      <c r="L94" s="4" t="n"/>
    </row>
    <row r="95">
      <c r="A95" s="4" t="n"/>
      <c r="B95" s="4" t="n"/>
      <c r="C95" s="5">
        <f>IF(AND($A95&lt;&gt;"",$B95&lt;&gt;""), XLOOKUP($A95,Loan_Register!$A$2:$A$301,Loan_Register!$M$2:$M$301,"") + 7*($B95-1), "")</f>
        <v/>
      </c>
      <c r="D95" s="7">
        <f>IF($A95&lt;&gt;"", XLOOKUP($A95,Loan_Register!$A$2:$A$301,Loan_Register!$N$2:$N$301,""), "")</f>
        <v/>
      </c>
      <c r="E95" s="7" t="n"/>
      <c r="F95" s="4">
        <f>IF($A95="","", IF($E95&gt;=$D95,"Paid", IF(TODAY()&gt;$C95,"Overdue","Pending")))</f>
        <v/>
      </c>
      <c r="G95" s="5" t="n"/>
      <c r="H95" s="4" t="n"/>
      <c r="I95" s="7">
        <f>IF($A95="","", SUMIFS($D$2:$D$801,$A$2:$A$801,$A95) - SUMIFS($E$2:$E$801,$A$2:$A$801,$A95))</f>
        <v/>
      </c>
      <c r="J95" s="4">
        <f>IF($F95="Paid",0, IF($C95="","", MAX(0, TODAY()-$C95)))</f>
        <v/>
      </c>
      <c r="K95" s="4" t="n"/>
      <c r="L95" s="4" t="n"/>
    </row>
    <row r="96">
      <c r="A96" s="4" t="n"/>
      <c r="B96" s="4" t="n"/>
      <c r="C96" s="5">
        <f>IF(AND($A96&lt;&gt;"",$B96&lt;&gt;""), XLOOKUP($A96,Loan_Register!$A$2:$A$301,Loan_Register!$M$2:$M$301,"") + 7*($B96-1), "")</f>
        <v/>
      </c>
      <c r="D96" s="7">
        <f>IF($A96&lt;&gt;"", XLOOKUP($A96,Loan_Register!$A$2:$A$301,Loan_Register!$N$2:$N$301,""), "")</f>
        <v/>
      </c>
      <c r="E96" s="7" t="n"/>
      <c r="F96" s="4">
        <f>IF($A96="","", IF($E96&gt;=$D96,"Paid", IF(TODAY()&gt;$C96,"Overdue","Pending")))</f>
        <v/>
      </c>
      <c r="G96" s="5" t="n"/>
      <c r="H96" s="4" t="n"/>
      <c r="I96" s="7">
        <f>IF($A96="","", SUMIFS($D$2:$D$801,$A$2:$A$801,$A96) - SUMIFS($E$2:$E$801,$A$2:$A$801,$A96))</f>
        <v/>
      </c>
      <c r="J96" s="4">
        <f>IF($F96="Paid",0, IF($C96="","", MAX(0, TODAY()-$C96)))</f>
        <v/>
      </c>
      <c r="K96" s="4" t="n"/>
      <c r="L96" s="4" t="n"/>
    </row>
    <row r="97">
      <c r="A97" s="4" t="n"/>
      <c r="B97" s="4" t="n"/>
      <c r="C97" s="5">
        <f>IF(AND($A97&lt;&gt;"",$B97&lt;&gt;""), XLOOKUP($A97,Loan_Register!$A$2:$A$301,Loan_Register!$M$2:$M$301,"") + 7*($B97-1), "")</f>
        <v/>
      </c>
      <c r="D97" s="7">
        <f>IF($A97&lt;&gt;"", XLOOKUP($A97,Loan_Register!$A$2:$A$301,Loan_Register!$N$2:$N$301,""), "")</f>
        <v/>
      </c>
      <c r="E97" s="7" t="n"/>
      <c r="F97" s="4">
        <f>IF($A97="","", IF($E97&gt;=$D97,"Paid", IF(TODAY()&gt;$C97,"Overdue","Pending")))</f>
        <v/>
      </c>
      <c r="G97" s="5" t="n"/>
      <c r="H97" s="4" t="n"/>
      <c r="I97" s="7">
        <f>IF($A97="","", SUMIFS($D$2:$D$801,$A$2:$A$801,$A97) - SUMIFS($E$2:$E$801,$A$2:$A$801,$A97))</f>
        <v/>
      </c>
      <c r="J97" s="4">
        <f>IF($F97="Paid",0, IF($C97="","", MAX(0, TODAY()-$C97)))</f>
        <v/>
      </c>
      <c r="K97" s="4" t="n"/>
      <c r="L97" s="4" t="n"/>
    </row>
    <row r="98">
      <c r="A98" s="4" t="n"/>
      <c r="B98" s="4" t="n"/>
      <c r="C98" s="5">
        <f>IF(AND($A98&lt;&gt;"",$B98&lt;&gt;""), XLOOKUP($A98,Loan_Register!$A$2:$A$301,Loan_Register!$M$2:$M$301,"") + 7*($B98-1), "")</f>
        <v/>
      </c>
      <c r="D98" s="7">
        <f>IF($A98&lt;&gt;"", XLOOKUP($A98,Loan_Register!$A$2:$A$301,Loan_Register!$N$2:$N$301,""), "")</f>
        <v/>
      </c>
      <c r="E98" s="7" t="n"/>
      <c r="F98" s="4">
        <f>IF($A98="","", IF($E98&gt;=$D98,"Paid", IF(TODAY()&gt;$C98,"Overdue","Pending")))</f>
        <v/>
      </c>
      <c r="G98" s="5" t="n"/>
      <c r="H98" s="4" t="n"/>
      <c r="I98" s="7">
        <f>IF($A98="","", SUMIFS($D$2:$D$801,$A$2:$A$801,$A98) - SUMIFS($E$2:$E$801,$A$2:$A$801,$A98))</f>
        <v/>
      </c>
      <c r="J98" s="4">
        <f>IF($F98="Paid",0, IF($C98="","", MAX(0, TODAY()-$C98)))</f>
        <v/>
      </c>
      <c r="K98" s="4" t="n"/>
      <c r="L98" s="4" t="n"/>
    </row>
    <row r="99">
      <c r="A99" s="4" t="n"/>
      <c r="B99" s="4" t="n"/>
      <c r="C99" s="5">
        <f>IF(AND($A99&lt;&gt;"",$B99&lt;&gt;""), XLOOKUP($A99,Loan_Register!$A$2:$A$301,Loan_Register!$M$2:$M$301,"") + 7*($B99-1), "")</f>
        <v/>
      </c>
      <c r="D99" s="7">
        <f>IF($A99&lt;&gt;"", XLOOKUP($A99,Loan_Register!$A$2:$A$301,Loan_Register!$N$2:$N$301,""), "")</f>
        <v/>
      </c>
      <c r="E99" s="7" t="n"/>
      <c r="F99" s="4">
        <f>IF($A99="","", IF($E99&gt;=$D99,"Paid", IF(TODAY()&gt;$C99,"Overdue","Pending")))</f>
        <v/>
      </c>
      <c r="G99" s="5" t="n"/>
      <c r="H99" s="4" t="n"/>
      <c r="I99" s="7">
        <f>IF($A99="","", SUMIFS($D$2:$D$801,$A$2:$A$801,$A99) - SUMIFS($E$2:$E$801,$A$2:$A$801,$A99))</f>
        <v/>
      </c>
      <c r="J99" s="4">
        <f>IF($F99="Paid",0, IF($C99="","", MAX(0, TODAY()-$C99)))</f>
        <v/>
      </c>
      <c r="K99" s="4" t="n"/>
      <c r="L99" s="4" t="n"/>
    </row>
    <row r="100">
      <c r="A100" s="4" t="n"/>
      <c r="B100" s="4" t="n"/>
      <c r="C100" s="5">
        <f>IF(AND($A100&lt;&gt;"",$B100&lt;&gt;""), XLOOKUP($A100,Loan_Register!$A$2:$A$301,Loan_Register!$M$2:$M$301,"") + 7*($B100-1), "")</f>
        <v/>
      </c>
      <c r="D100" s="7">
        <f>IF($A100&lt;&gt;"", XLOOKUP($A100,Loan_Register!$A$2:$A$301,Loan_Register!$N$2:$N$301,""), "")</f>
        <v/>
      </c>
      <c r="E100" s="7" t="n"/>
      <c r="F100" s="4">
        <f>IF($A100="","", IF($E100&gt;=$D100,"Paid", IF(TODAY()&gt;$C100,"Overdue","Pending")))</f>
        <v/>
      </c>
      <c r="G100" s="5" t="n"/>
      <c r="H100" s="4" t="n"/>
      <c r="I100" s="7">
        <f>IF($A100="","", SUMIFS($D$2:$D$801,$A$2:$A$801,$A100) - SUMIFS($E$2:$E$801,$A$2:$A$801,$A100))</f>
        <v/>
      </c>
      <c r="J100" s="4">
        <f>IF($F100="Paid",0, IF($C100="","", MAX(0, TODAY()-$C100)))</f>
        <v/>
      </c>
      <c r="K100" s="4" t="n"/>
      <c r="L100" s="4" t="n"/>
    </row>
    <row r="101">
      <c r="C101" s="6">
        <f>IF(AND($A101&lt;&gt;"",$B101&lt;&gt;""), XLOOKUP($A101,Loan_Register!$A$2:$A$301,Loan_Register!$M$2:$M$301,"") + 7*($B101-1), "")</f>
        <v/>
      </c>
      <c r="D101" s="8">
        <f>IF($A101&lt;&gt;"", XLOOKUP($A101,Loan_Register!$A$2:$A$301,Loan_Register!$N$2:$N$301,""), "")</f>
        <v/>
      </c>
      <c r="E101" s="8" t="n"/>
      <c r="F101">
        <f>IF($A101="","", IF($E101&gt;=$D101,"Paid", IF(TODAY()&gt;$C101,"Overdue","Pending")))</f>
        <v/>
      </c>
      <c r="G101" s="6" t="n"/>
      <c r="I101" s="8">
        <f>IF($A101="","", SUMIFS($D$2:$D$801,$A$2:$A$801,$A101) - SUMIFS($E$2:$E$801,$A$2:$A$801,$A101))</f>
        <v/>
      </c>
      <c r="J101">
        <f>IF($F101="Paid",0, IF($C101="","", MAX(0, TODAY()-$C101)))</f>
        <v/>
      </c>
    </row>
    <row r="102">
      <c r="C102" s="6">
        <f>IF(AND($A102&lt;&gt;"",$B102&lt;&gt;""), XLOOKUP($A102,Loan_Register!$A$2:$A$301,Loan_Register!$M$2:$M$301,"") + 7*($B102-1), "")</f>
        <v/>
      </c>
      <c r="D102" s="8">
        <f>IF($A102&lt;&gt;"", XLOOKUP($A102,Loan_Register!$A$2:$A$301,Loan_Register!$N$2:$N$301,""), "")</f>
        <v/>
      </c>
      <c r="E102" s="8" t="n"/>
      <c r="F102">
        <f>IF($A102="","", IF($E102&gt;=$D102,"Paid", IF(TODAY()&gt;$C102,"Overdue","Pending")))</f>
        <v/>
      </c>
      <c r="G102" s="6" t="n"/>
      <c r="I102" s="8">
        <f>IF($A102="","", SUMIFS($D$2:$D$801,$A$2:$A$801,$A102) - SUMIFS($E$2:$E$801,$A$2:$A$801,$A102))</f>
        <v/>
      </c>
      <c r="J102">
        <f>IF($F102="Paid",0, IF($C102="","", MAX(0, TODAY()-$C102)))</f>
        <v/>
      </c>
    </row>
    <row r="103">
      <c r="C103" s="6">
        <f>IF(AND($A103&lt;&gt;"",$B103&lt;&gt;""), XLOOKUP($A103,Loan_Register!$A$2:$A$301,Loan_Register!$M$2:$M$301,"") + 7*($B103-1), "")</f>
        <v/>
      </c>
      <c r="D103" s="8">
        <f>IF($A103&lt;&gt;"", XLOOKUP($A103,Loan_Register!$A$2:$A$301,Loan_Register!$N$2:$N$301,""), "")</f>
        <v/>
      </c>
      <c r="E103" s="8" t="n"/>
      <c r="F103">
        <f>IF($A103="","", IF($E103&gt;=$D103,"Paid", IF(TODAY()&gt;$C103,"Overdue","Pending")))</f>
        <v/>
      </c>
      <c r="G103" s="6" t="n"/>
      <c r="I103" s="8">
        <f>IF($A103="","", SUMIFS($D$2:$D$801,$A$2:$A$801,$A103) - SUMIFS($E$2:$E$801,$A$2:$A$801,$A103))</f>
        <v/>
      </c>
      <c r="J103">
        <f>IF($F103="Paid",0, IF($C103="","", MAX(0, TODAY()-$C103)))</f>
        <v/>
      </c>
    </row>
    <row r="104">
      <c r="C104" s="6">
        <f>IF(AND($A104&lt;&gt;"",$B104&lt;&gt;""), XLOOKUP($A104,Loan_Register!$A$2:$A$301,Loan_Register!$M$2:$M$301,"") + 7*($B104-1), "")</f>
        <v/>
      </c>
      <c r="D104" s="8">
        <f>IF($A104&lt;&gt;"", XLOOKUP($A104,Loan_Register!$A$2:$A$301,Loan_Register!$N$2:$N$301,""), "")</f>
        <v/>
      </c>
      <c r="E104" s="8" t="n"/>
      <c r="F104">
        <f>IF($A104="","", IF($E104&gt;=$D104,"Paid", IF(TODAY()&gt;$C104,"Overdue","Pending")))</f>
        <v/>
      </c>
      <c r="G104" s="6" t="n"/>
      <c r="I104" s="8">
        <f>IF($A104="","", SUMIFS($D$2:$D$801,$A$2:$A$801,$A104) - SUMIFS($E$2:$E$801,$A$2:$A$801,$A104))</f>
        <v/>
      </c>
      <c r="J104">
        <f>IF($F104="Paid",0, IF($C104="","", MAX(0, TODAY()-$C104)))</f>
        <v/>
      </c>
    </row>
    <row r="105">
      <c r="C105" s="6">
        <f>IF(AND($A105&lt;&gt;"",$B105&lt;&gt;""), XLOOKUP($A105,Loan_Register!$A$2:$A$301,Loan_Register!$M$2:$M$301,"") + 7*($B105-1), "")</f>
        <v/>
      </c>
      <c r="D105" s="8">
        <f>IF($A105&lt;&gt;"", XLOOKUP($A105,Loan_Register!$A$2:$A$301,Loan_Register!$N$2:$N$301,""), "")</f>
        <v/>
      </c>
      <c r="E105" s="8" t="n"/>
      <c r="F105">
        <f>IF($A105="","", IF($E105&gt;=$D105,"Paid", IF(TODAY()&gt;$C105,"Overdue","Pending")))</f>
        <v/>
      </c>
      <c r="G105" s="6" t="n"/>
      <c r="I105" s="8">
        <f>IF($A105="","", SUMIFS($D$2:$D$801,$A$2:$A$801,$A105) - SUMIFS($E$2:$E$801,$A$2:$A$801,$A105))</f>
        <v/>
      </c>
      <c r="J105">
        <f>IF($F105="Paid",0, IF($C105="","", MAX(0, TODAY()-$C105)))</f>
        <v/>
      </c>
    </row>
    <row r="106">
      <c r="C106" s="6">
        <f>IF(AND($A106&lt;&gt;"",$B106&lt;&gt;""), XLOOKUP($A106,Loan_Register!$A$2:$A$301,Loan_Register!$M$2:$M$301,"") + 7*($B106-1), "")</f>
        <v/>
      </c>
      <c r="D106" s="8">
        <f>IF($A106&lt;&gt;"", XLOOKUP($A106,Loan_Register!$A$2:$A$301,Loan_Register!$N$2:$N$301,""), "")</f>
        <v/>
      </c>
      <c r="E106" s="8" t="n"/>
      <c r="F106">
        <f>IF($A106="","", IF($E106&gt;=$D106,"Paid", IF(TODAY()&gt;$C106,"Overdue","Pending")))</f>
        <v/>
      </c>
      <c r="G106" s="6" t="n"/>
      <c r="I106" s="8">
        <f>IF($A106="","", SUMIFS($D$2:$D$801,$A$2:$A$801,$A106) - SUMIFS($E$2:$E$801,$A$2:$A$801,$A106))</f>
        <v/>
      </c>
      <c r="J106">
        <f>IF($F106="Paid",0, IF($C106="","", MAX(0, TODAY()-$C106)))</f>
        <v/>
      </c>
    </row>
    <row r="107">
      <c r="C107" s="6">
        <f>IF(AND($A107&lt;&gt;"",$B107&lt;&gt;""), XLOOKUP($A107,Loan_Register!$A$2:$A$301,Loan_Register!$M$2:$M$301,"") + 7*($B107-1), "")</f>
        <v/>
      </c>
      <c r="D107" s="8">
        <f>IF($A107&lt;&gt;"", XLOOKUP($A107,Loan_Register!$A$2:$A$301,Loan_Register!$N$2:$N$301,""), "")</f>
        <v/>
      </c>
      <c r="E107" s="8" t="n"/>
      <c r="F107">
        <f>IF($A107="","", IF($E107&gt;=$D107,"Paid", IF(TODAY()&gt;$C107,"Overdue","Pending")))</f>
        <v/>
      </c>
      <c r="G107" s="6" t="n"/>
      <c r="I107" s="8">
        <f>IF($A107="","", SUMIFS($D$2:$D$801,$A$2:$A$801,$A107) - SUMIFS($E$2:$E$801,$A$2:$A$801,$A107))</f>
        <v/>
      </c>
      <c r="J107">
        <f>IF($F107="Paid",0, IF($C107="","", MAX(0, TODAY()-$C107)))</f>
        <v/>
      </c>
    </row>
    <row r="108">
      <c r="C108" s="6">
        <f>IF(AND($A108&lt;&gt;"",$B108&lt;&gt;""), XLOOKUP($A108,Loan_Register!$A$2:$A$301,Loan_Register!$M$2:$M$301,"") + 7*($B108-1), "")</f>
        <v/>
      </c>
      <c r="D108" s="8">
        <f>IF($A108&lt;&gt;"", XLOOKUP($A108,Loan_Register!$A$2:$A$301,Loan_Register!$N$2:$N$301,""), "")</f>
        <v/>
      </c>
      <c r="E108" s="8" t="n"/>
      <c r="F108">
        <f>IF($A108="","", IF($E108&gt;=$D108,"Paid", IF(TODAY()&gt;$C108,"Overdue","Pending")))</f>
        <v/>
      </c>
      <c r="G108" s="6" t="n"/>
      <c r="I108" s="8">
        <f>IF($A108="","", SUMIFS($D$2:$D$801,$A$2:$A$801,$A108) - SUMIFS($E$2:$E$801,$A$2:$A$801,$A108))</f>
        <v/>
      </c>
      <c r="J108">
        <f>IF($F108="Paid",0, IF($C108="","", MAX(0, TODAY()-$C108)))</f>
        <v/>
      </c>
    </row>
    <row r="109">
      <c r="C109" s="6">
        <f>IF(AND($A109&lt;&gt;"",$B109&lt;&gt;""), XLOOKUP($A109,Loan_Register!$A$2:$A$301,Loan_Register!$M$2:$M$301,"") + 7*($B109-1), "")</f>
        <v/>
      </c>
      <c r="D109" s="8">
        <f>IF($A109&lt;&gt;"", XLOOKUP($A109,Loan_Register!$A$2:$A$301,Loan_Register!$N$2:$N$301,""), "")</f>
        <v/>
      </c>
      <c r="E109" s="8" t="n"/>
      <c r="F109">
        <f>IF($A109="","", IF($E109&gt;=$D109,"Paid", IF(TODAY()&gt;$C109,"Overdue","Pending")))</f>
        <v/>
      </c>
      <c r="G109" s="6" t="n"/>
      <c r="I109" s="8">
        <f>IF($A109="","", SUMIFS($D$2:$D$801,$A$2:$A$801,$A109) - SUMIFS($E$2:$E$801,$A$2:$A$801,$A109))</f>
        <v/>
      </c>
      <c r="J109">
        <f>IF($F109="Paid",0, IF($C109="","", MAX(0, TODAY()-$C109)))</f>
        <v/>
      </c>
    </row>
    <row r="110">
      <c r="C110" s="6">
        <f>IF(AND($A110&lt;&gt;"",$B110&lt;&gt;""), XLOOKUP($A110,Loan_Register!$A$2:$A$301,Loan_Register!$M$2:$M$301,"") + 7*($B110-1), "")</f>
        <v/>
      </c>
      <c r="D110" s="8">
        <f>IF($A110&lt;&gt;"", XLOOKUP($A110,Loan_Register!$A$2:$A$301,Loan_Register!$N$2:$N$301,""), "")</f>
        <v/>
      </c>
      <c r="E110" s="8" t="n"/>
      <c r="F110">
        <f>IF($A110="","", IF($E110&gt;=$D110,"Paid", IF(TODAY()&gt;$C110,"Overdue","Pending")))</f>
        <v/>
      </c>
      <c r="G110" s="6" t="n"/>
      <c r="I110" s="8">
        <f>IF($A110="","", SUMIFS($D$2:$D$801,$A$2:$A$801,$A110) - SUMIFS($E$2:$E$801,$A$2:$A$801,$A110))</f>
        <v/>
      </c>
      <c r="J110">
        <f>IF($F110="Paid",0, IF($C110="","", MAX(0, TODAY()-$C110)))</f>
        <v/>
      </c>
    </row>
    <row r="111">
      <c r="C111" s="6">
        <f>IF(AND($A111&lt;&gt;"",$B111&lt;&gt;""), XLOOKUP($A111,Loan_Register!$A$2:$A$301,Loan_Register!$M$2:$M$301,"") + 7*($B111-1), "")</f>
        <v/>
      </c>
      <c r="D111" s="8">
        <f>IF($A111&lt;&gt;"", XLOOKUP($A111,Loan_Register!$A$2:$A$301,Loan_Register!$N$2:$N$301,""), "")</f>
        <v/>
      </c>
      <c r="E111" s="8" t="n"/>
      <c r="F111">
        <f>IF($A111="","", IF($E111&gt;=$D111,"Paid", IF(TODAY()&gt;$C111,"Overdue","Pending")))</f>
        <v/>
      </c>
      <c r="G111" s="6" t="n"/>
      <c r="I111" s="8">
        <f>IF($A111="","", SUMIFS($D$2:$D$801,$A$2:$A$801,$A111) - SUMIFS($E$2:$E$801,$A$2:$A$801,$A111))</f>
        <v/>
      </c>
      <c r="J111">
        <f>IF($F111="Paid",0, IF($C111="","", MAX(0, TODAY()-$C111)))</f>
        <v/>
      </c>
    </row>
    <row r="112">
      <c r="C112" s="6">
        <f>IF(AND($A112&lt;&gt;"",$B112&lt;&gt;""), XLOOKUP($A112,Loan_Register!$A$2:$A$301,Loan_Register!$M$2:$M$301,"") + 7*($B112-1), "")</f>
        <v/>
      </c>
      <c r="D112" s="8">
        <f>IF($A112&lt;&gt;"", XLOOKUP($A112,Loan_Register!$A$2:$A$301,Loan_Register!$N$2:$N$301,""), "")</f>
        <v/>
      </c>
      <c r="E112" s="8" t="n"/>
      <c r="F112">
        <f>IF($A112="","", IF($E112&gt;=$D112,"Paid", IF(TODAY()&gt;$C112,"Overdue","Pending")))</f>
        <v/>
      </c>
      <c r="G112" s="6" t="n"/>
      <c r="I112" s="8">
        <f>IF($A112="","", SUMIFS($D$2:$D$801,$A$2:$A$801,$A112) - SUMIFS($E$2:$E$801,$A$2:$A$801,$A112))</f>
        <v/>
      </c>
      <c r="J112">
        <f>IF($F112="Paid",0, IF($C112="","", MAX(0, TODAY()-$C112)))</f>
        <v/>
      </c>
    </row>
    <row r="113">
      <c r="C113" s="6">
        <f>IF(AND($A113&lt;&gt;"",$B113&lt;&gt;""), XLOOKUP($A113,Loan_Register!$A$2:$A$301,Loan_Register!$M$2:$M$301,"") + 7*($B113-1), "")</f>
        <v/>
      </c>
      <c r="D113" s="8">
        <f>IF($A113&lt;&gt;"", XLOOKUP($A113,Loan_Register!$A$2:$A$301,Loan_Register!$N$2:$N$301,""), "")</f>
        <v/>
      </c>
      <c r="E113" s="8" t="n"/>
      <c r="F113">
        <f>IF($A113="","", IF($E113&gt;=$D113,"Paid", IF(TODAY()&gt;$C113,"Overdue","Pending")))</f>
        <v/>
      </c>
      <c r="G113" s="6" t="n"/>
      <c r="I113" s="8">
        <f>IF($A113="","", SUMIFS($D$2:$D$801,$A$2:$A$801,$A113) - SUMIFS($E$2:$E$801,$A$2:$A$801,$A113))</f>
        <v/>
      </c>
      <c r="J113">
        <f>IF($F113="Paid",0, IF($C113="","", MAX(0, TODAY()-$C113)))</f>
        <v/>
      </c>
    </row>
    <row r="114">
      <c r="C114" s="6">
        <f>IF(AND($A114&lt;&gt;"",$B114&lt;&gt;""), XLOOKUP($A114,Loan_Register!$A$2:$A$301,Loan_Register!$M$2:$M$301,"") + 7*($B114-1), "")</f>
        <v/>
      </c>
      <c r="D114" s="8">
        <f>IF($A114&lt;&gt;"", XLOOKUP($A114,Loan_Register!$A$2:$A$301,Loan_Register!$N$2:$N$301,""), "")</f>
        <v/>
      </c>
      <c r="E114" s="8" t="n"/>
      <c r="F114">
        <f>IF($A114="","", IF($E114&gt;=$D114,"Paid", IF(TODAY()&gt;$C114,"Overdue","Pending")))</f>
        <v/>
      </c>
      <c r="G114" s="6" t="n"/>
      <c r="I114" s="8">
        <f>IF($A114="","", SUMIFS($D$2:$D$801,$A$2:$A$801,$A114) - SUMIFS($E$2:$E$801,$A$2:$A$801,$A114))</f>
        <v/>
      </c>
      <c r="J114">
        <f>IF($F114="Paid",0, IF($C114="","", MAX(0, TODAY()-$C114)))</f>
        <v/>
      </c>
    </row>
    <row r="115">
      <c r="C115" s="6">
        <f>IF(AND($A115&lt;&gt;"",$B115&lt;&gt;""), XLOOKUP($A115,Loan_Register!$A$2:$A$301,Loan_Register!$M$2:$M$301,"") + 7*($B115-1), "")</f>
        <v/>
      </c>
      <c r="D115" s="8">
        <f>IF($A115&lt;&gt;"", XLOOKUP($A115,Loan_Register!$A$2:$A$301,Loan_Register!$N$2:$N$301,""), "")</f>
        <v/>
      </c>
      <c r="E115" s="8" t="n"/>
      <c r="F115">
        <f>IF($A115="","", IF($E115&gt;=$D115,"Paid", IF(TODAY()&gt;$C115,"Overdue","Pending")))</f>
        <v/>
      </c>
      <c r="G115" s="6" t="n"/>
      <c r="I115" s="8">
        <f>IF($A115="","", SUMIFS($D$2:$D$801,$A$2:$A$801,$A115) - SUMIFS($E$2:$E$801,$A$2:$A$801,$A115))</f>
        <v/>
      </c>
      <c r="J115">
        <f>IF($F115="Paid",0, IF($C115="","", MAX(0, TODAY()-$C115)))</f>
        <v/>
      </c>
    </row>
    <row r="116">
      <c r="C116" s="6">
        <f>IF(AND($A116&lt;&gt;"",$B116&lt;&gt;""), XLOOKUP($A116,Loan_Register!$A$2:$A$301,Loan_Register!$M$2:$M$301,"") + 7*($B116-1), "")</f>
        <v/>
      </c>
      <c r="D116" s="8">
        <f>IF($A116&lt;&gt;"", XLOOKUP($A116,Loan_Register!$A$2:$A$301,Loan_Register!$N$2:$N$301,""), "")</f>
        <v/>
      </c>
      <c r="E116" s="8" t="n"/>
      <c r="F116">
        <f>IF($A116="","", IF($E116&gt;=$D116,"Paid", IF(TODAY()&gt;$C116,"Overdue","Pending")))</f>
        <v/>
      </c>
      <c r="G116" s="6" t="n"/>
      <c r="I116" s="8">
        <f>IF($A116="","", SUMIFS($D$2:$D$801,$A$2:$A$801,$A116) - SUMIFS($E$2:$E$801,$A$2:$A$801,$A116))</f>
        <v/>
      </c>
      <c r="J116">
        <f>IF($F116="Paid",0, IF($C116="","", MAX(0, TODAY()-$C116)))</f>
        <v/>
      </c>
    </row>
    <row r="117">
      <c r="C117" s="6">
        <f>IF(AND($A117&lt;&gt;"",$B117&lt;&gt;""), XLOOKUP($A117,Loan_Register!$A$2:$A$301,Loan_Register!$M$2:$M$301,"") + 7*($B117-1), "")</f>
        <v/>
      </c>
      <c r="D117" s="8">
        <f>IF($A117&lt;&gt;"", XLOOKUP($A117,Loan_Register!$A$2:$A$301,Loan_Register!$N$2:$N$301,""), "")</f>
        <v/>
      </c>
      <c r="E117" s="8" t="n"/>
      <c r="F117">
        <f>IF($A117="","", IF($E117&gt;=$D117,"Paid", IF(TODAY()&gt;$C117,"Overdue","Pending")))</f>
        <v/>
      </c>
      <c r="G117" s="6" t="n"/>
      <c r="I117" s="8">
        <f>IF($A117="","", SUMIFS($D$2:$D$801,$A$2:$A$801,$A117) - SUMIFS($E$2:$E$801,$A$2:$A$801,$A117))</f>
        <v/>
      </c>
      <c r="J117">
        <f>IF($F117="Paid",0, IF($C117="","", MAX(0, TODAY()-$C117)))</f>
        <v/>
      </c>
    </row>
    <row r="118">
      <c r="C118" s="6">
        <f>IF(AND($A118&lt;&gt;"",$B118&lt;&gt;""), XLOOKUP($A118,Loan_Register!$A$2:$A$301,Loan_Register!$M$2:$M$301,"") + 7*($B118-1), "")</f>
        <v/>
      </c>
      <c r="D118" s="8">
        <f>IF($A118&lt;&gt;"", XLOOKUP($A118,Loan_Register!$A$2:$A$301,Loan_Register!$N$2:$N$301,""), "")</f>
        <v/>
      </c>
      <c r="E118" s="8" t="n"/>
      <c r="F118">
        <f>IF($A118="","", IF($E118&gt;=$D118,"Paid", IF(TODAY()&gt;$C118,"Overdue","Pending")))</f>
        <v/>
      </c>
      <c r="G118" s="6" t="n"/>
      <c r="I118" s="8">
        <f>IF($A118="","", SUMIFS($D$2:$D$801,$A$2:$A$801,$A118) - SUMIFS($E$2:$E$801,$A$2:$A$801,$A118))</f>
        <v/>
      </c>
      <c r="J118">
        <f>IF($F118="Paid",0, IF($C118="","", MAX(0, TODAY()-$C118)))</f>
        <v/>
      </c>
    </row>
    <row r="119">
      <c r="C119" s="6">
        <f>IF(AND($A119&lt;&gt;"",$B119&lt;&gt;""), XLOOKUP($A119,Loan_Register!$A$2:$A$301,Loan_Register!$M$2:$M$301,"") + 7*($B119-1), "")</f>
        <v/>
      </c>
      <c r="D119" s="8">
        <f>IF($A119&lt;&gt;"", XLOOKUP($A119,Loan_Register!$A$2:$A$301,Loan_Register!$N$2:$N$301,""), "")</f>
        <v/>
      </c>
      <c r="E119" s="8" t="n"/>
      <c r="F119">
        <f>IF($A119="","", IF($E119&gt;=$D119,"Paid", IF(TODAY()&gt;$C119,"Overdue","Pending")))</f>
        <v/>
      </c>
      <c r="G119" s="6" t="n"/>
      <c r="I119" s="8">
        <f>IF($A119="","", SUMIFS($D$2:$D$801,$A$2:$A$801,$A119) - SUMIFS($E$2:$E$801,$A$2:$A$801,$A119))</f>
        <v/>
      </c>
      <c r="J119">
        <f>IF($F119="Paid",0, IF($C119="","", MAX(0, TODAY()-$C119)))</f>
        <v/>
      </c>
    </row>
    <row r="120">
      <c r="C120" s="6">
        <f>IF(AND($A120&lt;&gt;"",$B120&lt;&gt;""), XLOOKUP($A120,Loan_Register!$A$2:$A$301,Loan_Register!$M$2:$M$301,"") + 7*($B120-1), "")</f>
        <v/>
      </c>
      <c r="D120" s="8">
        <f>IF($A120&lt;&gt;"", XLOOKUP($A120,Loan_Register!$A$2:$A$301,Loan_Register!$N$2:$N$301,""), "")</f>
        <v/>
      </c>
      <c r="E120" s="8" t="n"/>
      <c r="F120">
        <f>IF($A120="","", IF($E120&gt;=$D120,"Paid", IF(TODAY()&gt;$C120,"Overdue","Pending")))</f>
        <v/>
      </c>
      <c r="G120" s="6" t="n"/>
      <c r="I120" s="8">
        <f>IF($A120="","", SUMIFS($D$2:$D$801,$A$2:$A$801,$A120) - SUMIFS($E$2:$E$801,$A$2:$A$801,$A120))</f>
        <v/>
      </c>
      <c r="J120">
        <f>IF($F120="Paid",0, IF($C120="","", MAX(0, TODAY()-$C120)))</f>
        <v/>
      </c>
    </row>
    <row r="121">
      <c r="C121" s="6">
        <f>IF(AND($A121&lt;&gt;"",$B121&lt;&gt;""), XLOOKUP($A121,Loan_Register!$A$2:$A$301,Loan_Register!$M$2:$M$301,"") + 7*($B121-1), "")</f>
        <v/>
      </c>
      <c r="D121" s="8">
        <f>IF($A121&lt;&gt;"", XLOOKUP($A121,Loan_Register!$A$2:$A$301,Loan_Register!$N$2:$N$301,""), "")</f>
        <v/>
      </c>
      <c r="E121" s="8" t="n"/>
      <c r="F121">
        <f>IF($A121="","", IF($E121&gt;=$D121,"Paid", IF(TODAY()&gt;$C121,"Overdue","Pending")))</f>
        <v/>
      </c>
      <c r="G121" s="6" t="n"/>
      <c r="I121" s="8">
        <f>IF($A121="","", SUMIFS($D$2:$D$801,$A$2:$A$801,$A121) - SUMIFS($E$2:$E$801,$A$2:$A$801,$A121))</f>
        <v/>
      </c>
      <c r="J121">
        <f>IF($F121="Paid",0, IF($C121="","", MAX(0, TODAY()-$C121)))</f>
        <v/>
      </c>
    </row>
    <row r="122">
      <c r="C122" s="6">
        <f>IF(AND($A122&lt;&gt;"",$B122&lt;&gt;""), XLOOKUP($A122,Loan_Register!$A$2:$A$301,Loan_Register!$M$2:$M$301,"") + 7*($B122-1), "")</f>
        <v/>
      </c>
      <c r="D122" s="8">
        <f>IF($A122&lt;&gt;"", XLOOKUP($A122,Loan_Register!$A$2:$A$301,Loan_Register!$N$2:$N$301,""), "")</f>
        <v/>
      </c>
      <c r="E122" s="8" t="n"/>
      <c r="F122">
        <f>IF($A122="","", IF($E122&gt;=$D122,"Paid", IF(TODAY()&gt;$C122,"Overdue","Pending")))</f>
        <v/>
      </c>
      <c r="G122" s="6" t="n"/>
      <c r="I122" s="8">
        <f>IF($A122="","", SUMIFS($D$2:$D$801,$A$2:$A$801,$A122) - SUMIFS($E$2:$E$801,$A$2:$A$801,$A122))</f>
        <v/>
      </c>
      <c r="J122">
        <f>IF($F122="Paid",0, IF($C122="","", MAX(0, TODAY()-$C122)))</f>
        <v/>
      </c>
    </row>
    <row r="123">
      <c r="C123" s="6">
        <f>IF(AND($A123&lt;&gt;"",$B123&lt;&gt;""), XLOOKUP($A123,Loan_Register!$A$2:$A$301,Loan_Register!$M$2:$M$301,"") + 7*($B123-1), "")</f>
        <v/>
      </c>
      <c r="D123" s="8">
        <f>IF($A123&lt;&gt;"", XLOOKUP($A123,Loan_Register!$A$2:$A$301,Loan_Register!$N$2:$N$301,""), "")</f>
        <v/>
      </c>
      <c r="E123" s="8" t="n"/>
      <c r="F123">
        <f>IF($A123="","", IF($E123&gt;=$D123,"Paid", IF(TODAY()&gt;$C123,"Overdue","Pending")))</f>
        <v/>
      </c>
      <c r="G123" s="6" t="n"/>
      <c r="I123" s="8">
        <f>IF($A123="","", SUMIFS($D$2:$D$801,$A$2:$A$801,$A123) - SUMIFS($E$2:$E$801,$A$2:$A$801,$A123))</f>
        <v/>
      </c>
      <c r="J123">
        <f>IF($F123="Paid",0, IF($C123="","", MAX(0, TODAY()-$C123)))</f>
        <v/>
      </c>
    </row>
    <row r="124">
      <c r="C124" s="6">
        <f>IF(AND($A124&lt;&gt;"",$B124&lt;&gt;""), XLOOKUP($A124,Loan_Register!$A$2:$A$301,Loan_Register!$M$2:$M$301,"") + 7*($B124-1), "")</f>
        <v/>
      </c>
      <c r="D124" s="8">
        <f>IF($A124&lt;&gt;"", XLOOKUP($A124,Loan_Register!$A$2:$A$301,Loan_Register!$N$2:$N$301,""), "")</f>
        <v/>
      </c>
      <c r="E124" s="8" t="n"/>
      <c r="F124">
        <f>IF($A124="","", IF($E124&gt;=$D124,"Paid", IF(TODAY()&gt;$C124,"Overdue","Pending")))</f>
        <v/>
      </c>
      <c r="G124" s="6" t="n"/>
      <c r="I124" s="8">
        <f>IF($A124="","", SUMIFS($D$2:$D$801,$A$2:$A$801,$A124) - SUMIFS($E$2:$E$801,$A$2:$A$801,$A124))</f>
        <v/>
      </c>
      <c r="J124">
        <f>IF($F124="Paid",0, IF($C124="","", MAX(0, TODAY()-$C124)))</f>
        <v/>
      </c>
    </row>
    <row r="125">
      <c r="C125" s="6">
        <f>IF(AND($A125&lt;&gt;"",$B125&lt;&gt;""), XLOOKUP($A125,Loan_Register!$A$2:$A$301,Loan_Register!$M$2:$M$301,"") + 7*($B125-1), "")</f>
        <v/>
      </c>
      <c r="D125" s="8">
        <f>IF($A125&lt;&gt;"", XLOOKUP($A125,Loan_Register!$A$2:$A$301,Loan_Register!$N$2:$N$301,""), "")</f>
        <v/>
      </c>
      <c r="E125" s="8" t="n"/>
      <c r="F125">
        <f>IF($A125="","", IF($E125&gt;=$D125,"Paid", IF(TODAY()&gt;$C125,"Overdue","Pending")))</f>
        <v/>
      </c>
      <c r="G125" s="6" t="n"/>
      <c r="I125" s="8">
        <f>IF($A125="","", SUMIFS($D$2:$D$801,$A$2:$A$801,$A125) - SUMIFS($E$2:$E$801,$A$2:$A$801,$A125))</f>
        <v/>
      </c>
      <c r="J125">
        <f>IF($F125="Paid",0, IF($C125="","", MAX(0, TODAY()-$C125)))</f>
        <v/>
      </c>
    </row>
    <row r="126">
      <c r="C126" s="6">
        <f>IF(AND($A126&lt;&gt;"",$B126&lt;&gt;""), XLOOKUP($A126,Loan_Register!$A$2:$A$301,Loan_Register!$M$2:$M$301,"") + 7*($B126-1), "")</f>
        <v/>
      </c>
      <c r="D126" s="8">
        <f>IF($A126&lt;&gt;"", XLOOKUP($A126,Loan_Register!$A$2:$A$301,Loan_Register!$N$2:$N$301,""), "")</f>
        <v/>
      </c>
      <c r="E126" s="8" t="n"/>
      <c r="F126">
        <f>IF($A126="","", IF($E126&gt;=$D126,"Paid", IF(TODAY()&gt;$C126,"Overdue","Pending")))</f>
        <v/>
      </c>
      <c r="G126" s="6" t="n"/>
      <c r="I126" s="8">
        <f>IF($A126="","", SUMIFS($D$2:$D$801,$A$2:$A$801,$A126) - SUMIFS($E$2:$E$801,$A$2:$A$801,$A126))</f>
        <v/>
      </c>
      <c r="J126">
        <f>IF($F126="Paid",0, IF($C126="","", MAX(0, TODAY()-$C126)))</f>
        <v/>
      </c>
    </row>
    <row r="127">
      <c r="C127" s="6">
        <f>IF(AND($A127&lt;&gt;"",$B127&lt;&gt;""), XLOOKUP($A127,Loan_Register!$A$2:$A$301,Loan_Register!$M$2:$M$301,"") + 7*($B127-1), "")</f>
        <v/>
      </c>
      <c r="D127" s="8">
        <f>IF($A127&lt;&gt;"", XLOOKUP($A127,Loan_Register!$A$2:$A$301,Loan_Register!$N$2:$N$301,""), "")</f>
        <v/>
      </c>
      <c r="E127" s="8" t="n"/>
      <c r="F127">
        <f>IF($A127="","", IF($E127&gt;=$D127,"Paid", IF(TODAY()&gt;$C127,"Overdue","Pending")))</f>
        <v/>
      </c>
      <c r="G127" s="6" t="n"/>
      <c r="I127" s="8">
        <f>IF($A127="","", SUMIFS($D$2:$D$801,$A$2:$A$801,$A127) - SUMIFS($E$2:$E$801,$A$2:$A$801,$A127))</f>
        <v/>
      </c>
      <c r="J127">
        <f>IF($F127="Paid",0, IF($C127="","", MAX(0, TODAY()-$C127)))</f>
        <v/>
      </c>
    </row>
    <row r="128">
      <c r="C128" s="6">
        <f>IF(AND($A128&lt;&gt;"",$B128&lt;&gt;""), XLOOKUP($A128,Loan_Register!$A$2:$A$301,Loan_Register!$M$2:$M$301,"") + 7*($B128-1), "")</f>
        <v/>
      </c>
      <c r="D128" s="8">
        <f>IF($A128&lt;&gt;"", XLOOKUP($A128,Loan_Register!$A$2:$A$301,Loan_Register!$N$2:$N$301,""), "")</f>
        <v/>
      </c>
      <c r="E128" s="8" t="n"/>
      <c r="F128">
        <f>IF($A128="","", IF($E128&gt;=$D128,"Paid", IF(TODAY()&gt;$C128,"Overdue","Pending")))</f>
        <v/>
      </c>
      <c r="G128" s="6" t="n"/>
      <c r="I128" s="8">
        <f>IF($A128="","", SUMIFS($D$2:$D$801,$A$2:$A$801,$A128) - SUMIFS($E$2:$E$801,$A$2:$A$801,$A128))</f>
        <v/>
      </c>
      <c r="J128">
        <f>IF($F128="Paid",0, IF($C128="","", MAX(0, TODAY()-$C128)))</f>
        <v/>
      </c>
    </row>
    <row r="129">
      <c r="C129" s="6">
        <f>IF(AND($A129&lt;&gt;"",$B129&lt;&gt;""), XLOOKUP($A129,Loan_Register!$A$2:$A$301,Loan_Register!$M$2:$M$301,"") + 7*($B129-1), "")</f>
        <v/>
      </c>
      <c r="D129" s="8">
        <f>IF($A129&lt;&gt;"", XLOOKUP($A129,Loan_Register!$A$2:$A$301,Loan_Register!$N$2:$N$301,""), "")</f>
        <v/>
      </c>
      <c r="E129" s="8" t="n"/>
      <c r="F129">
        <f>IF($A129="","", IF($E129&gt;=$D129,"Paid", IF(TODAY()&gt;$C129,"Overdue","Pending")))</f>
        <v/>
      </c>
      <c r="G129" s="6" t="n"/>
      <c r="I129" s="8">
        <f>IF($A129="","", SUMIFS($D$2:$D$801,$A$2:$A$801,$A129) - SUMIFS($E$2:$E$801,$A$2:$A$801,$A129))</f>
        <v/>
      </c>
      <c r="J129">
        <f>IF($F129="Paid",0, IF($C129="","", MAX(0, TODAY()-$C129)))</f>
        <v/>
      </c>
    </row>
    <row r="130">
      <c r="C130" s="6">
        <f>IF(AND($A130&lt;&gt;"",$B130&lt;&gt;""), XLOOKUP($A130,Loan_Register!$A$2:$A$301,Loan_Register!$M$2:$M$301,"") + 7*($B130-1), "")</f>
        <v/>
      </c>
      <c r="D130" s="8">
        <f>IF($A130&lt;&gt;"", XLOOKUP($A130,Loan_Register!$A$2:$A$301,Loan_Register!$N$2:$N$301,""), "")</f>
        <v/>
      </c>
      <c r="E130" s="8" t="n"/>
      <c r="F130">
        <f>IF($A130="","", IF($E130&gt;=$D130,"Paid", IF(TODAY()&gt;$C130,"Overdue","Pending")))</f>
        <v/>
      </c>
      <c r="G130" s="6" t="n"/>
      <c r="I130" s="8">
        <f>IF($A130="","", SUMIFS($D$2:$D$801,$A$2:$A$801,$A130) - SUMIFS($E$2:$E$801,$A$2:$A$801,$A130))</f>
        <v/>
      </c>
      <c r="J130">
        <f>IF($F130="Paid",0, IF($C130="","", MAX(0, TODAY()-$C130)))</f>
        <v/>
      </c>
    </row>
    <row r="131">
      <c r="C131" s="6">
        <f>IF(AND($A131&lt;&gt;"",$B131&lt;&gt;""), XLOOKUP($A131,Loan_Register!$A$2:$A$301,Loan_Register!$M$2:$M$301,"") + 7*($B131-1), "")</f>
        <v/>
      </c>
      <c r="D131" s="8">
        <f>IF($A131&lt;&gt;"", XLOOKUP($A131,Loan_Register!$A$2:$A$301,Loan_Register!$N$2:$N$301,""), "")</f>
        <v/>
      </c>
      <c r="E131" s="8" t="n"/>
      <c r="F131">
        <f>IF($A131="","", IF($E131&gt;=$D131,"Paid", IF(TODAY()&gt;$C131,"Overdue","Pending")))</f>
        <v/>
      </c>
      <c r="G131" s="6" t="n"/>
      <c r="I131" s="8">
        <f>IF($A131="","", SUMIFS($D$2:$D$801,$A$2:$A$801,$A131) - SUMIFS($E$2:$E$801,$A$2:$A$801,$A131))</f>
        <v/>
      </c>
      <c r="J131">
        <f>IF($F131="Paid",0, IF($C131="","", MAX(0, TODAY()-$C131)))</f>
        <v/>
      </c>
    </row>
    <row r="132">
      <c r="C132" s="6">
        <f>IF(AND($A132&lt;&gt;"",$B132&lt;&gt;""), XLOOKUP($A132,Loan_Register!$A$2:$A$301,Loan_Register!$M$2:$M$301,"") + 7*($B132-1), "")</f>
        <v/>
      </c>
      <c r="D132" s="8">
        <f>IF($A132&lt;&gt;"", XLOOKUP($A132,Loan_Register!$A$2:$A$301,Loan_Register!$N$2:$N$301,""), "")</f>
        <v/>
      </c>
      <c r="E132" s="8" t="n"/>
      <c r="F132">
        <f>IF($A132="","", IF($E132&gt;=$D132,"Paid", IF(TODAY()&gt;$C132,"Overdue","Pending")))</f>
        <v/>
      </c>
      <c r="G132" s="6" t="n"/>
      <c r="I132" s="8">
        <f>IF($A132="","", SUMIFS($D$2:$D$801,$A$2:$A$801,$A132) - SUMIFS($E$2:$E$801,$A$2:$A$801,$A132))</f>
        <v/>
      </c>
      <c r="J132">
        <f>IF($F132="Paid",0, IF($C132="","", MAX(0, TODAY()-$C132)))</f>
        <v/>
      </c>
    </row>
    <row r="133">
      <c r="C133" s="6">
        <f>IF(AND($A133&lt;&gt;"",$B133&lt;&gt;""), XLOOKUP($A133,Loan_Register!$A$2:$A$301,Loan_Register!$M$2:$M$301,"") + 7*($B133-1), "")</f>
        <v/>
      </c>
      <c r="D133" s="8">
        <f>IF($A133&lt;&gt;"", XLOOKUP($A133,Loan_Register!$A$2:$A$301,Loan_Register!$N$2:$N$301,""), "")</f>
        <v/>
      </c>
      <c r="E133" s="8" t="n"/>
      <c r="F133">
        <f>IF($A133="","", IF($E133&gt;=$D133,"Paid", IF(TODAY()&gt;$C133,"Overdue","Pending")))</f>
        <v/>
      </c>
      <c r="G133" s="6" t="n"/>
      <c r="I133" s="8">
        <f>IF($A133="","", SUMIFS($D$2:$D$801,$A$2:$A$801,$A133) - SUMIFS($E$2:$E$801,$A$2:$A$801,$A133))</f>
        <v/>
      </c>
      <c r="J133">
        <f>IF($F133="Paid",0, IF($C133="","", MAX(0, TODAY()-$C133)))</f>
        <v/>
      </c>
    </row>
    <row r="134">
      <c r="C134" s="6">
        <f>IF(AND($A134&lt;&gt;"",$B134&lt;&gt;""), XLOOKUP($A134,Loan_Register!$A$2:$A$301,Loan_Register!$M$2:$M$301,"") + 7*($B134-1), "")</f>
        <v/>
      </c>
      <c r="D134" s="8">
        <f>IF($A134&lt;&gt;"", XLOOKUP($A134,Loan_Register!$A$2:$A$301,Loan_Register!$N$2:$N$301,""), "")</f>
        <v/>
      </c>
      <c r="E134" s="8" t="n"/>
      <c r="F134">
        <f>IF($A134="","", IF($E134&gt;=$D134,"Paid", IF(TODAY()&gt;$C134,"Overdue","Pending")))</f>
        <v/>
      </c>
      <c r="G134" s="6" t="n"/>
      <c r="I134" s="8">
        <f>IF($A134="","", SUMIFS($D$2:$D$801,$A$2:$A$801,$A134) - SUMIFS($E$2:$E$801,$A$2:$A$801,$A134))</f>
        <v/>
      </c>
      <c r="J134">
        <f>IF($F134="Paid",0, IF($C134="","", MAX(0, TODAY()-$C134)))</f>
        <v/>
      </c>
    </row>
    <row r="135">
      <c r="C135" s="6">
        <f>IF(AND($A135&lt;&gt;"",$B135&lt;&gt;""), XLOOKUP($A135,Loan_Register!$A$2:$A$301,Loan_Register!$M$2:$M$301,"") + 7*($B135-1), "")</f>
        <v/>
      </c>
      <c r="D135" s="8">
        <f>IF($A135&lt;&gt;"", XLOOKUP($A135,Loan_Register!$A$2:$A$301,Loan_Register!$N$2:$N$301,""), "")</f>
        <v/>
      </c>
      <c r="E135" s="8" t="n"/>
      <c r="F135">
        <f>IF($A135="","", IF($E135&gt;=$D135,"Paid", IF(TODAY()&gt;$C135,"Overdue","Pending")))</f>
        <v/>
      </c>
      <c r="G135" s="6" t="n"/>
      <c r="I135" s="8">
        <f>IF($A135="","", SUMIFS($D$2:$D$801,$A$2:$A$801,$A135) - SUMIFS($E$2:$E$801,$A$2:$A$801,$A135))</f>
        <v/>
      </c>
      <c r="J135">
        <f>IF($F135="Paid",0, IF($C135="","", MAX(0, TODAY()-$C135)))</f>
        <v/>
      </c>
    </row>
    <row r="136">
      <c r="C136" s="6">
        <f>IF(AND($A136&lt;&gt;"",$B136&lt;&gt;""), XLOOKUP($A136,Loan_Register!$A$2:$A$301,Loan_Register!$M$2:$M$301,"") + 7*($B136-1), "")</f>
        <v/>
      </c>
      <c r="D136" s="8">
        <f>IF($A136&lt;&gt;"", XLOOKUP($A136,Loan_Register!$A$2:$A$301,Loan_Register!$N$2:$N$301,""), "")</f>
        <v/>
      </c>
      <c r="E136" s="8" t="n"/>
      <c r="F136">
        <f>IF($A136="","", IF($E136&gt;=$D136,"Paid", IF(TODAY()&gt;$C136,"Overdue","Pending")))</f>
        <v/>
      </c>
      <c r="G136" s="6" t="n"/>
      <c r="I136" s="8">
        <f>IF($A136="","", SUMIFS($D$2:$D$801,$A$2:$A$801,$A136) - SUMIFS($E$2:$E$801,$A$2:$A$801,$A136))</f>
        <v/>
      </c>
      <c r="J136">
        <f>IF($F136="Paid",0, IF($C136="","", MAX(0, TODAY()-$C136)))</f>
        <v/>
      </c>
    </row>
    <row r="137">
      <c r="C137" s="6">
        <f>IF(AND($A137&lt;&gt;"",$B137&lt;&gt;""), XLOOKUP($A137,Loan_Register!$A$2:$A$301,Loan_Register!$M$2:$M$301,"") + 7*($B137-1), "")</f>
        <v/>
      </c>
      <c r="D137" s="8">
        <f>IF($A137&lt;&gt;"", XLOOKUP($A137,Loan_Register!$A$2:$A$301,Loan_Register!$N$2:$N$301,""), "")</f>
        <v/>
      </c>
      <c r="E137" s="8" t="n"/>
      <c r="F137">
        <f>IF($A137="","", IF($E137&gt;=$D137,"Paid", IF(TODAY()&gt;$C137,"Overdue","Pending")))</f>
        <v/>
      </c>
      <c r="G137" s="6" t="n"/>
      <c r="I137" s="8">
        <f>IF($A137="","", SUMIFS($D$2:$D$801,$A$2:$A$801,$A137) - SUMIFS($E$2:$E$801,$A$2:$A$801,$A137))</f>
        <v/>
      </c>
      <c r="J137">
        <f>IF($F137="Paid",0, IF($C137="","", MAX(0, TODAY()-$C137)))</f>
        <v/>
      </c>
    </row>
    <row r="138">
      <c r="C138" s="6">
        <f>IF(AND($A138&lt;&gt;"",$B138&lt;&gt;""), XLOOKUP($A138,Loan_Register!$A$2:$A$301,Loan_Register!$M$2:$M$301,"") + 7*($B138-1), "")</f>
        <v/>
      </c>
      <c r="D138" s="8">
        <f>IF($A138&lt;&gt;"", XLOOKUP($A138,Loan_Register!$A$2:$A$301,Loan_Register!$N$2:$N$301,""), "")</f>
        <v/>
      </c>
      <c r="E138" s="8" t="n"/>
      <c r="F138">
        <f>IF($A138="","", IF($E138&gt;=$D138,"Paid", IF(TODAY()&gt;$C138,"Overdue","Pending")))</f>
        <v/>
      </c>
      <c r="G138" s="6" t="n"/>
      <c r="I138" s="8">
        <f>IF($A138="","", SUMIFS($D$2:$D$801,$A$2:$A$801,$A138) - SUMIFS($E$2:$E$801,$A$2:$A$801,$A138))</f>
        <v/>
      </c>
      <c r="J138">
        <f>IF($F138="Paid",0, IF($C138="","", MAX(0, TODAY()-$C138)))</f>
        <v/>
      </c>
    </row>
    <row r="139">
      <c r="C139" s="6">
        <f>IF(AND($A139&lt;&gt;"",$B139&lt;&gt;""), XLOOKUP($A139,Loan_Register!$A$2:$A$301,Loan_Register!$M$2:$M$301,"") + 7*($B139-1), "")</f>
        <v/>
      </c>
      <c r="D139" s="8">
        <f>IF($A139&lt;&gt;"", XLOOKUP($A139,Loan_Register!$A$2:$A$301,Loan_Register!$N$2:$N$301,""), "")</f>
        <v/>
      </c>
      <c r="E139" s="8" t="n"/>
      <c r="F139">
        <f>IF($A139="","", IF($E139&gt;=$D139,"Paid", IF(TODAY()&gt;$C139,"Overdue","Pending")))</f>
        <v/>
      </c>
      <c r="G139" s="6" t="n"/>
      <c r="I139" s="8">
        <f>IF($A139="","", SUMIFS($D$2:$D$801,$A$2:$A$801,$A139) - SUMIFS($E$2:$E$801,$A$2:$A$801,$A139))</f>
        <v/>
      </c>
      <c r="J139">
        <f>IF($F139="Paid",0, IF($C139="","", MAX(0, TODAY()-$C139)))</f>
        <v/>
      </c>
    </row>
    <row r="140">
      <c r="C140" s="6">
        <f>IF(AND($A140&lt;&gt;"",$B140&lt;&gt;""), XLOOKUP($A140,Loan_Register!$A$2:$A$301,Loan_Register!$M$2:$M$301,"") + 7*($B140-1), "")</f>
        <v/>
      </c>
      <c r="D140" s="8">
        <f>IF($A140&lt;&gt;"", XLOOKUP($A140,Loan_Register!$A$2:$A$301,Loan_Register!$N$2:$N$301,""), "")</f>
        <v/>
      </c>
      <c r="E140" s="8" t="n"/>
      <c r="F140">
        <f>IF($A140="","", IF($E140&gt;=$D140,"Paid", IF(TODAY()&gt;$C140,"Overdue","Pending")))</f>
        <v/>
      </c>
      <c r="G140" s="6" t="n"/>
      <c r="I140" s="8">
        <f>IF($A140="","", SUMIFS($D$2:$D$801,$A$2:$A$801,$A140) - SUMIFS($E$2:$E$801,$A$2:$A$801,$A140))</f>
        <v/>
      </c>
      <c r="J140">
        <f>IF($F140="Paid",0, IF($C140="","", MAX(0, TODAY()-$C140)))</f>
        <v/>
      </c>
    </row>
    <row r="141">
      <c r="C141" s="6">
        <f>IF(AND($A141&lt;&gt;"",$B141&lt;&gt;""), XLOOKUP($A141,Loan_Register!$A$2:$A$301,Loan_Register!$M$2:$M$301,"") + 7*($B141-1), "")</f>
        <v/>
      </c>
      <c r="D141" s="8">
        <f>IF($A141&lt;&gt;"", XLOOKUP($A141,Loan_Register!$A$2:$A$301,Loan_Register!$N$2:$N$301,""), "")</f>
        <v/>
      </c>
      <c r="E141" s="8" t="n"/>
      <c r="F141">
        <f>IF($A141="","", IF($E141&gt;=$D141,"Paid", IF(TODAY()&gt;$C141,"Overdue","Pending")))</f>
        <v/>
      </c>
      <c r="G141" s="6" t="n"/>
      <c r="I141" s="8">
        <f>IF($A141="","", SUMIFS($D$2:$D$801,$A$2:$A$801,$A141) - SUMIFS($E$2:$E$801,$A$2:$A$801,$A141))</f>
        <v/>
      </c>
      <c r="J141">
        <f>IF($F141="Paid",0, IF($C141="","", MAX(0, TODAY()-$C141)))</f>
        <v/>
      </c>
    </row>
    <row r="142">
      <c r="C142" s="6">
        <f>IF(AND($A142&lt;&gt;"",$B142&lt;&gt;""), XLOOKUP($A142,Loan_Register!$A$2:$A$301,Loan_Register!$M$2:$M$301,"") + 7*($B142-1), "")</f>
        <v/>
      </c>
      <c r="D142" s="8">
        <f>IF($A142&lt;&gt;"", XLOOKUP($A142,Loan_Register!$A$2:$A$301,Loan_Register!$N$2:$N$301,""), "")</f>
        <v/>
      </c>
      <c r="E142" s="8" t="n"/>
      <c r="F142">
        <f>IF($A142="","", IF($E142&gt;=$D142,"Paid", IF(TODAY()&gt;$C142,"Overdue","Pending")))</f>
        <v/>
      </c>
      <c r="G142" s="6" t="n"/>
      <c r="I142" s="8">
        <f>IF($A142="","", SUMIFS($D$2:$D$801,$A$2:$A$801,$A142) - SUMIFS($E$2:$E$801,$A$2:$A$801,$A142))</f>
        <v/>
      </c>
      <c r="J142">
        <f>IF($F142="Paid",0, IF($C142="","", MAX(0, TODAY()-$C142)))</f>
        <v/>
      </c>
    </row>
    <row r="143">
      <c r="C143" s="6">
        <f>IF(AND($A143&lt;&gt;"",$B143&lt;&gt;""), XLOOKUP($A143,Loan_Register!$A$2:$A$301,Loan_Register!$M$2:$M$301,"") + 7*($B143-1), "")</f>
        <v/>
      </c>
      <c r="D143" s="8">
        <f>IF($A143&lt;&gt;"", XLOOKUP($A143,Loan_Register!$A$2:$A$301,Loan_Register!$N$2:$N$301,""), "")</f>
        <v/>
      </c>
      <c r="E143" s="8" t="n"/>
      <c r="F143">
        <f>IF($A143="","", IF($E143&gt;=$D143,"Paid", IF(TODAY()&gt;$C143,"Overdue","Pending")))</f>
        <v/>
      </c>
      <c r="G143" s="6" t="n"/>
      <c r="I143" s="8">
        <f>IF($A143="","", SUMIFS($D$2:$D$801,$A$2:$A$801,$A143) - SUMIFS($E$2:$E$801,$A$2:$A$801,$A143))</f>
        <v/>
      </c>
      <c r="J143">
        <f>IF($F143="Paid",0, IF($C143="","", MAX(0, TODAY()-$C143)))</f>
        <v/>
      </c>
    </row>
    <row r="144">
      <c r="C144" s="6">
        <f>IF(AND($A144&lt;&gt;"",$B144&lt;&gt;""), XLOOKUP($A144,Loan_Register!$A$2:$A$301,Loan_Register!$M$2:$M$301,"") + 7*($B144-1), "")</f>
        <v/>
      </c>
      <c r="D144" s="8">
        <f>IF($A144&lt;&gt;"", XLOOKUP($A144,Loan_Register!$A$2:$A$301,Loan_Register!$N$2:$N$301,""), "")</f>
        <v/>
      </c>
      <c r="E144" s="8" t="n"/>
      <c r="F144">
        <f>IF($A144="","", IF($E144&gt;=$D144,"Paid", IF(TODAY()&gt;$C144,"Overdue","Pending")))</f>
        <v/>
      </c>
      <c r="G144" s="6" t="n"/>
      <c r="I144" s="8">
        <f>IF($A144="","", SUMIFS($D$2:$D$801,$A$2:$A$801,$A144) - SUMIFS($E$2:$E$801,$A$2:$A$801,$A144))</f>
        <v/>
      </c>
      <c r="J144">
        <f>IF($F144="Paid",0, IF($C144="","", MAX(0, TODAY()-$C144)))</f>
        <v/>
      </c>
    </row>
    <row r="145">
      <c r="C145" s="6">
        <f>IF(AND($A145&lt;&gt;"",$B145&lt;&gt;""), XLOOKUP($A145,Loan_Register!$A$2:$A$301,Loan_Register!$M$2:$M$301,"") + 7*($B145-1), "")</f>
        <v/>
      </c>
      <c r="D145" s="8">
        <f>IF($A145&lt;&gt;"", XLOOKUP($A145,Loan_Register!$A$2:$A$301,Loan_Register!$N$2:$N$301,""), "")</f>
        <v/>
      </c>
      <c r="E145" s="8" t="n"/>
      <c r="F145">
        <f>IF($A145="","", IF($E145&gt;=$D145,"Paid", IF(TODAY()&gt;$C145,"Overdue","Pending")))</f>
        <v/>
      </c>
      <c r="G145" s="6" t="n"/>
      <c r="I145" s="8">
        <f>IF($A145="","", SUMIFS($D$2:$D$801,$A$2:$A$801,$A145) - SUMIFS($E$2:$E$801,$A$2:$A$801,$A145))</f>
        <v/>
      </c>
      <c r="J145">
        <f>IF($F145="Paid",0, IF($C145="","", MAX(0, TODAY()-$C145)))</f>
        <v/>
      </c>
    </row>
    <row r="146">
      <c r="C146" s="6">
        <f>IF(AND($A146&lt;&gt;"",$B146&lt;&gt;""), XLOOKUP($A146,Loan_Register!$A$2:$A$301,Loan_Register!$M$2:$M$301,"") + 7*($B146-1), "")</f>
        <v/>
      </c>
      <c r="D146" s="8">
        <f>IF($A146&lt;&gt;"", XLOOKUP($A146,Loan_Register!$A$2:$A$301,Loan_Register!$N$2:$N$301,""), "")</f>
        <v/>
      </c>
      <c r="E146" s="8" t="n"/>
      <c r="F146">
        <f>IF($A146="","", IF($E146&gt;=$D146,"Paid", IF(TODAY()&gt;$C146,"Overdue","Pending")))</f>
        <v/>
      </c>
      <c r="G146" s="6" t="n"/>
      <c r="I146" s="8">
        <f>IF($A146="","", SUMIFS($D$2:$D$801,$A$2:$A$801,$A146) - SUMIFS($E$2:$E$801,$A$2:$A$801,$A146))</f>
        <v/>
      </c>
      <c r="J146">
        <f>IF($F146="Paid",0, IF($C146="","", MAX(0, TODAY()-$C146)))</f>
        <v/>
      </c>
    </row>
    <row r="147">
      <c r="C147" s="6">
        <f>IF(AND($A147&lt;&gt;"",$B147&lt;&gt;""), XLOOKUP($A147,Loan_Register!$A$2:$A$301,Loan_Register!$M$2:$M$301,"") + 7*($B147-1), "")</f>
        <v/>
      </c>
      <c r="D147" s="8">
        <f>IF($A147&lt;&gt;"", XLOOKUP($A147,Loan_Register!$A$2:$A$301,Loan_Register!$N$2:$N$301,""), "")</f>
        <v/>
      </c>
      <c r="E147" s="8" t="n"/>
      <c r="F147">
        <f>IF($A147="","", IF($E147&gt;=$D147,"Paid", IF(TODAY()&gt;$C147,"Overdue","Pending")))</f>
        <v/>
      </c>
      <c r="G147" s="6" t="n"/>
      <c r="I147" s="8">
        <f>IF($A147="","", SUMIFS($D$2:$D$801,$A$2:$A$801,$A147) - SUMIFS($E$2:$E$801,$A$2:$A$801,$A147))</f>
        <v/>
      </c>
      <c r="J147">
        <f>IF($F147="Paid",0, IF($C147="","", MAX(0, TODAY()-$C147)))</f>
        <v/>
      </c>
    </row>
    <row r="148">
      <c r="C148" s="6">
        <f>IF(AND($A148&lt;&gt;"",$B148&lt;&gt;""), XLOOKUP($A148,Loan_Register!$A$2:$A$301,Loan_Register!$M$2:$M$301,"") + 7*($B148-1), "")</f>
        <v/>
      </c>
      <c r="D148" s="8">
        <f>IF($A148&lt;&gt;"", XLOOKUP($A148,Loan_Register!$A$2:$A$301,Loan_Register!$N$2:$N$301,""), "")</f>
        <v/>
      </c>
      <c r="E148" s="8" t="n"/>
      <c r="F148">
        <f>IF($A148="","", IF($E148&gt;=$D148,"Paid", IF(TODAY()&gt;$C148,"Overdue","Pending")))</f>
        <v/>
      </c>
      <c r="G148" s="6" t="n"/>
      <c r="I148" s="8">
        <f>IF($A148="","", SUMIFS($D$2:$D$801,$A$2:$A$801,$A148) - SUMIFS($E$2:$E$801,$A$2:$A$801,$A148))</f>
        <v/>
      </c>
      <c r="J148">
        <f>IF($F148="Paid",0, IF($C148="","", MAX(0, TODAY()-$C148)))</f>
        <v/>
      </c>
    </row>
    <row r="149">
      <c r="C149" s="6">
        <f>IF(AND($A149&lt;&gt;"",$B149&lt;&gt;""), XLOOKUP($A149,Loan_Register!$A$2:$A$301,Loan_Register!$M$2:$M$301,"") + 7*($B149-1), "")</f>
        <v/>
      </c>
      <c r="D149" s="8">
        <f>IF($A149&lt;&gt;"", XLOOKUP($A149,Loan_Register!$A$2:$A$301,Loan_Register!$N$2:$N$301,""), "")</f>
        <v/>
      </c>
      <c r="E149" s="8" t="n"/>
      <c r="F149">
        <f>IF($A149="","", IF($E149&gt;=$D149,"Paid", IF(TODAY()&gt;$C149,"Overdue","Pending")))</f>
        <v/>
      </c>
      <c r="G149" s="6" t="n"/>
      <c r="I149" s="8">
        <f>IF($A149="","", SUMIFS($D$2:$D$801,$A$2:$A$801,$A149) - SUMIFS($E$2:$E$801,$A$2:$A$801,$A149))</f>
        <v/>
      </c>
      <c r="J149">
        <f>IF($F149="Paid",0, IF($C149="","", MAX(0, TODAY()-$C149)))</f>
        <v/>
      </c>
    </row>
    <row r="150">
      <c r="C150" s="6">
        <f>IF(AND($A150&lt;&gt;"",$B150&lt;&gt;""), XLOOKUP($A150,Loan_Register!$A$2:$A$301,Loan_Register!$M$2:$M$301,"") + 7*($B150-1), "")</f>
        <v/>
      </c>
      <c r="D150" s="8">
        <f>IF($A150&lt;&gt;"", XLOOKUP($A150,Loan_Register!$A$2:$A$301,Loan_Register!$N$2:$N$301,""), "")</f>
        <v/>
      </c>
      <c r="E150" s="8" t="n"/>
      <c r="F150">
        <f>IF($A150="","", IF($E150&gt;=$D150,"Paid", IF(TODAY()&gt;$C150,"Overdue","Pending")))</f>
        <v/>
      </c>
      <c r="G150" s="6" t="n"/>
      <c r="I150" s="8">
        <f>IF($A150="","", SUMIFS($D$2:$D$801,$A$2:$A$801,$A150) - SUMIFS($E$2:$E$801,$A$2:$A$801,$A150))</f>
        <v/>
      </c>
      <c r="J150">
        <f>IF($F150="Paid",0, IF($C150="","", MAX(0, TODAY()-$C150)))</f>
        <v/>
      </c>
    </row>
    <row r="151">
      <c r="C151" s="6">
        <f>IF(AND($A151&lt;&gt;"",$B151&lt;&gt;""), XLOOKUP($A151,Loan_Register!$A$2:$A$301,Loan_Register!$M$2:$M$301,"") + 7*($B151-1), "")</f>
        <v/>
      </c>
      <c r="D151" s="8">
        <f>IF($A151&lt;&gt;"", XLOOKUP($A151,Loan_Register!$A$2:$A$301,Loan_Register!$N$2:$N$301,""), "")</f>
        <v/>
      </c>
      <c r="E151" s="8" t="n"/>
      <c r="F151">
        <f>IF($A151="","", IF($E151&gt;=$D151,"Paid", IF(TODAY()&gt;$C151,"Overdue","Pending")))</f>
        <v/>
      </c>
      <c r="G151" s="6" t="n"/>
      <c r="I151" s="8">
        <f>IF($A151="","", SUMIFS($D$2:$D$801,$A$2:$A$801,$A151) - SUMIFS($E$2:$E$801,$A$2:$A$801,$A151))</f>
        <v/>
      </c>
      <c r="J151">
        <f>IF($F151="Paid",0, IF($C151="","", MAX(0, TODAY()-$C151)))</f>
        <v/>
      </c>
    </row>
    <row r="152">
      <c r="C152" s="6">
        <f>IF(AND($A152&lt;&gt;"",$B152&lt;&gt;""), XLOOKUP($A152,Loan_Register!$A$2:$A$301,Loan_Register!$M$2:$M$301,"") + 7*($B152-1), "")</f>
        <v/>
      </c>
      <c r="D152" s="8">
        <f>IF($A152&lt;&gt;"", XLOOKUP($A152,Loan_Register!$A$2:$A$301,Loan_Register!$N$2:$N$301,""), "")</f>
        <v/>
      </c>
      <c r="E152" s="8" t="n"/>
      <c r="F152">
        <f>IF($A152="","", IF($E152&gt;=$D152,"Paid", IF(TODAY()&gt;$C152,"Overdue","Pending")))</f>
        <v/>
      </c>
      <c r="G152" s="6" t="n"/>
      <c r="I152" s="8">
        <f>IF($A152="","", SUMIFS($D$2:$D$801,$A$2:$A$801,$A152) - SUMIFS($E$2:$E$801,$A$2:$A$801,$A152))</f>
        <v/>
      </c>
      <c r="J152">
        <f>IF($F152="Paid",0, IF($C152="","", MAX(0, TODAY()-$C152)))</f>
        <v/>
      </c>
    </row>
    <row r="153">
      <c r="C153" s="6">
        <f>IF(AND($A153&lt;&gt;"",$B153&lt;&gt;""), XLOOKUP($A153,Loan_Register!$A$2:$A$301,Loan_Register!$M$2:$M$301,"") + 7*($B153-1), "")</f>
        <v/>
      </c>
      <c r="D153" s="8">
        <f>IF($A153&lt;&gt;"", XLOOKUP($A153,Loan_Register!$A$2:$A$301,Loan_Register!$N$2:$N$301,""), "")</f>
        <v/>
      </c>
      <c r="E153" s="8" t="n"/>
      <c r="F153">
        <f>IF($A153="","", IF($E153&gt;=$D153,"Paid", IF(TODAY()&gt;$C153,"Overdue","Pending")))</f>
        <v/>
      </c>
      <c r="G153" s="6" t="n"/>
      <c r="I153" s="8">
        <f>IF($A153="","", SUMIFS($D$2:$D$801,$A$2:$A$801,$A153) - SUMIFS($E$2:$E$801,$A$2:$A$801,$A153))</f>
        <v/>
      </c>
      <c r="J153">
        <f>IF($F153="Paid",0, IF($C153="","", MAX(0, TODAY()-$C153)))</f>
        <v/>
      </c>
    </row>
    <row r="154">
      <c r="C154" s="6">
        <f>IF(AND($A154&lt;&gt;"",$B154&lt;&gt;""), XLOOKUP($A154,Loan_Register!$A$2:$A$301,Loan_Register!$M$2:$M$301,"") + 7*($B154-1), "")</f>
        <v/>
      </c>
      <c r="D154" s="8">
        <f>IF($A154&lt;&gt;"", XLOOKUP($A154,Loan_Register!$A$2:$A$301,Loan_Register!$N$2:$N$301,""), "")</f>
        <v/>
      </c>
      <c r="E154" s="8" t="n"/>
      <c r="F154">
        <f>IF($A154="","", IF($E154&gt;=$D154,"Paid", IF(TODAY()&gt;$C154,"Overdue","Pending")))</f>
        <v/>
      </c>
      <c r="G154" s="6" t="n"/>
      <c r="I154" s="8">
        <f>IF($A154="","", SUMIFS($D$2:$D$801,$A$2:$A$801,$A154) - SUMIFS($E$2:$E$801,$A$2:$A$801,$A154))</f>
        <v/>
      </c>
      <c r="J154">
        <f>IF($F154="Paid",0, IF($C154="","", MAX(0, TODAY()-$C154)))</f>
        <v/>
      </c>
    </row>
    <row r="155">
      <c r="C155" s="6">
        <f>IF(AND($A155&lt;&gt;"",$B155&lt;&gt;""), XLOOKUP($A155,Loan_Register!$A$2:$A$301,Loan_Register!$M$2:$M$301,"") + 7*($B155-1), "")</f>
        <v/>
      </c>
      <c r="D155" s="8">
        <f>IF($A155&lt;&gt;"", XLOOKUP($A155,Loan_Register!$A$2:$A$301,Loan_Register!$N$2:$N$301,""), "")</f>
        <v/>
      </c>
      <c r="E155" s="8" t="n"/>
      <c r="F155">
        <f>IF($A155="","", IF($E155&gt;=$D155,"Paid", IF(TODAY()&gt;$C155,"Overdue","Pending")))</f>
        <v/>
      </c>
      <c r="G155" s="6" t="n"/>
      <c r="I155" s="8">
        <f>IF($A155="","", SUMIFS($D$2:$D$801,$A$2:$A$801,$A155) - SUMIFS($E$2:$E$801,$A$2:$A$801,$A155))</f>
        <v/>
      </c>
      <c r="J155">
        <f>IF($F155="Paid",0, IF($C155="","", MAX(0, TODAY()-$C155)))</f>
        <v/>
      </c>
    </row>
    <row r="156">
      <c r="C156" s="6">
        <f>IF(AND($A156&lt;&gt;"",$B156&lt;&gt;""), XLOOKUP($A156,Loan_Register!$A$2:$A$301,Loan_Register!$M$2:$M$301,"") + 7*($B156-1), "")</f>
        <v/>
      </c>
      <c r="D156" s="8">
        <f>IF($A156&lt;&gt;"", XLOOKUP($A156,Loan_Register!$A$2:$A$301,Loan_Register!$N$2:$N$301,""), "")</f>
        <v/>
      </c>
      <c r="E156" s="8" t="n"/>
      <c r="F156">
        <f>IF($A156="","", IF($E156&gt;=$D156,"Paid", IF(TODAY()&gt;$C156,"Overdue","Pending")))</f>
        <v/>
      </c>
      <c r="G156" s="6" t="n"/>
      <c r="I156" s="8">
        <f>IF($A156="","", SUMIFS($D$2:$D$801,$A$2:$A$801,$A156) - SUMIFS($E$2:$E$801,$A$2:$A$801,$A156))</f>
        <v/>
      </c>
      <c r="J156">
        <f>IF($F156="Paid",0, IF($C156="","", MAX(0, TODAY()-$C156)))</f>
        <v/>
      </c>
    </row>
    <row r="157">
      <c r="C157" s="6">
        <f>IF(AND($A157&lt;&gt;"",$B157&lt;&gt;""), XLOOKUP($A157,Loan_Register!$A$2:$A$301,Loan_Register!$M$2:$M$301,"") + 7*($B157-1), "")</f>
        <v/>
      </c>
      <c r="D157" s="8">
        <f>IF($A157&lt;&gt;"", XLOOKUP($A157,Loan_Register!$A$2:$A$301,Loan_Register!$N$2:$N$301,""), "")</f>
        <v/>
      </c>
      <c r="E157" s="8" t="n"/>
      <c r="F157">
        <f>IF($A157="","", IF($E157&gt;=$D157,"Paid", IF(TODAY()&gt;$C157,"Overdue","Pending")))</f>
        <v/>
      </c>
      <c r="G157" s="6" t="n"/>
      <c r="I157" s="8">
        <f>IF($A157="","", SUMIFS($D$2:$D$801,$A$2:$A$801,$A157) - SUMIFS($E$2:$E$801,$A$2:$A$801,$A157))</f>
        <v/>
      </c>
      <c r="J157">
        <f>IF($F157="Paid",0, IF($C157="","", MAX(0, TODAY()-$C157)))</f>
        <v/>
      </c>
    </row>
    <row r="158">
      <c r="C158" s="6">
        <f>IF(AND($A158&lt;&gt;"",$B158&lt;&gt;""), XLOOKUP($A158,Loan_Register!$A$2:$A$301,Loan_Register!$M$2:$M$301,"") + 7*($B158-1), "")</f>
        <v/>
      </c>
      <c r="D158" s="8">
        <f>IF($A158&lt;&gt;"", XLOOKUP($A158,Loan_Register!$A$2:$A$301,Loan_Register!$N$2:$N$301,""), "")</f>
        <v/>
      </c>
      <c r="E158" s="8" t="n"/>
      <c r="F158">
        <f>IF($A158="","", IF($E158&gt;=$D158,"Paid", IF(TODAY()&gt;$C158,"Overdue","Pending")))</f>
        <v/>
      </c>
      <c r="G158" s="6" t="n"/>
      <c r="I158" s="8">
        <f>IF($A158="","", SUMIFS($D$2:$D$801,$A$2:$A$801,$A158) - SUMIFS($E$2:$E$801,$A$2:$A$801,$A158))</f>
        <v/>
      </c>
      <c r="J158">
        <f>IF($F158="Paid",0, IF($C158="","", MAX(0, TODAY()-$C158)))</f>
        <v/>
      </c>
    </row>
    <row r="159">
      <c r="C159" s="6">
        <f>IF(AND($A159&lt;&gt;"",$B159&lt;&gt;""), XLOOKUP($A159,Loan_Register!$A$2:$A$301,Loan_Register!$M$2:$M$301,"") + 7*($B159-1), "")</f>
        <v/>
      </c>
      <c r="D159" s="8">
        <f>IF($A159&lt;&gt;"", XLOOKUP($A159,Loan_Register!$A$2:$A$301,Loan_Register!$N$2:$N$301,""), "")</f>
        <v/>
      </c>
      <c r="E159" s="8" t="n"/>
      <c r="F159">
        <f>IF($A159="","", IF($E159&gt;=$D159,"Paid", IF(TODAY()&gt;$C159,"Overdue","Pending")))</f>
        <v/>
      </c>
      <c r="G159" s="6" t="n"/>
      <c r="I159" s="8">
        <f>IF($A159="","", SUMIFS($D$2:$D$801,$A$2:$A$801,$A159) - SUMIFS($E$2:$E$801,$A$2:$A$801,$A159))</f>
        <v/>
      </c>
      <c r="J159">
        <f>IF($F159="Paid",0, IF($C159="","", MAX(0, TODAY()-$C159)))</f>
        <v/>
      </c>
    </row>
    <row r="160">
      <c r="C160" s="6">
        <f>IF(AND($A160&lt;&gt;"",$B160&lt;&gt;""), XLOOKUP($A160,Loan_Register!$A$2:$A$301,Loan_Register!$M$2:$M$301,"") + 7*($B160-1), "")</f>
        <v/>
      </c>
      <c r="D160" s="8">
        <f>IF($A160&lt;&gt;"", XLOOKUP($A160,Loan_Register!$A$2:$A$301,Loan_Register!$N$2:$N$301,""), "")</f>
        <v/>
      </c>
      <c r="E160" s="8" t="n"/>
      <c r="F160">
        <f>IF($A160="","", IF($E160&gt;=$D160,"Paid", IF(TODAY()&gt;$C160,"Overdue","Pending")))</f>
        <v/>
      </c>
      <c r="G160" s="6" t="n"/>
      <c r="I160" s="8">
        <f>IF($A160="","", SUMIFS($D$2:$D$801,$A$2:$A$801,$A160) - SUMIFS($E$2:$E$801,$A$2:$A$801,$A160))</f>
        <v/>
      </c>
      <c r="J160">
        <f>IF($F160="Paid",0, IF($C160="","", MAX(0, TODAY()-$C160)))</f>
        <v/>
      </c>
    </row>
    <row r="161">
      <c r="C161" s="6">
        <f>IF(AND($A161&lt;&gt;"",$B161&lt;&gt;""), XLOOKUP($A161,Loan_Register!$A$2:$A$301,Loan_Register!$M$2:$M$301,"") + 7*($B161-1), "")</f>
        <v/>
      </c>
      <c r="D161" s="8">
        <f>IF($A161&lt;&gt;"", XLOOKUP($A161,Loan_Register!$A$2:$A$301,Loan_Register!$N$2:$N$301,""), "")</f>
        <v/>
      </c>
      <c r="E161" s="8" t="n"/>
      <c r="F161">
        <f>IF($A161="","", IF($E161&gt;=$D161,"Paid", IF(TODAY()&gt;$C161,"Overdue","Pending")))</f>
        <v/>
      </c>
      <c r="G161" s="6" t="n"/>
      <c r="I161" s="8">
        <f>IF($A161="","", SUMIFS($D$2:$D$801,$A$2:$A$801,$A161) - SUMIFS($E$2:$E$801,$A$2:$A$801,$A161))</f>
        <v/>
      </c>
      <c r="J161">
        <f>IF($F161="Paid",0, IF($C161="","", MAX(0, TODAY()-$C161)))</f>
        <v/>
      </c>
    </row>
    <row r="162">
      <c r="C162" s="6">
        <f>IF(AND($A162&lt;&gt;"",$B162&lt;&gt;""), XLOOKUP($A162,Loan_Register!$A$2:$A$301,Loan_Register!$M$2:$M$301,"") + 7*($B162-1), "")</f>
        <v/>
      </c>
      <c r="D162" s="8">
        <f>IF($A162&lt;&gt;"", XLOOKUP($A162,Loan_Register!$A$2:$A$301,Loan_Register!$N$2:$N$301,""), "")</f>
        <v/>
      </c>
      <c r="E162" s="8" t="n"/>
      <c r="F162">
        <f>IF($A162="","", IF($E162&gt;=$D162,"Paid", IF(TODAY()&gt;$C162,"Overdue","Pending")))</f>
        <v/>
      </c>
      <c r="G162" s="6" t="n"/>
      <c r="I162" s="8">
        <f>IF($A162="","", SUMIFS($D$2:$D$801,$A$2:$A$801,$A162) - SUMIFS($E$2:$E$801,$A$2:$A$801,$A162))</f>
        <v/>
      </c>
      <c r="J162">
        <f>IF($F162="Paid",0, IF($C162="","", MAX(0, TODAY()-$C162)))</f>
        <v/>
      </c>
    </row>
    <row r="163">
      <c r="C163" s="6">
        <f>IF(AND($A163&lt;&gt;"",$B163&lt;&gt;""), XLOOKUP($A163,Loan_Register!$A$2:$A$301,Loan_Register!$M$2:$M$301,"") + 7*($B163-1), "")</f>
        <v/>
      </c>
      <c r="D163" s="8">
        <f>IF($A163&lt;&gt;"", XLOOKUP($A163,Loan_Register!$A$2:$A$301,Loan_Register!$N$2:$N$301,""), "")</f>
        <v/>
      </c>
      <c r="E163" s="8" t="n"/>
      <c r="F163">
        <f>IF($A163="","", IF($E163&gt;=$D163,"Paid", IF(TODAY()&gt;$C163,"Overdue","Pending")))</f>
        <v/>
      </c>
      <c r="G163" s="6" t="n"/>
      <c r="I163" s="8">
        <f>IF($A163="","", SUMIFS($D$2:$D$801,$A$2:$A$801,$A163) - SUMIFS($E$2:$E$801,$A$2:$A$801,$A163))</f>
        <v/>
      </c>
      <c r="J163">
        <f>IF($F163="Paid",0, IF($C163="","", MAX(0, TODAY()-$C163)))</f>
        <v/>
      </c>
    </row>
    <row r="164">
      <c r="C164" s="6">
        <f>IF(AND($A164&lt;&gt;"",$B164&lt;&gt;""), XLOOKUP($A164,Loan_Register!$A$2:$A$301,Loan_Register!$M$2:$M$301,"") + 7*($B164-1), "")</f>
        <v/>
      </c>
      <c r="D164" s="8">
        <f>IF($A164&lt;&gt;"", XLOOKUP($A164,Loan_Register!$A$2:$A$301,Loan_Register!$N$2:$N$301,""), "")</f>
        <v/>
      </c>
      <c r="E164" s="8" t="n"/>
      <c r="F164">
        <f>IF($A164="","", IF($E164&gt;=$D164,"Paid", IF(TODAY()&gt;$C164,"Overdue","Pending")))</f>
        <v/>
      </c>
      <c r="G164" s="6" t="n"/>
      <c r="I164" s="8">
        <f>IF($A164="","", SUMIFS($D$2:$D$801,$A$2:$A$801,$A164) - SUMIFS($E$2:$E$801,$A$2:$A$801,$A164))</f>
        <v/>
      </c>
      <c r="J164">
        <f>IF($F164="Paid",0, IF($C164="","", MAX(0, TODAY()-$C164)))</f>
        <v/>
      </c>
    </row>
    <row r="165">
      <c r="C165" s="6">
        <f>IF(AND($A165&lt;&gt;"",$B165&lt;&gt;""), XLOOKUP($A165,Loan_Register!$A$2:$A$301,Loan_Register!$M$2:$M$301,"") + 7*($B165-1), "")</f>
        <v/>
      </c>
      <c r="D165" s="8">
        <f>IF($A165&lt;&gt;"", XLOOKUP($A165,Loan_Register!$A$2:$A$301,Loan_Register!$N$2:$N$301,""), "")</f>
        <v/>
      </c>
      <c r="E165" s="8" t="n"/>
      <c r="F165">
        <f>IF($A165="","", IF($E165&gt;=$D165,"Paid", IF(TODAY()&gt;$C165,"Overdue","Pending")))</f>
        <v/>
      </c>
      <c r="G165" s="6" t="n"/>
      <c r="I165" s="8">
        <f>IF($A165="","", SUMIFS($D$2:$D$801,$A$2:$A$801,$A165) - SUMIFS($E$2:$E$801,$A$2:$A$801,$A165))</f>
        <v/>
      </c>
      <c r="J165">
        <f>IF($F165="Paid",0, IF($C165="","", MAX(0, TODAY()-$C165)))</f>
        <v/>
      </c>
    </row>
    <row r="166">
      <c r="C166" s="6">
        <f>IF(AND($A166&lt;&gt;"",$B166&lt;&gt;""), XLOOKUP($A166,Loan_Register!$A$2:$A$301,Loan_Register!$M$2:$M$301,"") + 7*($B166-1), "")</f>
        <v/>
      </c>
      <c r="D166" s="8">
        <f>IF($A166&lt;&gt;"", XLOOKUP($A166,Loan_Register!$A$2:$A$301,Loan_Register!$N$2:$N$301,""), "")</f>
        <v/>
      </c>
      <c r="E166" s="8" t="n"/>
      <c r="F166">
        <f>IF($A166="","", IF($E166&gt;=$D166,"Paid", IF(TODAY()&gt;$C166,"Overdue","Pending")))</f>
        <v/>
      </c>
      <c r="G166" s="6" t="n"/>
      <c r="I166" s="8">
        <f>IF($A166="","", SUMIFS($D$2:$D$801,$A$2:$A$801,$A166) - SUMIFS($E$2:$E$801,$A$2:$A$801,$A166))</f>
        <v/>
      </c>
      <c r="J166">
        <f>IF($F166="Paid",0, IF($C166="","", MAX(0, TODAY()-$C166)))</f>
        <v/>
      </c>
    </row>
    <row r="167">
      <c r="C167" s="6">
        <f>IF(AND($A167&lt;&gt;"",$B167&lt;&gt;""), XLOOKUP($A167,Loan_Register!$A$2:$A$301,Loan_Register!$M$2:$M$301,"") + 7*($B167-1), "")</f>
        <v/>
      </c>
      <c r="D167" s="8">
        <f>IF($A167&lt;&gt;"", XLOOKUP($A167,Loan_Register!$A$2:$A$301,Loan_Register!$N$2:$N$301,""), "")</f>
        <v/>
      </c>
      <c r="E167" s="8" t="n"/>
      <c r="F167">
        <f>IF($A167="","", IF($E167&gt;=$D167,"Paid", IF(TODAY()&gt;$C167,"Overdue","Pending")))</f>
        <v/>
      </c>
      <c r="G167" s="6" t="n"/>
      <c r="I167" s="8">
        <f>IF($A167="","", SUMIFS($D$2:$D$801,$A$2:$A$801,$A167) - SUMIFS($E$2:$E$801,$A$2:$A$801,$A167))</f>
        <v/>
      </c>
      <c r="J167">
        <f>IF($F167="Paid",0, IF($C167="","", MAX(0, TODAY()-$C167)))</f>
        <v/>
      </c>
    </row>
    <row r="168">
      <c r="C168" s="6">
        <f>IF(AND($A168&lt;&gt;"",$B168&lt;&gt;""), XLOOKUP($A168,Loan_Register!$A$2:$A$301,Loan_Register!$M$2:$M$301,"") + 7*($B168-1), "")</f>
        <v/>
      </c>
      <c r="D168" s="8">
        <f>IF($A168&lt;&gt;"", XLOOKUP($A168,Loan_Register!$A$2:$A$301,Loan_Register!$N$2:$N$301,""), "")</f>
        <v/>
      </c>
      <c r="E168" s="8" t="n"/>
      <c r="F168">
        <f>IF($A168="","", IF($E168&gt;=$D168,"Paid", IF(TODAY()&gt;$C168,"Overdue","Pending")))</f>
        <v/>
      </c>
      <c r="G168" s="6" t="n"/>
      <c r="I168" s="8">
        <f>IF($A168="","", SUMIFS($D$2:$D$801,$A$2:$A$801,$A168) - SUMIFS($E$2:$E$801,$A$2:$A$801,$A168))</f>
        <v/>
      </c>
      <c r="J168">
        <f>IF($F168="Paid",0, IF($C168="","", MAX(0, TODAY()-$C168)))</f>
        <v/>
      </c>
    </row>
    <row r="169">
      <c r="C169" s="6">
        <f>IF(AND($A169&lt;&gt;"",$B169&lt;&gt;""), XLOOKUP($A169,Loan_Register!$A$2:$A$301,Loan_Register!$M$2:$M$301,"") + 7*($B169-1), "")</f>
        <v/>
      </c>
      <c r="D169" s="8">
        <f>IF($A169&lt;&gt;"", XLOOKUP($A169,Loan_Register!$A$2:$A$301,Loan_Register!$N$2:$N$301,""), "")</f>
        <v/>
      </c>
      <c r="E169" s="8" t="n"/>
      <c r="F169">
        <f>IF($A169="","", IF($E169&gt;=$D169,"Paid", IF(TODAY()&gt;$C169,"Overdue","Pending")))</f>
        <v/>
      </c>
      <c r="G169" s="6" t="n"/>
      <c r="I169" s="8">
        <f>IF($A169="","", SUMIFS($D$2:$D$801,$A$2:$A$801,$A169) - SUMIFS($E$2:$E$801,$A$2:$A$801,$A169))</f>
        <v/>
      </c>
      <c r="J169">
        <f>IF($F169="Paid",0, IF($C169="","", MAX(0, TODAY()-$C169)))</f>
        <v/>
      </c>
    </row>
    <row r="170">
      <c r="C170" s="6">
        <f>IF(AND($A170&lt;&gt;"",$B170&lt;&gt;""), XLOOKUP($A170,Loan_Register!$A$2:$A$301,Loan_Register!$M$2:$M$301,"") + 7*($B170-1), "")</f>
        <v/>
      </c>
      <c r="D170" s="8">
        <f>IF($A170&lt;&gt;"", XLOOKUP($A170,Loan_Register!$A$2:$A$301,Loan_Register!$N$2:$N$301,""), "")</f>
        <v/>
      </c>
      <c r="E170" s="8" t="n"/>
      <c r="F170">
        <f>IF($A170="","", IF($E170&gt;=$D170,"Paid", IF(TODAY()&gt;$C170,"Overdue","Pending")))</f>
        <v/>
      </c>
      <c r="G170" s="6" t="n"/>
      <c r="I170" s="8">
        <f>IF($A170="","", SUMIFS($D$2:$D$801,$A$2:$A$801,$A170) - SUMIFS($E$2:$E$801,$A$2:$A$801,$A170))</f>
        <v/>
      </c>
      <c r="J170">
        <f>IF($F170="Paid",0, IF($C170="","", MAX(0, TODAY()-$C170)))</f>
        <v/>
      </c>
    </row>
    <row r="171">
      <c r="C171" s="6">
        <f>IF(AND($A171&lt;&gt;"",$B171&lt;&gt;""), XLOOKUP($A171,Loan_Register!$A$2:$A$301,Loan_Register!$M$2:$M$301,"") + 7*($B171-1), "")</f>
        <v/>
      </c>
      <c r="D171" s="8">
        <f>IF($A171&lt;&gt;"", XLOOKUP($A171,Loan_Register!$A$2:$A$301,Loan_Register!$N$2:$N$301,""), "")</f>
        <v/>
      </c>
      <c r="E171" s="8" t="n"/>
      <c r="F171">
        <f>IF($A171="","", IF($E171&gt;=$D171,"Paid", IF(TODAY()&gt;$C171,"Overdue","Pending")))</f>
        <v/>
      </c>
      <c r="G171" s="6" t="n"/>
      <c r="I171" s="8">
        <f>IF($A171="","", SUMIFS($D$2:$D$801,$A$2:$A$801,$A171) - SUMIFS($E$2:$E$801,$A$2:$A$801,$A171))</f>
        <v/>
      </c>
      <c r="J171">
        <f>IF($F171="Paid",0, IF($C171="","", MAX(0, TODAY()-$C171)))</f>
        <v/>
      </c>
    </row>
    <row r="172">
      <c r="C172" s="6">
        <f>IF(AND($A172&lt;&gt;"",$B172&lt;&gt;""), XLOOKUP($A172,Loan_Register!$A$2:$A$301,Loan_Register!$M$2:$M$301,"") + 7*($B172-1), "")</f>
        <v/>
      </c>
      <c r="D172" s="8">
        <f>IF($A172&lt;&gt;"", XLOOKUP($A172,Loan_Register!$A$2:$A$301,Loan_Register!$N$2:$N$301,""), "")</f>
        <v/>
      </c>
      <c r="E172" s="8" t="n"/>
      <c r="F172">
        <f>IF($A172="","", IF($E172&gt;=$D172,"Paid", IF(TODAY()&gt;$C172,"Overdue","Pending")))</f>
        <v/>
      </c>
      <c r="G172" s="6" t="n"/>
      <c r="I172" s="8">
        <f>IF($A172="","", SUMIFS($D$2:$D$801,$A$2:$A$801,$A172) - SUMIFS($E$2:$E$801,$A$2:$A$801,$A172))</f>
        <v/>
      </c>
      <c r="J172">
        <f>IF($F172="Paid",0, IF($C172="","", MAX(0, TODAY()-$C172)))</f>
        <v/>
      </c>
    </row>
    <row r="173">
      <c r="C173" s="6">
        <f>IF(AND($A173&lt;&gt;"",$B173&lt;&gt;""), XLOOKUP($A173,Loan_Register!$A$2:$A$301,Loan_Register!$M$2:$M$301,"") + 7*($B173-1), "")</f>
        <v/>
      </c>
      <c r="D173" s="8">
        <f>IF($A173&lt;&gt;"", XLOOKUP($A173,Loan_Register!$A$2:$A$301,Loan_Register!$N$2:$N$301,""), "")</f>
        <v/>
      </c>
      <c r="E173" s="8" t="n"/>
      <c r="F173">
        <f>IF($A173="","", IF($E173&gt;=$D173,"Paid", IF(TODAY()&gt;$C173,"Overdue","Pending")))</f>
        <v/>
      </c>
      <c r="G173" s="6" t="n"/>
      <c r="I173" s="8">
        <f>IF($A173="","", SUMIFS($D$2:$D$801,$A$2:$A$801,$A173) - SUMIFS($E$2:$E$801,$A$2:$A$801,$A173))</f>
        <v/>
      </c>
      <c r="J173">
        <f>IF($F173="Paid",0, IF($C173="","", MAX(0, TODAY()-$C173)))</f>
        <v/>
      </c>
    </row>
    <row r="174">
      <c r="C174" s="6">
        <f>IF(AND($A174&lt;&gt;"",$B174&lt;&gt;""), XLOOKUP($A174,Loan_Register!$A$2:$A$301,Loan_Register!$M$2:$M$301,"") + 7*($B174-1), "")</f>
        <v/>
      </c>
      <c r="D174" s="8">
        <f>IF($A174&lt;&gt;"", XLOOKUP($A174,Loan_Register!$A$2:$A$301,Loan_Register!$N$2:$N$301,""), "")</f>
        <v/>
      </c>
      <c r="E174" s="8" t="n"/>
      <c r="F174">
        <f>IF($A174="","", IF($E174&gt;=$D174,"Paid", IF(TODAY()&gt;$C174,"Overdue","Pending")))</f>
        <v/>
      </c>
      <c r="G174" s="6" t="n"/>
      <c r="I174" s="8">
        <f>IF($A174="","", SUMIFS($D$2:$D$801,$A$2:$A$801,$A174) - SUMIFS($E$2:$E$801,$A$2:$A$801,$A174))</f>
        <v/>
      </c>
      <c r="J174">
        <f>IF($F174="Paid",0, IF($C174="","", MAX(0, TODAY()-$C174)))</f>
        <v/>
      </c>
    </row>
    <row r="175">
      <c r="C175" s="6">
        <f>IF(AND($A175&lt;&gt;"",$B175&lt;&gt;""), XLOOKUP($A175,Loan_Register!$A$2:$A$301,Loan_Register!$M$2:$M$301,"") + 7*($B175-1), "")</f>
        <v/>
      </c>
      <c r="D175" s="8">
        <f>IF($A175&lt;&gt;"", XLOOKUP($A175,Loan_Register!$A$2:$A$301,Loan_Register!$N$2:$N$301,""), "")</f>
        <v/>
      </c>
      <c r="E175" s="8" t="n"/>
      <c r="F175">
        <f>IF($A175="","", IF($E175&gt;=$D175,"Paid", IF(TODAY()&gt;$C175,"Overdue","Pending")))</f>
        <v/>
      </c>
      <c r="G175" s="6" t="n"/>
      <c r="I175" s="8">
        <f>IF($A175="","", SUMIFS($D$2:$D$801,$A$2:$A$801,$A175) - SUMIFS($E$2:$E$801,$A$2:$A$801,$A175))</f>
        <v/>
      </c>
      <c r="J175">
        <f>IF($F175="Paid",0, IF($C175="","", MAX(0, TODAY()-$C175)))</f>
        <v/>
      </c>
    </row>
    <row r="176">
      <c r="C176" s="6">
        <f>IF(AND($A176&lt;&gt;"",$B176&lt;&gt;""), XLOOKUP($A176,Loan_Register!$A$2:$A$301,Loan_Register!$M$2:$M$301,"") + 7*($B176-1), "")</f>
        <v/>
      </c>
      <c r="D176" s="8">
        <f>IF($A176&lt;&gt;"", XLOOKUP($A176,Loan_Register!$A$2:$A$301,Loan_Register!$N$2:$N$301,""), "")</f>
        <v/>
      </c>
      <c r="E176" s="8" t="n"/>
      <c r="F176">
        <f>IF($A176="","", IF($E176&gt;=$D176,"Paid", IF(TODAY()&gt;$C176,"Overdue","Pending")))</f>
        <v/>
      </c>
      <c r="G176" s="6" t="n"/>
      <c r="I176" s="8">
        <f>IF($A176="","", SUMIFS($D$2:$D$801,$A$2:$A$801,$A176) - SUMIFS($E$2:$E$801,$A$2:$A$801,$A176))</f>
        <v/>
      </c>
      <c r="J176">
        <f>IF($F176="Paid",0, IF($C176="","", MAX(0, TODAY()-$C176)))</f>
        <v/>
      </c>
    </row>
    <row r="177">
      <c r="C177" s="6">
        <f>IF(AND($A177&lt;&gt;"",$B177&lt;&gt;""), XLOOKUP($A177,Loan_Register!$A$2:$A$301,Loan_Register!$M$2:$M$301,"") + 7*($B177-1), "")</f>
        <v/>
      </c>
      <c r="D177" s="8">
        <f>IF($A177&lt;&gt;"", XLOOKUP($A177,Loan_Register!$A$2:$A$301,Loan_Register!$N$2:$N$301,""), "")</f>
        <v/>
      </c>
      <c r="E177" s="8" t="n"/>
      <c r="F177">
        <f>IF($A177="","", IF($E177&gt;=$D177,"Paid", IF(TODAY()&gt;$C177,"Overdue","Pending")))</f>
        <v/>
      </c>
      <c r="G177" s="6" t="n"/>
      <c r="I177" s="8">
        <f>IF($A177="","", SUMIFS($D$2:$D$801,$A$2:$A$801,$A177) - SUMIFS($E$2:$E$801,$A$2:$A$801,$A177))</f>
        <v/>
      </c>
      <c r="J177">
        <f>IF($F177="Paid",0, IF($C177="","", MAX(0, TODAY()-$C177)))</f>
        <v/>
      </c>
    </row>
    <row r="178">
      <c r="C178" s="6">
        <f>IF(AND($A178&lt;&gt;"",$B178&lt;&gt;""), XLOOKUP($A178,Loan_Register!$A$2:$A$301,Loan_Register!$M$2:$M$301,"") + 7*($B178-1), "")</f>
        <v/>
      </c>
      <c r="D178" s="8">
        <f>IF($A178&lt;&gt;"", XLOOKUP($A178,Loan_Register!$A$2:$A$301,Loan_Register!$N$2:$N$301,""), "")</f>
        <v/>
      </c>
      <c r="E178" s="8" t="n"/>
      <c r="F178">
        <f>IF($A178="","", IF($E178&gt;=$D178,"Paid", IF(TODAY()&gt;$C178,"Overdue","Pending")))</f>
        <v/>
      </c>
      <c r="G178" s="6" t="n"/>
      <c r="I178" s="8">
        <f>IF($A178="","", SUMIFS($D$2:$D$801,$A$2:$A$801,$A178) - SUMIFS($E$2:$E$801,$A$2:$A$801,$A178))</f>
        <v/>
      </c>
      <c r="J178">
        <f>IF($F178="Paid",0, IF($C178="","", MAX(0, TODAY()-$C178)))</f>
        <v/>
      </c>
    </row>
    <row r="179">
      <c r="C179" s="6">
        <f>IF(AND($A179&lt;&gt;"",$B179&lt;&gt;""), XLOOKUP($A179,Loan_Register!$A$2:$A$301,Loan_Register!$M$2:$M$301,"") + 7*($B179-1), "")</f>
        <v/>
      </c>
      <c r="D179" s="8">
        <f>IF($A179&lt;&gt;"", XLOOKUP($A179,Loan_Register!$A$2:$A$301,Loan_Register!$N$2:$N$301,""), "")</f>
        <v/>
      </c>
      <c r="E179" s="8" t="n"/>
      <c r="F179">
        <f>IF($A179="","", IF($E179&gt;=$D179,"Paid", IF(TODAY()&gt;$C179,"Overdue","Pending")))</f>
        <v/>
      </c>
      <c r="G179" s="6" t="n"/>
      <c r="I179" s="8">
        <f>IF($A179="","", SUMIFS($D$2:$D$801,$A$2:$A$801,$A179) - SUMIFS($E$2:$E$801,$A$2:$A$801,$A179))</f>
        <v/>
      </c>
      <c r="J179">
        <f>IF($F179="Paid",0, IF($C179="","", MAX(0, TODAY()-$C179)))</f>
        <v/>
      </c>
    </row>
    <row r="180">
      <c r="C180" s="6">
        <f>IF(AND($A180&lt;&gt;"",$B180&lt;&gt;""), XLOOKUP($A180,Loan_Register!$A$2:$A$301,Loan_Register!$M$2:$M$301,"") + 7*($B180-1), "")</f>
        <v/>
      </c>
      <c r="D180" s="8">
        <f>IF($A180&lt;&gt;"", XLOOKUP($A180,Loan_Register!$A$2:$A$301,Loan_Register!$N$2:$N$301,""), "")</f>
        <v/>
      </c>
      <c r="E180" s="8" t="n"/>
      <c r="F180">
        <f>IF($A180="","", IF($E180&gt;=$D180,"Paid", IF(TODAY()&gt;$C180,"Overdue","Pending")))</f>
        <v/>
      </c>
      <c r="G180" s="6" t="n"/>
      <c r="I180" s="8">
        <f>IF($A180="","", SUMIFS($D$2:$D$801,$A$2:$A$801,$A180) - SUMIFS($E$2:$E$801,$A$2:$A$801,$A180))</f>
        <v/>
      </c>
      <c r="J180">
        <f>IF($F180="Paid",0, IF($C180="","", MAX(0, TODAY()-$C180)))</f>
        <v/>
      </c>
    </row>
    <row r="181">
      <c r="C181" s="6">
        <f>IF(AND($A181&lt;&gt;"",$B181&lt;&gt;""), XLOOKUP($A181,Loan_Register!$A$2:$A$301,Loan_Register!$M$2:$M$301,"") + 7*($B181-1), "")</f>
        <v/>
      </c>
      <c r="D181" s="8">
        <f>IF($A181&lt;&gt;"", XLOOKUP($A181,Loan_Register!$A$2:$A$301,Loan_Register!$N$2:$N$301,""), "")</f>
        <v/>
      </c>
      <c r="E181" s="8" t="n"/>
      <c r="F181">
        <f>IF($A181="","", IF($E181&gt;=$D181,"Paid", IF(TODAY()&gt;$C181,"Overdue","Pending")))</f>
        <v/>
      </c>
      <c r="G181" s="6" t="n"/>
      <c r="I181" s="8">
        <f>IF($A181="","", SUMIFS($D$2:$D$801,$A$2:$A$801,$A181) - SUMIFS($E$2:$E$801,$A$2:$A$801,$A181))</f>
        <v/>
      </c>
      <c r="J181">
        <f>IF($F181="Paid",0, IF($C181="","", MAX(0, TODAY()-$C181)))</f>
        <v/>
      </c>
    </row>
    <row r="182">
      <c r="C182" s="6">
        <f>IF(AND($A182&lt;&gt;"",$B182&lt;&gt;""), XLOOKUP($A182,Loan_Register!$A$2:$A$301,Loan_Register!$M$2:$M$301,"") + 7*($B182-1), "")</f>
        <v/>
      </c>
      <c r="D182" s="8">
        <f>IF($A182&lt;&gt;"", XLOOKUP($A182,Loan_Register!$A$2:$A$301,Loan_Register!$N$2:$N$301,""), "")</f>
        <v/>
      </c>
      <c r="E182" s="8" t="n"/>
      <c r="F182">
        <f>IF($A182="","", IF($E182&gt;=$D182,"Paid", IF(TODAY()&gt;$C182,"Overdue","Pending")))</f>
        <v/>
      </c>
      <c r="G182" s="6" t="n"/>
      <c r="I182" s="8">
        <f>IF($A182="","", SUMIFS($D$2:$D$801,$A$2:$A$801,$A182) - SUMIFS($E$2:$E$801,$A$2:$A$801,$A182))</f>
        <v/>
      </c>
      <c r="J182">
        <f>IF($F182="Paid",0, IF($C182="","", MAX(0, TODAY()-$C182)))</f>
        <v/>
      </c>
    </row>
    <row r="183">
      <c r="C183" s="6">
        <f>IF(AND($A183&lt;&gt;"",$B183&lt;&gt;""), XLOOKUP($A183,Loan_Register!$A$2:$A$301,Loan_Register!$M$2:$M$301,"") + 7*($B183-1), "")</f>
        <v/>
      </c>
      <c r="D183" s="8">
        <f>IF($A183&lt;&gt;"", XLOOKUP($A183,Loan_Register!$A$2:$A$301,Loan_Register!$N$2:$N$301,""), "")</f>
        <v/>
      </c>
      <c r="E183" s="8" t="n"/>
      <c r="F183">
        <f>IF($A183="","", IF($E183&gt;=$D183,"Paid", IF(TODAY()&gt;$C183,"Overdue","Pending")))</f>
        <v/>
      </c>
      <c r="G183" s="6" t="n"/>
      <c r="I183" s="8">
        <f>IF($A183="","", SUMIFS($D$2:$D$801,$A$2:$A$801,$A183) - SUMIFS($E$2:$E$801,$A$2:$A$801,$A183))</f>
        <v/>
      </c>
      <c r="J183">
        <f>IF($F183="Paid",0, IF($C183="","", MAX(0, TODAY()-$C183)))</f>
        <v/>
      </c>
    </row>
    <row r="184">
      <c r="C184" s="6">
        <f>IF(AND($A184&lt;&gt;"",$B184&lt;&gt;""), XLOOKUP($A184,Loan_Register!$A$2:$A$301,Loan_Register!$M$2:$M$301,"") + 7*($B184-1), "")</f>
        <v/>
      </c>
      <c r="D184" s="8">
        <f>IF($A184&lt;&gt;"", XLOOKUP($A184,Loan_Register!$A$2:$A$301,Loan_Register!$N$2:$N$301,""), "")</f>
        <v/>
      </c>
      <c r="E184" s="8" t="n"/>
      <c r="F184">
        <f>IF($A184="","", IF($E184&gt;=$D184,"Paid", IF(TODAY()&gt;$C184,"Overdue","Pending")))</f>
        <v/>
      </c>
      <c r="G184" s="6" t="n"/>
      <c r="I184" s="8">
        <f>IF($A184="","", SUMIFS($D$2:$D$801,$A$2:$A$801,$A184) - SUMIFS($E$2:$E$801,$A$2:$A$801,$A184))</f>
        <v/>
      </c>
      <c r="J184">
        <f>IF($F184="Paid",0, IF($C184="","", MAX(0, TODAY()-$C184)))</f>
        <v/>
      </c>
    </row>
    <row r="185">
      <c r="C185" s="6">
        <f>IF(AND($A185&lt;&gt;"",$B185&lt;&gt;""), XLOOKUP($A185,Loan_Register!$A$2:$A$301,Loan_Register!$M$2:$M$301,"") + 7*($B185-1), "")</f>
        <v/>
      </c>
      <c r="D185" s="8">
        <f>IF($A185&lt;&gt;"", XLOOKUP($A185,Loan_Register!$A$2:$A$301,Loan_Register!$N$2:$N$301,""), "")</f>
        <v/>
      </c>
      <c r="E185" s="8" t="n"/>
      <c r="F185">
        <f>IF($A185="","", IF($E185&gt;=$D185,"Paid", IF(TODAY()&gt;$C185,"Overdue","Pending")))</f>
        <v/>
      </c>
      <c r="G185" s="6" t="n"/>
      <c r="I185" s="8">
        <f>IF($A185="","", SUMIFS($D$2:$D$801,$A$2:$A$801,$A185) - SUMIFS($E$2:$E$801,$A$2:$A$801,$A185))</f>
        <v/>
      </c>
      <c r="J185">
        <f>IF($F185="Paid",0, IF($C185="","", MAX(0, TODAY()-$C185)))</f>
        <v/>
      </c>
    </row>
    <row r="186">
      <c r="C186" s="6">
        <f>IF(AND($A186&lt;&gt;"",$B186&lt;&gt;""), XLOOKUP($A186,Loan_Register!$A$2:$A$301,Loan_Register!$M$2:$M$301,"") + 7*($B186-1), "")</f>
        <v/>
      </c>
      <c r="D186" s="8">
        <f>IF($A186&lt;&gt;"", XLOOKUP($A186,Loan_Register!$A$2:$A$301,Loan_Register!$N$2:$N$301,""), "")</f>
        <v/>
      </c>
      <c r="E186" s="8" t="n"/>
      <c r="F186">
        <f>IF($A186="","", IF($E186&gt;=$D186,"Paid", IF(TODAY()&gt;$C186,"Overdue","Pending")))</f>
        <v/>
      </c>
      <c r="G186" s="6" t="n"/>
      <c r="I186" s="8">
        <f>IF($A186="","", SUMIFS($D$2:$D$801,$A$2:$A$801,$A186) - SUMIFS($E$2:$E$801,$A$2:$A$801,$A186))</f>
        <v/>
      </c>
      <c r="J186">
        <f>IF($F186="Paid",0, IF($C186="","", MAX(0, TODAY()-$C186)))</f>
        <v/>
      </c>
    </row>
    <row r="187">
      <c r="C187" s="6">
        <f>IF(AND($A187&lt;&gt;"",$B187&lt;&gt;""), XLOOKUP($A187,Loan_Register!$A$2:$A$301,Loan_Register!$M$2:$M$301,"") + 7*($B187-1), "")</f>
        <v/>
      </c>
      <c r="D187" s="8">
        <f>IF($A187&lt;&gt;"", XLOOKUP($A187,Loan_Register!$A$2:$A$301,Loan_Register!$N$2:$N$301,""), "")</f>
        <v/>
      </c>
      <c r="E187" s="8" t="n"/>
      <c r="F187">
        <f>IF($A187="","", IF($E187&gt;=$D187,"Paid", IF(TODAY()&gt;$C187,"Overdue","Pending")))</f>
        <v/>
      </c>
      <c r="G187" s="6" t="n"/>
      <c r="I187" s="8">
        <f>IF($A187="","", SUMIFS($D$2:$D$801,$A$2:$A$801,$A187) - SUMIFS($E$2:$E$801,$A$2:$A$801,$A187))</f>
        <v/>
      </c>
      <c r="J187">
        <f>IF($F187="Paid",0, IF($C187="","", MAX(0, TODAY()-$C187)))</f>
        <v/>
      </c>
    </row>
    <row r="188">
      <c r="C188" s="6">
        <f>IF(AND($A188&lt;&gt;"",$B188&lt;&gt;""), XLOOKUP($A188,Loan_Register!$A$2:$A$301,Loan_Register!$M$2:$M$301,"") + 7*($B188-1), "")</f>
        <v/>
      </c>
      <c r="D188" s="8">
        <f>IF($A188&lt;&gt;"", XLOOKUP($A188,Loan_Register!$A$2:$A$301,Loan_Register!$N$2:$N$301,""), "")</f>
        <v/>
      </c>
      <c r="E188" s="8" t="n"/>
      <c r="F188">
        <f>IF($A188="","", IF($E188&gt;=$D188,"Paid", IF(TODAY()&gt;$C188,"Overdue","Pending")))</f>
        <v/>
      </c>
      <c r="G188" s="6" t="n"/>
      <c r="I188" s="8">
        <f>IF($A188="","", SUMIFS($D$2:$D$801,$A$2:$A$801,$A188) - SUMIFS($E$2:$E$801,$A$2:$A$801,$A188))</f>
        <v/>
      </c>
      <c r="J188">
        <f>IF($F188="Paid",0, IF($C188="","", MAX(0, TODAY()-$C188)))</f>
        <v/>
      </c>
    </row>
    <row r="189">
      <c r="C189" s="6">
        <f>IF(AND($A189&lt;&gt;"",$B189&lt;&gt;""), XLOOKUP($A189,Loan_Register!$A$2:$A$301,Loan_Register!$M$2:$M$301,"") + 7*($B189-1), "")</f>
        <v/>
      </c>
      <c r="D189" s="8">
        <f>IF($A189&lt;&gt;"", XLOOKUP($A189,Loan_Register!$A$2:$A$301,Loan_Register!$N$2:$N$301,""), "")</f>
        <v/>
      </c>
      <c r="E189" s="8" t="n"/>
      <c r="F189">
        <f>IF($A189="","", IF($E189&gt;=$D189,"Paid", IF(TODAY()&gt;$C189,"Overdue","Pending")))</f>
        <v/>
      </c>
      <c r="G189" s="6" t="n"/>
      <c r="I189" s="8">
        <f>IF($A189="","", SUMIFS($D$2:$D$801,$A$2:$A$801,$A189) - SUMIFS($E$2:$E$801,$A$2:$A$801,$A189))</f>
        <v/>
      </c>
      <c r="J189">
        <f>IF($F189="Paid",0, IF($C189="","", MAX(0, TODAY()-$C189)))</f>
        <v/>
      </c>
    </row>
    <row r="190">
      <c r="C190" s="6">
        <f>IF(AND($A190&lt;&gt;"",$B190&lt;&gt;""), XLOOKUP($A190,Loan_Register!$A$2:$A$301,Loan_Register!$M$2:$M$301,"") + 7*($B190-1), "")</f>
        <v/>
      </c>
      <c r="D190" s="8">
        <f>IF($A190&lt;&gt;"", XLOOKUP($A190,Loan_Register!$A$2:$A$301,Loan_Register!$N$2:$N$301,""), "")</f>
        <v/>
      </c>
      <c r="E190" s="8" t="n"/>
      <c r="F190">
        <f>IF($A190="","", IF($E190&gt;=$D190,"Paid", IF(TODAY()&gt;$C190,"Overdue","Pending")))</f>
        <v/>
      </c>
      <c r="G190" s="6" t="n"/>
      <c r="I190" s="8">
        <f>IF($A190="","", SUMIFS($D$2:$D$801,$A$2:$A$801,$A190) - SUMIFS($E$2:$E$801,$A$2:$A$801,$A190))</f>
        <v/>
      </c>
      <c r="J190">
        <f>IF($F190="Paid",0, IF($C190="","", MAX(0, TODAY()-$C190)))</f>
        <v/>
      </c>
    </row>
    <row r="191">
      <c r="C191" s="6">
        <f>IF(AND($A191&lt;&gt;"",$B191&lt;&gt;""), XLOOKUP($A191,Loan_Register!$A$2:$A$301,Loan_Register!$M$2:$M$301,"") + 7*($B191-1), "")</f>
        <v/>
      </c>
      <c r="D191" s="8">
        <f>IF($A191&lt;&gt;"", XLOOKUP($A191,Loan_Register!$A$2:$A$301,Loan_Register!$N$2:$N$301,""), "")</f>
        <v/>
      </c>
      <c r="E191" s="8" t="n"/>
      <c r="F191">
        <f>IF($A191="","", IF($E191&gt;=$D191,"Paid", IF(TODAY()&gt;$C191,"Overdue","Pending")))</f>
        <v/>
      </c>
      <c r="G191" s="6" t="n"/>
      <c r="I191" s="8">
        <f>IF($A191="","", SUMIFS($D$2:$D$801,$A$2:$A$801,$A191) - SUMIFS($E$2:$E$801,$A$2:$A$801,$A191))</f>
        <v/>
      </c>
      <c r="J191">
        <f>IF($F191="Paid",0, IF($C191="","", MAX(0, TODAY()-$C191)))</f>
        <v/>
      </c>
    </row>
    <row r="192">
      <c r="C192" s="6">
        <f>IF(AND($A192&lt;&gt;"",$B192&lt;&gt;""), XLOOKUP($A192,Loan_Register!$A$2:$A$301,Loan_Register!$M$2:$M$301,"") + 7*($B192-1), "")</f>
        <v/>
      </c>
      <c r="D192" s="8">
        <f>IF($A192&lt;&gt;"", XLOOKUP($A192,Loan_Register!$A$2:$A$301,Loan_Register!$N$2:$N$301,""), "")</f>
        <v/>
      </c>
      <c r="E192" s="8" t="n"/>
      <c r="F192">
        <f>IF($A192="","", IF($E192&gt;=$D192,"Paid", IF(TODAY()&gt;$C192,"Overdue","Pending")))</f>
        <v/>
      </c>
      <c r="G192" s="6" t="n"/>
      <c r="I192" s="8">
        <f>IF($A192="","", SUMIFS($D$2:$D$801,$A$2:$A$801,$A192) - SUMIFS($E$2:$E$801,$A$2:$A$801,$A192))</f>
        <v/>
      </c>
      <c r="J192">
        <f>IF($F192="Paid",0, IF($C192="","", MAX(0, TODAY()-$C192)))</f>
        <v/>
      </c>
    </row>
    <row r="193">
      <c r="C193" s="6">
        <f>IF(AND($A193&lt;&gt;"",$B193&lt;&gt;""), XLOOKUP($A193,Loan_Register!$A$2:$A$301,Loan_Register!$M$2:$M$301,"") + 7*($B193-1), "")</f>
        <v/>
      </c>
      <c r="D193" s="8">
        <f>IF($A193&lt;&gt;"", XLOOKUP($A193,Loan_Register!$A$2:$A$301,Loan_Register!$N$2:$N$301,""), "")</f>
        <v/>
      </c>
      <c r="E193" s="8" t="n"/>
      <c r="F193">
        <f>IF($A193="","", IF($E193&gt;=$D193,"Paid", IF(TODAY()&gt;$C193,"Overdue","Pending")))</f>
        <v/>
      </c>
      <c r="G193" s="6" t="n"/>
      <c r="I193" s="8">
        <f>IF($A193="","", SUMIFS($D$2:$D$801,$A$2:$A$801,$A193) - SUMIFS($E$2:$E$801,$A$2:$A$801,$A193))</f>
        <v/>
      </c>
      <c r="J193">
        <f>IF($F193="Paid",0, IF($C193="","", MAX(0, TODAY()-$C193)))</f>
        <v/>
      </c>
    </row>
    <row r="194">
      <c r="C194" s="6">
        <f>IF(AND($A194&lt;&gt;"",$B194&lt;&gt;""), XLOOKUP($A194,Loan_Register!$A$2:$A$301,Loan_Register!$M$2:$M$301,"") + 7*($B194-1), "")</f>
        <v/>
      </c>
      <c r="D194" s="8">
        <f>IF($A194&lt;&gt;"", XLOOKUP($A194,Loan_Register!$A$2:$A$301,Loan_Register!$N$2:$N$301,""), "")</f>
        <v/>
      </c>
      <c r="E194" s="8" t="n"/>
      <c r="F194">
        <f>IF($A194="","", IF($E194&gt;=$D194,"Paid", IF(TODAY()&gt;$C194,"Overdue","Pending")))</f>
        <v/>
      </c>
      <c r="G194" s="6" t="n"/>
      <c r="I194" s="8">
        <f>IF($A194="","", SUMIFS($D$2:$D$801,$A$2:$A$801,$A194) - SUMIFS($E$2:$E$801,$A$2:$A$801,$A194))</f>
        <v/>
      </c>
      <c r="J194">
        <f>IF($F194="Paid",0, IF($C194="","", MAX(0, TODAY()-$C194)))</f>
        <v/>
      </c>
    </row>
    <row r="195">
      <c r="C195" s="6">
        <f>IF(AND($A195&lt;&gt;"",$B195&lt;&gt;""), XLOOKUP($A195,Loan_Register!$A$2:$A$301,Loan_Register!$M$2:$M$301,"") + 7*($B195-1), "")</f>
        <v/>
      </c>
      <c r="D195" s="8">
        <f>IF($A195&lt;&gt;"", XLOOKUP($A195,Loan_Register!$A$2:$A$301,Loan_Register!$N$2:$N$301,""), "")</f>
        <v/>
      </c>
      <c r="E195" s="8" t="n"/>
      <c r="F195">
        <f>IF($A195="","", IF($E195&gt;=$D195,"Paid", IF(TODAY()&gt;$C195,"Overdue","Pending")))</f>
        <v/>
      </c>
      <c r="G195" s="6" t="n"/>
      <c r="I195" s="8">
        <f>IF($A195="","", SUMIFS($D$2:$D$801,$A$2:$A$801,$A195) - SUMIFS($E$2:$E$801,$A$2:$A$801,$A195))</f>
        <v/>
      </c>
      <c r="J195">
        <f>IF($F195="Paid",0, IF($C195="","", MAX(0, TODAY()-$C195)))</f>
        <v/>
      </c>
    </row>
    <row r="196">
      <c r="C196" s="6">
        <f>IF(AND($A196&lt;&gt;"",$B196&lt;&gt;""), XLOOKUP($A196,Loan_Register!$A$2:$A$301,Loan_Register!$M$2:$M$301,"") + 7*($B196-1), "")</f>
        <v/>
      </c>
      <c r="D196" s="8">
        <f>IF($A196&lt;&gt;"", XLOOKUP($A196,Loan_Register!$A$2:$A$301,Loan_Register!$N$2:$N$301,""), "")</f>
        <v/>
      </c>
      <c r="E196" s="8" t="n"/>
      <c r="F196">
        <f>IF($A196="","", IF($E196&gt;=$D196,"Paid", IF(TODAY()&gt;$C196,"Overdue","Pending")))</f>
        <v/>
      </c>
      <c r="G196" s="6" t="n"/>
      <c r="I196" s="8">
        <f>IF($A196="","", SUMIFS($D$2:$D$801,$A$2:$A$801,$A196) - SUMIFS($E$2:$E$801,$A$2:$A$801,$A196))</f>
        <v/>
      </c>
      <c r="J196">
        <f>IF($F196="Paid",0, IF($C196="","", MAX(0, TODAY()-$C196)))</f>
        <v/>
      </c>
    </row>
    <row r="197">
      <c r="C197" s="6">
        <f>IF(AND($A197&lt;&gt;"",$B197&lt;&gt;""), XLOOKUP($A197,Loan_Register!$A$2:$A$301,Loan_Register!$M$2:$M$301,"") + 7*($B197-1), "")</f>
        <v/>
      </c>
      <c r="D197" s="8">
        <f>IF($A197&lt;&gt;"", XLOOKUP($A197,Loan_Register!$A$2:$A$301,Loan_Register!$N$2:$N$301,""), "")</f>
        <v/>
      </c>
      <c r="E197" s="8" t="n"/>
      <c r="F197">
        <f>IF($A197="","", IF($E197&gt;=$D197,"Paid", IF(TODAY()&gt;$C197,"Overdue","Pending")))</f>
        <v/>
      </c>
      <c r="G197" s="6" t="n"/>
      <c r="I197" s="8">
        <f>IF($A197="","", SUMIFS($D$2:$D$801,$A$2:$A$801,$A197) - SUMIFS($E$2:$E$801,$A$2:$A$801,$A197))</f>
        <v/>
      </c>
      <c r="J197">
        <f>IF($F197="Paid",0, IF($C197="","", MAX(0, TODAY()-$C197)))</f>
        <v/>
      </c>
    </row>
    <row r="198">
      <c r="C198" s="6">
        <f>IF(AND($A198&lt;&gt;"",$B198&lt;&gt;""), XLOOKUP($A198,Loan_Register!$A$2:$A$301,Loan_Register!$M$2:$M$301,"") + 7*($B198-1), "")</f>
        <v/>
      </c>
      <c r="D198" s="8">
        <f>IF($A198&lt;&gt;"", XLOOKUP($A198,Loan_Register!$A$2:$A$301,Loan_Register!$N$2:$N$301,""), "")</f>
        <v/>
      </c>
      <c r="E198" s="8" t="n"/>
      <c r="F198">
        <f>IF($A198="","", IF($E198&gt;=$D198,"Paid", IF(TODAY()&gt;$C198,"Overdue","Pending")))</f>
        <v/>
      </c>
      <c r="G198" s="6" t="n"/>
      <c r="I198" s="8">
        <f>IF($A198="","", SUMIFS($D$2:$D$801,$A$2:$A$801,$A198) - SUMIFS($E$2:$E$801,$A$2:$A$801,$A198))</f>
        <v/>
      </c>
      <c r="J198">
        <f>IF($F198="Paid",0, IF($C198="","", MAX(0, TODAY()-$C198)))</f>
        <v/>
      </c>
    </row>
    <row r="199">
      <c r="C199" s="6">
        <f>IF(AND($A199&lt;&gt;"",$B199&lt;&gt;""), XLOOKUP($A199,Loan_Register!$A$2:$A$301,Loan_Register!$M$2:$M$301,"") + 7*($B199-1), "")</f>
        <v/>
      </c>
      <c r="D199" s="8">
        <f>IF($A199&lt;&gt;"", XLOOKUP($A199,Loan_Register!$A$2:$A$301,Loan_Register!$N$2:$N$301,""), "")</f>
        <v/>
      </c>
      <c r="E199" s="8" t="n"/>
      <c r="F199">
        <f>IF($A199="","", IF($E199&gt;=$D199,"Paid", IF(TODAY()&gt;$C199,"Overdue","Pending")))</f>
        <v/>
      </c>
      <c r="G199" s="6" t="n"/>
      <c r="I199" s="8">
        <f>IF($A199="","", SUMIFS($D$2:$D$801,$A$2:$A$801,$A199) - SUMIFS($E$2:$E$801,$A$2:$A$801,$A199))</f>
        <v/>
      </c>
      <c r="J199">
        <f>IF($F199="Paid",0, IF($C199="","", MAX(0, TODAY()-$C199)))</f>
        <v/>
      </c>
    </row>
    <row r="200">
      <c r="C200" s="6">
        <f>IF(AND($A200&lt;&gt;"",$B200&lt;&gt;""), XLOOKUP($A200,Loan_Register!$A$2:$A$301,Loan_Register!$M$2:$M$301,"") + 7*($B200-1), "")</f>
        <v/>
      </c>
      <c r="D200" s="8">
        <f>IF($A200&lt;&gt;"", XLOOKUP($A200,Loan_Register!$A$2:$A$301,Loan_Register!$N$2:$N$301,""), "")</f>
        <v/>
      </c>
      <c r="E200" s="8" t="n"/>
      <c r="F200">
        <f>IF($A200="","", IF($E200&gt;=$D200,"Paid", IF(TODAY()&gt;$C200,"Overdue","Pending")))</f>
        <v/>
      </c>
      <c r="G200" s="6" t="n"/>
      <c r="I200" s="8">
        <f>IF($A200="","", SUMIFS($D$2:$D$801,$A$2:$A$801,$A200) - SUMIFS($E$2:$E$801,$A$2:$A$801,$A200))</f>
        <v/>
      </c>
      <c r="J200">
        <f>IF($F200="Paid",0, IF($C200="","", MAX(0, TODAY()-$C200)))</f>
        <v/>
      </c>
    </row>
    <row r="201">
      <c r="C201" s="6">
        <f>IF(AND($A201&lt;&gt;"",$B201&lt;&gt;""), XLOOKUP($A201,Loan_Register!$A$2:$A$301,Loan_Register!$M$2:$M$301,"") + 7*($B201-1), "")</f>
        <v/>
      </c>
      <c r="D201" s="8">
        <f>IF($A201&lt;&gt;"", XLOOKUP($A201,Loan_Register!$A$2:$A$301,Loan_Register!$N$2:$N$301,""), "")</f>
        <v/>
      </c>
      <c r="E201" s="8" t="n"/>
      <c r="F201">
        <f>IF($A201="","", IF($E201&gt;=$D201,"Paid", IF(TODAY()&gt;$C201,"Overdue","Pending")))</f>
        <v/>
      </c>
      <c r="G201" s="6" t="n"/>
      <c r="I201" s="8">
        <f>IF($A201="","", SUMIFS($D$2:$D$801,$A$2:$A$801,$A201) - SUMIFS($E$2:$E$801,$A$2:$A$801,$A201))</f>
        <v/>
      </c>
      <c r="J201">
        <f>IF($F201="Paid",0, IF($C201="","", MAX(0, TODAY()-$C201)))</f>
        <v/>
      </c>
    </row>
    <row r="202">
      <c r="C202" s="6">
        <f>IF(AND($A202&lt;&gt;"",$B202&lt;&gt;""), XLOOKUP($A202,Loan_Register!$A$2:$A$301,Loan_Register!$M$2:$M$301,"") + 7*($B202-1), "")</f>
        <v/>
      </c>
      <c r="D202" s="8">
        <f>IF($A202&lt;&gt;"", XLOOKUP($A202,Loan_Register!$A$2:$A$301,Loan_Register!$N$2:$N$301,""), "")</f>
        <v/>
      </c>
      <c r="E202" s="8" t="n"/>
      <c r="F202">
        <f>IF($A202="","", IF($E202&gt;=$D202,"Paid", IF(TODAY()&gt;$C202,"Overdue","Pending")))</f>
        <v/>
      </c>
      <c r="G202" s="6" t="n"/>
      <c r="I202" s="8">
        <f>IF($A202="","", SUMIFS($D$2:$D$801,$A$2:$A$801,$A202) - SUMIFS($E$2:$E$801,$A$2:$A$801,$A202))</f>
        <v/>
      </c>
      <c r="J202">
        <f>IF($F202="Paid",0, IF($C202="","", MAX(0, TODAY()-$C202)))</f>
        <v/>
      </c>
    </row>
    <row r="203">
      <c r="C203" s="6">
        <f>IF(AND($A203&lt;&gt;"",$B203&lt;&gt;""), XLOOKUP($A203,Loan_Register!$A$2:$A$301,Loan_Register!$M$2:$M$301,"") + 7*($B203-1), "")</f>
        <v/>
      </c>
      <c r="D203" s="8">
        <f>IF($A203&lt;&gt;"", XLOOKUP($A203,Loan_Register!$A$2:$A$301,Loan_Register!$N$2:$N$301,""), "")</f>
        <v/>
      </c>
      <c r="E203" s="8" t="n"/>
      <c r="F203">
        <f>IF($A203="","", IF($E203&gt;=$D203,"Paid", IF(TODAY()&gt;$C203,"Overdue","Pending")))</f>
        <v/>
      </c>
      <c r="G203" s="6" t="n"/>
      <c r="I203" s="8">
        <f>IF($A203="","", SUMIFS($D$2:$D$801,$A$2:$A$801,$A203) - SUMIFS($E$2:$E$801,$A$2:$A$801,$A203))</f>
        <v/>
      </c>
      <c r="J203">
        <f>IF($F203="Paid",0, IF($C203="","", MAX(0, TODAY()-$C203)))</f>
        <v/>
      </c>
    </row>
    <row r="204">
      <c r="C204" s="6">
        <f>IF(AND($A204&lt;&gt;"",$B204&lt;&gt;""), XLOOKUP($A204,Loan_Register!$A$2:$A$301,Loan_Register!$M$2:$M$301,"") + 7*($B204-1), "")</f>
        <v/>
      </c>
      <c r="D204" s="8">
        <f>IF($A204&lt;&gt;"", XLOOKUP($A204,Loan_Register!$A$2:$A$301,Loan_Register!$N$2:$N$301,""), "")</f>
        <v/>
      </c>
      <c r="E204" s="8" t="n"/>
      <c r="F204">
        <f>IF($A204="","", IF($E204&gt;=$D204,"Paid", IF(TODAY()&gt;$C204,"Overdue","Pending")))</f>
        <v/>
      </c>
      <c r="G204" s="6" t="n"/>
      <c r="I204" s="8">
        <f>IF($A204="","", SUMIFS($D$2:$D$801,$A$2:$A$801,$A204) - SUMIFS($E$2:$E$801,$A$2:$A$801,$A204))</f>
        <v/>
      </c>
      <c r="J204">
        <f>IF($F204="Paid",0, IF($C204="","", MAX(0, TODAY()-$C204)))</f>
        <v/>
      </c>
    </row>
    <row r="205">
      <c r="C205" s="6">
        <f>IF(AND($A205&lt;&gt;"",$B205&lt;&gt;""), XLOOKUP($A205,Loan_Register!$A$2:$A$301,Loan_Register!$M$2:$M$301,"") + 7*($B205-1), "")</f>
        <v/>
      </c>
      <c r="D205" s="8">
        <f>IF($A205&lt;&gt;"", XLOOKUP($A205,Loan_Register!$A$2:$A$301,Loan_Register!$N$2:$N$301,""), "")</f>
        <v/>
      </c>
      <c r="E205" s="8" t="n"/>
      <c r="F205">
        <f>IF($A205="","", IF($E205&gt;=$D205,"Paid", IF(TODAY()&gt;$C205,"Overdue","Pending")))</f>
        <v/>
      </c>
      <c r="G205" s="6" t="n"/>
      <c r="I205" s="8">
        <f>IF($A205="","", SUMIFS($D$2:$D$801,$A$2:$A$801,$A205) - SUMIFS($E$2:$E$801,$A$2:$A$801,$A205))</f>
        <v/>
      </c>
      <c r="J205">
        <f>IF($F205="Paid",0, IF($C205="","", MAX(0, TODAY()-$C205)))</f>
        <v/>
      </c>
    </row>
    <row r="206">
      <c r="C206" s="6">
        <f>IF(AND($A206&lt;&gt;"",$B206&lt;&gt;""), XLOOKUP($A206,Loan_Register!$A$2:$A$301,Loan_Register!$M$2:$M$301,"") + 7*($B206-1), "")</f>
        <v/>
      </c>
      <c r="D206" s="8">
        <f>IF($A206&lt;&gt;"", XLOOKUP($A206,Loan_Register!$A$2:$A$301,Loan_Register!$N$2:$N$301,""), "")</f>
        <v/>
      </c>
      <c r="E206" s="8" t="n"/>
      <c r="F206">
        <f>IF($A206="","", IF($E206&gt;=$D206,"Paid", IF(TODAY()&gt;$C206,"Overdue","Pending")))</f>
        <v/>
      </c>
      <c r="G206" s="6" t="n"/>
      <c r="I206" s="8">
        <f>IF($A206="","", SUMIFS($D$2:$D$801,$A$2:$A$801,$A206) - SUMIFS($E$2:$E$801,$A$2:$A$801,$A206))</f>
        <v/>
      </c>
      <c r="J206">
        <f>IF($F206="Paid",0, IF($C206="","", MAX(0, TODAY()-$C206)))</f>
        <v/>
      </c>
    </row>
    <row r="207">
      <c r="C207" s="6">
        <f>IF(AND($A207&lt;&gt;"",$B207&lt;&gt;""), XLOOKUP($A207,Loan_Register!$A$2:$A$301,Loan_Register!$M$2:$M$301,"") + 7*($B207-1), "")</f>
        <v/>
      </c>
      <c r="D207" s="8">
        <f>IF($A207&lt;&gt;"", XLOOKUP($A207,Loan_Register!$A$2:$A$301,Loan_Register!$N$2:$N$301,""), "")</f>
        <v/>
      </c>
      <c r="E207" s="8" t="n"/>
      <c r="F207">
        <f>IF($A207="","", IF($E207&gt;=$D207,"Paid", IF(TODAY()&gt;$C207,"Overdue","Pending")))</f>
        <v/>
      </c>
      <c r="G207" s="6" t="n"/>
      <c r="I207" s="8">
        <f>IF($A207="","", SUMIFS($D$2:$D$801,$A$2:$A$801,$A207) - SUMIFS($E$2:$E$801,$A$2:$A$801,$A207))</f>
        <v/>
      </c>
      <c r="J207">
        <f>IF($F207="Paid",0, IF($C207="","", MAX(0, TODAY()-$C207)))</f>
        <v/>
      </c>
    </row>
    <row r="208">
      <c r="C208" s="6">
        <f>IF(AND($A208&lt;&gt;"",$B208&lt;&gt;""), XLOOKUP($A208,Loan_Register!$A$2:$A$301,Loan_Register!$M$2:$M$301,"") + 7*($B208-1), "")</f>
        <v/>
      </c>
      <c r="D208" s="8">
        <f>IF($A208&lt;&gt;"", XLOOKUP($A208,Loan_Register!$A$2:$A$301,Loan_Register!$N$2:$N$301,""), "")</f>
        <v/>
      </c>
      <c r="E208" s="8" t="n"/>
      <c r="F208">
        <f>IF($A208="","", IF($E208&gt;=$D208,"Paid", IF(TODAY()&gt;$C208,"Overdue","Pending")))</f>
        <v/>
      </c>
      <c r="G208" s="6" t="n"/>
      <c r="I208" s="8">
        <f>IF($A208="","", SUMIFS($D$2:$D$801,$A$2:$A$801,$A208) - SUMIFS($E$2:$E$801,$A$2:$A$801,$A208))</f>
        <v/>
      </c>
      <c r="J208">
        <f>IF($F208="Paid",0, IF($C208="","", MAX(0, TODAY()-$C208)))</f>
        <v/>
      </c>
    </row>
    <row r="209">
      <c r="C209" s="6">
        <f>IF(AND($A209&lt;&gt;"",$B209&lt;&gt;""), XLOOKUP($A209,Loan_Register!$A$2:$A$301,Loan_Register!$M$2:$M$301,"") + 7*($B209-1), "")</f>
        <v/>
      </c>
      <c r="D209" s="8">
        <f>IF($A209&lt;&gt;"", XLOOKUP($A209,Loan_Register!$A$2:$A$301,Loan_Register!$N$2:$N$301,""), "")</f>
        <v/>
      </c>
      <c r="E209" s="8" t="n"/>
      <c r="F209">
        <f>IF($A209="","", IF($E209&gt;=$D209,"Paid", IF(TODAY()&gt;$C209,"Overdue","Pending")))</f>
        <v/>
      </c>
      <c r="G209" s="6" t="n"/>
      <c r="I209" s="8">
        <f>IF($A209="","", SUMIFS($D$2:$D$801,$A$2:$A$801,$A209) - SUMIFS($E$2:$E$801,$A$2:$A$801,$A209))</f>
        <v/>
      </c>
      <c r="J209">
        <f>IF($F209="Paid",0, IF($C209="","", MAX(0, TODAY()-$C209)))</f>
        <v/>
      </c>
    </row>
    <row r="210">
      <c r="C210" s="6">
        <f>IF(AND($A210&lt;&gt;"",$B210&lt;&gt;""), XLOOKUP($A210,Loan_Register!$A$2:$A$301,Loan_Register!$M$2:$M$301,"") + 7*($B210-1), "")</f>
        <v/>
      </c>
      <c r="D210" s="8">
        <f>IF($A210&lt;&gt;"", XLOOKUP($A210,Loan_Register!$A$2:$A$301,Loan_Register!$N$2:$N$301,""), "")</f>
        <v/>
      </c>
      <c r="E210" s="8" t="n"/>
      <c r="F210">
        <f>IF($A210="","", IF($E210&gt;=$D210,"Paid", IF(TODAY()&gt;$C210,"Overdue","Pending")))</f>
        <v/>
      </c>
      <c r="G210" s="6" t="n"/>
      <c r="I210" s="8">
        <f>IF($A210="","", SUMIFS($D$2:$D$801,$A$2:$A$801,$A210) - SUMIFS($E$2:$E$801,$A$2:$A$801,$A210))</f>
        <v/>
      </c>
      <c r="J210">
        <f>IF($F210="Paid",0, IF($C210="","", MAX(0, TODAY()-$C210)))</f>
        <v/>
      </c>
    </row>
    <row r="211">
      <c r="C211" s="6">
        <f>IF(AND($A211&lt;&gt;"",$B211&lt;&gt;""), XLOOKUP($A211,Loan_Register!$A$2:$A$301,Loan_Register!$M$2:$M$301,"") + 7*($B211-1), "")</f>
        <v/>
      </c>
      <c r="D211" s="8">
        <f>IF($A211&lt;&gt;"", XLOOKUP($A211,Loan_Register!$A$2:$A$301,Loan_Register!$N$2:$N$301,""), "")</f>
        <v/>
      </c>
      <c r="E211" s="8" t="n"/>
      <c r="F211">
        <f>IF($A211="","", IF($E211&gt;=$D211,"Paid", IF(TODAY()&gt;$C211,"Overdue","Pending")))</f>
        <v/>
      </c>
      <c r="G211" s="6" t="n"/>
      <c r="I211" s="8">
        <f>IF($A211="","", SUMIFS($D$2:$D$801,$A$2:$A$801,$A211) - SUMIFS($E$2:$E$801,$A$2:$A$801,$A211))</f>
        <v/>
      </c>
      <c r="J211">
        <f>IF($F211="Paid",0, IF($C211="","", MAX(0, TODAY()-$C211)))</f>
        <v/>
      </c>
    </row>
    <row r="212">
      <c r="C212" s="6">
        <f>IF(AND($A212&lt;&gt;"",$B212&lt;&gt;""), XLOOKUP($A212,Loan_Register!$A$2:$A$301,Loan_Register!$M$2:$M$301,"") + 7*($B212-1), "")</f>
        <v/>
      </c>
      <c r="D212" s="8">
        <f>IF($A212&lt;&gt;"", XLOOKUP($A212,Loan_Register!$A$2:$A$301,Loan_Register!$N$2:$N$301,""), "")</f>
        <v/>
      </c>
      <c r="E212" s="8" t="n"/>
      <c r="F212">
        <f>IF($A212="","", IF($E212&gt;=$D212,"Paid", IF(TODAY()&gt;$C212,"Overdue","Pending")))</f>
        <v/>
      </c>
      <c r="G212" s="6" t="n"/>
      <c r="I212" s="8">
        <f>IF($A212="","", SUMIFS($D$2:$D$801,$A$2:$A$801,$A212) - SUMIFS($E$2:$E$801,$A$2:$A$801,$A212))</f>
        <v/>
      </c>
      <c r="J212">
        <f>IF($F212="Paid",0, IF($C212="","", MAX(0, TODAY()-$C212)))</f>
        <v/>
      </c>
    </row>
    <row r="213">
      <c r="C213" s="6">
        <f>IF(AND($A213&lt;&gt;"",$B213&lt;&gt;""), XLOOKUP($A213,Loan_Register!$A$2:$A$301,Loan_Register!$M$2:$M$301,"") + 7*($B213-1), "")</f>
        <v/>
      </c>
      <c r="D213" s="8">
        <f>IF($A213&lt;&gt;"", XLOOKUP($A213,Loan_Register!$A$2:$A$301,Loan_Register!$N$2:$N$301,""), "")</f>
        <v/>
      </c>
      <c r="E213" s="8" t="n"/>
      <c r="F213">
        <f>IF($A213="","", IF($E213&gt;=$D213,"Paid", IF(TODAY()&gt;$C213,"Overdue","Pending")))</f>
        <v/>
      </c>
      <c r="G213" s="6" t="n"/>
      <c r="I213" s="8">
        <f>IF($A213="","", SUMIFS($D$2:$D$801,$A$2:$A$801,$A213) - SUMIFS($E$2:$E$801,$A$2:$A$801,$A213))</f>
        <v/>
      </c>
      <c r="J213">
        <f>IF($F213="Paid",0, IF($C213="","", MAX(0, TODAY()-$C213)))</f>
        <v/>
      </c>
    </row>
    <row r="214">
      <c r="C214" s="6">
        <f>IF(AND($A214&lt;&gt;"",$B214&lt;&gt;""), XLOOKUP($A214,Loan_Register!$A$2:$A$301,Loan_Register!$M$2:$M$301,"") + 7*($B214-1), "")</f>
        <v/>
      </c>
      <c r="D214" s="8">
        <f>IF($A214&lt;&gt;"", XLOOKUP($A214,Loan_Register!$A$2:$A$301,Loan_Register!$N$2:$N$301,""), "")</f>
        <v/>
      </c>
      <c r="E214" s="8" t="n"/>
      <c r="F214">
        <f>IF($A214="","", IF($E214&gt;=$D214,"Paid", IF(TODAY()&gt;$C214,"Overdue","Pending")))</f>
        <v/>
      </c>
      <c r="G214" s="6" t="n"/>
      <c r="I214" s="8">
        <f>IF($A214="","", SUMIFS($D$2:$D$801,$A$2:$A$801,$A214) - SUMIFS($E$2:$E$801,$A$2:$A$801,$A214))</f>
        <v/>
      </c>
      <c r="J214">
        <f>IF($F214="Paid",0, IF($C214="","", MAX(0, TODAY()-$C214)))</f>
        <v/>
      </c>
    </row>
    <row r="215">
      <c r="C215" s="6">
        <f>IF(AND($A215&lt;&gt;"",$B215&lt;&gt;""), XLOOKUP($A215,Loan_Register!$A$2:$A$301,Loan_Register!$M$2:$M$301,"") + 7*($B215-1), "")</f>
        <v/>
      </c>
      <c r="D215" s="8">
        <f>IF($A215&lt;&gt;"", XLOOKUP($A215,Loan_Register!$A$2:$A$301,Loan_Register!$N$2:$N$301,""), "")</f>
        <v/>
      </c>
      <c r="E215" s="8" t="n"/>
      <c r="F215">
        <f>IF($A215="","", IF($E215&gt;=$D215,"Paid", IF(TODAY()&gt;$C215,"Overdue","Pending")))</f>
        <v/>
      </c>
      <c r="G215" s="6" t="n"/>
      <c r="I215" s="8">
        <f>IF($A215="","", SUMIFS($D$2:$D$801,$A$2:$A$801,$A215) - SUMIFS($E$2:$E$801,$A$2:$A$801,$A215))</f>
        <v/>
      </c>
      <c r="J215">
        <f>IF($F215="Paid",0, IF($C215="","", MAX(0, TODAY()-$C215)))</f>
        <v/>
      </c>
    </row>
    <row r="216">
      <c r="C216" s="6">
        <f>IF(AND($A216&lt;&gt;"",$B216&lt;&gt;""), XLOOKUP($A216,Loan_Register!$A$2:$A$301,Loan_Register!$M$2:$M$301,"") + 7*($B216-1), "")</f>
        <v/>
      </c>
      <c r="D216" s="8">
        <f>IF($A216&lt;&gt;"", XLOOKUP($A216,Loan_Register!$A$2:$A$301,Loan_Register!$N$2:$N$301,""), "")</f>
        <v/>
      </c>
      <c r="E216" s="8" t="n"/>
      <c r="F216">
        <f>IF($A216="","", IF($E216&gt;=$D216,"Paid", IF(TODAY()&gt;$C216,"Overdue","Pending")))</f>
        <v/>
      </c>
      <c r="G216" s="6" t="n"/>
      <c r="I216" s="8">
        <f>IF($A216="","", SUMIFS($D$2:$D$801,$A$2:$A$801,$A216) - SUMIFS($E$2:$E$801,$A$2:$A$801,$A216))</f>
        <v/>
      </c>
      <c r="J216">
        <f>IF($F216="Paid",0, IF($C216="","", MAX(0, TODAY()-$C216)))</f>
        <v/>
      </c>
    </row>
    <row r="217">
      <c r="C217" s="6">
        <f>IF(AND($A217&lt;&gt;"",$B217&lt;&gt;""), XLOOKUP($A217,Loan_Register!$A$2:$A$301,Loan_Register!$M$2:$M$301,"") + 7*($B217-1), "")</f>
        <v/>
      </c>
      <c r="D217" s="8">
        <f>IF($A217&lt;&gt;"", XLOOKUP($A217,Loan_Register!$A$2:$A$301,Loan_Register!$N$2:$N$301,""), "")</f>
        <v/>
      </c>
      <c r="E217" s="8" t="n"/>
      <c r="F217">
        <f>IF($A217="","", IF($E217&gt;=$D217,"Paid", IF(TODAY()&gt;$C217,"Overdue","Pending")))</f>
        <v/>
      </c>
      <c r="G217" s="6" t="n"/>
      <c r="I217" s="8">
        <f>IF($A217="","", SUMIFS($D$2:$D$801,$A$2:$A$801,$A217) - SUMIFS($E$2:$E$801,$A$2:$A$801,$A217))</f>
        <v/>
      </c>
      <c r="J217">
        <f>IF($F217="Paid",0, IF($C217="","", MAX(0, TODAY()-$C217)))</f>
        <v/>
      </c>
    </row>
    <row r="218">
      <c r="C218" s="6">
        <f>IF(AND($A218&lt;&gt;"",$B218&lt;&gt;""), XLOOKUP($A218,Loan_Register!$A$2:$A$301,Loan_Register!$M$2:$M$301,"") + 7*($B218-1), "")</f>
        <v/>
      </c>
      <c r="D218" s="8">
        <f>IF($A218&lt;&gt;"", XLOOKUP($A218,Loan_Register!$A$2:$A$301,Loan_Register!$N$2:$N$301,""), "")</f>
        <v/>
      </c>
      <c r="E218" s="8" t="n"/>
      <c r="F218">
        <f>IF($A218="","", IF($E218&gt;=$D218,"Paid", IF(TODAY()&gt;$C218,"Overdue","Pending")))</f>
        <v/>
      </c>
      <c r="G218" s="6" t="n"/>
      <c r="I218" s="8">
        <f>IF($A218="","", SUMIFS($D$2:$D$801,$A$2:$A$801,$A218) - SUMIFS($E$2:$E$801,$A$2:$A$801,$A218))</f>
        <v/>
      </c>
      <c r="J218">
        <f>IF($F218="Paid",0, IF($C218="","", MAX(0, TODAY()-$C218)))</f>
        <v/>
      </c>
    </row>
    <row r="219">
      <c r="C219" s="6">
        <f>IF(AND($A219&lt;&gt;"",$B219&lt;&gt;""), XLOOKUP($A219,Loan_Register!$A$2:$A$301,Loan_Register!$M$2:$M$301,"") + 7*($B219-1), "")</f>
        <v/>
      </c>
      <c r="D219" s="8">
        <f>IF($A219&lt;&gt;"", XLOOKUP($A219,Loan_Register!$A$2:$A$301,Loan_Register!$N$2:$N$301,""), "")</f>
        <v/>
      </c>
      <c r="E219" s="8" t="n"/>
      <c r="F219">
        <f>IF($A219="","", IF($E219&gt;=$D219,"Paid", IF(TODAY()&gt;$C219,"Overdue","Pending")))</f>
        <v/>
      </c>
      <c r="G219" s="6" t="n"/>
      <c r="I219" s="8">
        <f>IF($A219="","", SUMIFS($D$2:$D$801,$A$2:$A$801,$A219) - SUMIFS($E$2:$E$801,$A$2:$A$801,$A219))</f>
        <v/>
      </c>
      <c r="J219">
        <f>IF($F219="Paid",0, IF($C219="","", MAX(0, TODAY()-$C219)))</f>
        <v/>
      </c>
    </row>
    <row r="220">
      <c r="C220" s="6">
        <f>IF(AND($A220&lt;&gt;"",$B220&lt;&gt;""), XLOOKUP($A220,Loan_Register!$A$2:$A$301,Loan_Register!$M$2:$M$301,"") + 7*($B220-1), "")</f>
        <v/>
      </c>
      <c r="D220" s="8">
        <f>IF($A220&lt;&gt;"", XLOOKUP($A220,Loan_Register!$A$2:$A$301,Loan_Register!$N$2:$N$301,""), "")</f>
        <v/>
      </c>
      <c r="E220" s="8" t="n"/>
      <c r="F220">
        <f>IF($A220="","", IF($E220&gt;=$D220,"Paid", IF(TODAY()&gt;$C220,"Overdue","Pending")))</f>
        <v/>
      </c>
      <c r="G220" s="6" t="n"/>
      <c r="I220" s="8">
        <f>IF($A220="","", SUMIFS($D$2:$D$801,$A$2:$A$801,$A220) - SUMIFS($E$2:$E$801,$A$2:$A$801,$A220))</f>
        <v/>
      </c>
      <c r="J220">
        <f>IF($F220="Paid",0, IF($C220="","", MAX(0, TODAY()-$C220)))</f>
        <v/>
      </c>
    </row>
    <row r="221">
      <c r="C221" s="6">
        <f>IF(AND($A221&lt;&gt;"",$B221&lt;&gt;""), XLOOKUP($A221,Loan_Register!$A$2:$A$301,Loan_Register!$M$2:$M$301,"") + 7*($B221-1), "")</f>
        <v/>
      </c>
      <c r="D221" s="8">
        <f>IF($A221&lt;&gt;"", XLOOKUP($A221,Loan_Register!$A$2:$A$301,Loan_Register!$N$2:$N$301,""), "")</f>
        <v/>
      </c>
      <c r="E221" s="8" t="n"/>
      <c r="F221">
        <f>IF($A221="","", IF($E221&gt;=$D221,"Paid", IF(TODAY()&gt;$C221,"Overdue","Pending")))</f>
        <v/>
      </c>
      <c r="G221" s="6" t="n"/>
      <c r="I221" s="8">
        <f>IF($A221="","", SUMIFS($D$2:$D$801,$A$2:$A$801,$A221) - SUMIFS($E$2:$E$801,$A$2:$A$801,$A221))</f>
        <v/>
      </c>
      <c r="J221">
        <f>IF($F221="Paid",0, IF($C221="","", MAX(0, TODAY()-$C221)))</f>
        <v/>
      </c>
    </row>
    <row r="222">
      <c r="C222" s="6">
        <f>IF(AND($A222&lt;&gt;"",$B222&lt;&gt;""), XLOOKUP($A222,Loan_Register!$A$2:$A$301,Loan_Register!$M$2:$M$301,"") + 7*($B222-1), "")</f>
        <v/>
      </c>
      <c r="D222" s="8">
        <f>IF($A222&lt;&gt;"", XLOOKUP($A222,Loan_Register!$A$2:$A$301,Loan_Register!$N$2:$N$301,""), "")</f>
        <v/>
      </c>
      <c r="E222" s="8" t="n"/>
      <c r="F222">
        <f>IF($A222="","", IF($E222&gt;=$D222,"Paid", IF(TODAY()&gt;$C222,"Overdue","Pending")))</f>
        <v/>
      </c>
      <c r="G222" s="6" t="n"/>
      <c r="I222" s="8">
        <f>IF($A222="","", SUMIFS($D$2:$D$801,$A$2:$A$801,$A222) - SUMIFS($E$2:$E$801,$A$2:$A$801,$A222))</f>
        <v/>
      </c>
      <c r="J222">
        <f>IF($F222="Paid",0, IF($C222="","", MAX(0, TODAY()-$C222)))</f>
        <v/>
      </c>
    </row>
    <row r="223">
      <c r="C223" s="6">
        <f>IF(AND($A223&lt;&gt;"",$B223&lt;&gt;""), XLOOKUP($A223,Loan_Register!$A$2:$A$301,Loan_Register!$M$2:$M$301,"") + 7*($B223-1), "")</f>
        <v/>
      </c>
      <c r="D223" s="8">
        <f>IF($A223&lt;&gt;"", XLOOKUP($A223,Loan_Register!$A$2:$A$301,Loan_Register!$N$2:$N$301,""), "")</f>
        <v/>
      </c>
      <c r="E223" s="8" t="n"/>
      <c r="F223">
        <f>IF($A223="","", IF($E223&gt;=$D223,"Paid", IF(TODAY()&gt;$C223,"Overdue","Pending")))</f>
        <v/>
      </c>
      <c r="G223" s="6" t="n"/>
      <c r="I223" s="8">
        <f>IF($A223="","", SUMIFS($D$2:$D$801,$A$2:$A$801,$A223) - SUMIFS($E$2:$E$801,$A$2:$A$801,$A223))</f>
        <v/>
      </c>
      <c r="J223">
        <f>IF($F223="Paid",0, IF($C223="","", MAX(0, TODAY()-$C223)))</f>
        <v/>
      </c>
    </row>
    <row r="224">
      <c r="C224" s="6">
        <f>IF(AND($A224&lt;&gt;"",$B224&lt;&gt;""), XLOOKUP($A224,Loan_Register!$A$2:$A$301,Loan_Register!$M$2:$M$301,"") + 7*($B224-1), "")</f>
        <v/>
      </c>
      <c r="D224" s="8">
        <f>IF($A224&lt;&gt;"", XLOOKUP($A224,Loan_Register!$A$2:$A$301,Loan_Register!$N$2:$N$301,""), "")</f>
        <v/>
      </c>
      <c r="E224" s="8" t="n"/>
      <c r="F224">
        <f>IF($A224="","", IF($E224&gt;=$D224,"Paid", IF(TODAY()&gt;$C224,"Overdue","Pending")))</f>
        <v/>
      </c>
      <c r="G224" s="6" t="n"/>
      <c r="I224" s="8">
        <f>IF($A224="","", SUMIFS($D$2:$D$801,$A$2:$A$801,$A224) - SUMIFS($E$2:$E$801,$A$2:$A$801,$A224))</f>
        <v/>
      </c>
      <c r="J224">
        <f>IF($F224="Paid",0, IF($C224="","", MAX(0, TODAY()-$C224)))</f>
        <v/>
      </c>
    </row>
    <row r="225">
      <c r="C225" s="6">
        <f>IF(AND($A225&lt;&gt;"",$B225&lt;&gt;""), XLOOKUP($A225,Loan_Register!$A$2:$A$301,Loan_Register!$M$2:$M$301,"") + 7*($B225-1), "")</f>
        <v/>
      </c>
      <c r="D225" s="8">
        <f>IF($A225&lt;&gt;"", XLOOKUP($A225,Loan_Register!$A$2:$A$301,Loan_Register!$N$2:$N$301,""), "")</f>
        <v/>
      </c>
      <c r="E225" s="8" t="n"/>
      <c r="F225">
        <f>IF($A225="","", IF($E225&gt;=$D225,"Paid", IF(TODAY()&gt;$C225,"Overdue","Pending")))</f>
        <v/>
      </c>
      <c r="G225" s="6" t="n"/>
      <c r="I225" s="8">
        <f>IF($A225="","", SUMIFS($D$2:$D$801,$A$2:$A$801,$A225) - SUMIFS($E$2:$E$801,$A$2:$A$801,$A225))</f>
        <v/>
      </c>
      <c r="J225">
        <f>IF($F225="Paid",0, IF($C225="","", MAX(0, TODAY()-$C225)))</f>
        <v/>
      </c>
    </row>
    <row r="226">
      <c r="C226" s="6">
        <f>IF(AND($A226&lt;&gt;"",$B226&lt;&gt;""), XLOOKUP($A226,Loan_Register!$A$2:$A$301,Loan_Register!$M$2:$M$301,"") + 7*($B226-1), "")</f>
        <v/>
      </c>
      <c r="D226" s="8">
        <f>IF($A226&lt;&gt;"", XLOOKUP($A226,Loan_Register!$A$2:$A$301,Loan_Register!$N$2:$N$301,""), "")</f>
        <v/>
      </c>
      <c r="E226" s="8" t="n"/>
      <c r="F226">
        <f>IF($A226="","", IF($E226&gt;=$D226,"Paid", IF(TODAY()&gt;$C226,"Overdue","Pending")))</f>
        <v/>
      </c>
      <c r="G226" s="6" t="n"/>
      <c r="I226" s="8">
        <f>IF($A226="","", SUMIFS($D$2:$D$801,$A$2:$A$801,$A226) - SUMIFS($E$2:$E$801,$A$2:$A$801,$A226))</f>
        <v/>
      </c>
      <c r="J226">
        <f>IF($F226="Paid",0, IF($C226="","", MAX(0, TODAY()-$C226)))</f>
        <v/>
      </c>
    </row>
    <row r="227">
      <c r="C227" s="6">
        <f>IF(AND($A227&lt;&gt;"",$B227&lt;&gt;""), XLOOKUP($A227,Loan_Register!$A$2:$A$301,Loan_Register!$M$2:$M$301,"") + 7*($B227-1), "")</f>
        <v/>
      </c>
      <c r="D227" s="8">
        <f>IF($A227&lt;&gt;"", XLOOKUP($A227,Loan_Register!$A$2:$A$301,Loan_Register!$N$2:$N$301,""), "")</f>
        <v/>
      </c>
      <c r="E227" s="8" t="n"/>
      <c r="F227">
        <f>IF($A227="","", IF($E227&gt;=$D227,"Paid", IF(TODAY()&gt;$C227,"Overdue","Pending")))</f>
        <v/>
      </c>
      <c r="G227" s="6" t="n"/>
      <c r="I227" s="8">
        <f>IF($A227="","", SUMIFS($D$2:$D$801,$A$2:$A$801,$A227) - SUMIFS($E$2:$E$801,$A$2:$A$801,$A227))</f>
        <v/>
      </c>
      <c r="J227">
        <f>IF($F227="Paid",0, IF($C227="","", MAX(0, TODAY()-$C227)))</f>
        <v/>
      </c>
    </row>
    <row r="228">
      <c r="C228" s="6">
        <f>IF(AND($A228&lt;&gt;"",$B228&lt;&gt;""), XLOOKUP($A228,Loan_Register!$A$2:$A$301,Loan_Register!$M$2:$M$301,"") + 7*($B228-1), "")</f>
        <v/>
      </c>
      <c r="D228" s="8">
        <f>IF($A228&lt;&gt;"", XLOOKUP($A228,Loan_Register!$A$2:$A$301,Loan_Register!$N$2:$N$301,""), "")</f>
        <v/>
      </c>
      <c r="E228" s="8" t="n"/>
      <c r="F228">
        <f>IF($A228="","", IF($E228&gt;=$D228,"Paid", IF(TODAY()&gt;$C228,"Overdue","Pending")))</f>
        <v/>
      </c>
      <c r="G228" s="6" t="n"/>
      <c r="I228" s="8">
        <f>IF($A228="","", SUMIFS($D$2:$D$801,$A$2:$A$801,$A228) - SUMIFS($E$2:$E$801,$A$2:$A$801,$A228))</f>
        <v/>
      </c>
      <c r="J228">
        <f>IF($F228="Paid",0, IF($C228="","", MAX(0, TODAY()-$C228)))</f>
        <v/>
      </c>
    </row>
    <row r="229">
      <c r="C229" s="6">
        <f>IF(AND($A229&lt;&gt;"",$B229&lt;&gt;""), XLOOKUP($A229,Loan_Register!$A$2:$A$301,Loan_Register!$M$2:$M$301,"") + 7*($B229-1), "")</f>
        <v/>
      </c>
      <c r="D229" s="8">
        <f>IF($A229&lt;&gt;"", XLOOKUP($A229,Loan_Register!$A$2:$A$301,Loan_Register!$N$2:$N$301,""), "")</f>
        <v/>
      </c>
      <c r="E229" s="8" t="n"/>
      <c r="F229">
        <f>IF($A229="","", IF($E229&gt;=$D229,"Paid", IF(TODAY()&gt;$C229,"Overdue","Pending")))</f>
        <v/>
      </c>
      <c r="G229" s="6" t="n"/>
      <c r="I229" s="8">
        <f>IF($A229="","", SUMIFS($D$2:$D$801,$A$2:$A$801,$A229) - SUMIFS($E$2:$E$801,$A$2:$A$801,$A229))</f>
        <v/>
      </c>
      <c r="J229">
        <f>IF($F229="Paid",0, IF($C229="","", MAX(0, TODAY()-$C229)))</f>
        <v/>
      </c>
    </row>
    <row r="230">
      <c r="C230" s="6">
        <f>IF(AND($A230&lt;&gt;"",$B230&lt;&gt;""), XLOOKUP($A230,Loan_Register!$A$2:$A$301,Loan_Register!$M$2:$M$301,"") + 7*($B230-1), "")</f>
        <v/>
      </c>
      <c r="D230" s="8">
        <f>IF($A230&lt;&gt;"", XLOOKUP($A230,Loan_Register!$A$2:$A$301,Loan_Register!$N$2:$N$301,""), "")</f>
        <v/>
      </c>
      <c r="E230" s="8" t="n"/>
      <c r="F230">
        <f>IF($A230="","", IF($E230&gt;=$D230,"Paid", IF(TODAY()&gt;$C230,"Overdue","Pending")))</f>
        <v/>
      </c>
      <c r="G230" s="6" t="n"/>
      <c r="I230" s="8">
        <f>IF($A230="","", SUMIFS($D$2:$D$801,$A$2:$A$801,$A230) - SUMIFS($E$2:$E$801,$A$2:$A$801,$A230))</f>
        <v/>
      </c>
      <c r="J230">
        <f>IF($F230="Paid",0, IF($C230="","", MAX(0, TODAY()-$C230)))</f>
        <v/>
      </c>
    </row>
    <row r="231">
      <c r="C231" s="6">
        <f>IF(AND($A231&lt;&gt;"",$B231&lt;&gt;""), XLOOKUP($A231,Loan_Register!$A$2:$A$301,Loan_Register!$M$2:$M$301,"") + 7*($B231-1), "")</f>
        <v/>
      </c>
      <c r="D231" s="8">
        <f>IF($A231&lt;&gt;"", XLOOKUP($A231,Loan_Register!$A$2:$A$301,Loan_Register!$N$2:$N$301,""), "")</f>
        <v/>
      </c>
      <c r="E231" s="8" t="n"/>
      <c r="F231">
        <f>IF($A231="","", IF($E231&gt;=$D231,"Paid", IF(TODAY()&gt;$C231,"Overdue","Pending")))</f>
        <v/>
      </c>
      <c r="G231" s="6" t="n"/>
      <c r="I231" s="8">
        <f>IF($A231="","", SUMIFS($D$2:$D$801,$A$2:$A$801,$A231) - SUMIFS($E$2:$E$801,$A$2:$A$801,$A231))</f>
        <v/>
      </c>
      <c r="J231">
        <f>IF($F231="Paid",0, IF($C231="","", MAX(0, TODAY()-$C231)))</f>
        <v/>
      </c>
    </row>
    <row r="232">
      <c r="C232" s="6">
        <f>IF(AND($A232&lt;&gt;"",$B232&lt;&gt;""), XLOOKUP($A232,Loan_Register!$A$2:$A$301,Loan_Register!$M$2:$M$301,"") + 7*($B232-1), "")</f>
        <v/>
      </c>
      <c r="D232" s="8">
        <f>IF($A232&lt;&gt;"", XLOOKUP($A232,Loan_Register!$A$2:$A$301,Loan_Register!$N$2:$N$301,""), "")</f>
        <v/>
      </c>
      <c r="E232" s="8" t="n"/>
      <c r="F232">
        <f>IF($A232="","", IF($E232&gt;=$D232,"Paid", IF(TODAY()&gt;$C232,"Overdue","Pending")))</f>
        <v/>
      </c>
      <c r="G232" s="6" t="n"/>
      <c r="I232" s="8">
        <f>IF($A232="","", SUMIFS($D$2:$D$801,$A$2:$A$801,$A232) - SUMIFS($E$2:$E$801,$A$2:$A$801,$A232))</f>
        <v/>
      </c>
      <c r="J232">
        <f>IF($F232="Paid",0, IF($C232="","", MAX(0, TODAY()-$C232)))</f>
        <v/>
      </c>
    </row>
    <row r="233">
      <c r="C233" s="6">
        <f>IF(AND($A233&lt;&gt;"",$B233&lt;&gt;""), XLOOKUP($A233,Loan_Register!$A$2:$A$301,Loan_Register!$M$2:$M$301,"") + 7*($B233-1), "")</f>
        <v/>
      </c>
      <c r="D233" s="8">
        <f>IF($A233&lt;&gt;"", XLOOKUP($A233,Loan_Register!$A$2:$A$301,Loan_Register!$N$2:$N$301,""), "")</f>
        <v/>
      </c>
      <c r="E233" s="8" t="n"/>
      <c r="F233">
        <f>IF($A233="","", IF($E233&gt;=$D233,"Paid", IF(TODAY()&gt;$C233,"Overdue","Pending")))</f>
        <v/>
      </c>
      <c r="G233" s="6" t="n"/>
      <c r="I233" s="8">
        <f>IF($A233="","", SUMIFS($D$2:$D$801,$A$2:$A$801,$A233) - SUMIFS($E$2:$E$801,$A$2:$A$801,$A233))</f>
        <v/>
      </c>
      <c r="J233">
        <f>IF($F233="Paid",0, IF($C233="","", MAX(0, TODAY()-$C233)))</f>
        <v/>
      </c>
    </row>
    <row r="234">
      <c r="C234" s="6">
        <f>IF(AND($A234&lt;&gt;"",$B234&lt;&gt;""), XLOOKUP($A234,Loan_Register!$A$2:$A$301,Loan_Register!$M$2:$M$301,"") + 7*($B234-1), "")</f>
        <v/>
      </c>
      <c r="D234" s="8">
        <f>IF($A234&lt;&gt;"", XLOOKUP($A234,Loan_Register!$A$2:$A$301,Loan_Register!$N$2:$N$301,""), "")</f>
        <v/>
      </c>
      <c r="E234" s="8" t="n"/>
      <c r="F234">
        <f>IF($A234="","", IF($E234&gt;=$D234,"Paid", IF(TODAY()&gt;$C234,"Overdue","Pending")))</f>
        <v/>
      </c>
      <c r="G234" s="6" t="n"/>
      <c r="I234" s="8">
        <f>IF($A234="","", SUMIFS($D$2:$D$801,$A$2:$A$801,$A234) - SUMIFS($E$2:$E$801,$A$2:$A$801,$A234))</f>
        <v/>
      </c>
      <c r="J234">
        <f>IF($F234="Paid",0, IF($C234="","", MAX(0, TODAY()-$C234)))</f>
        <v/>
      </c>
    </row>
    <row r="235">
      <c r="C235" s="6">
        <f>IF(AND($A235&lt;&gt;"",$B235&lt;&gt;""), XLOOKUP($A235,Loan_Register!$A$2:$A$301,Loan_Register!$M$2:$M$301,"") + 7*($B235-1), "")</f>
        <v/>
      </c>
      <c r="D235" s="8">
        <f>IF($A235&lt;&gt;"", XLOOKUP($A235,Loan_Register!$A$2:$A$301,Loan_Register!$N$2:$N$301,""), "")</f>
        <v/>
      </c>
      <c r="E235" s="8" t="n"/>
      <c r="F235">
        <f>IF($A235="","", IF($E235&gt;=$D235,"Paid", IF(TODAY()&gt;$C235,"Overdue","Pending")))</f>
        <v/>
      </c>
      <c r="G235" s="6" t="n"/>
      <c r="I235" s="8">
        <f>IF($A235="","", SUMIFS($D$2:$D$801,$A$2:$A$801,$A235) - SUMIFS($E$2:$E$801,$A$2:$A$801,$A235))</f>
        <v/>
      </c>
      <c r="J235">
        <f>IF($F235="Paid",0, IF($C235="","", MAX(0, TODAY()-$C235)))</f>
        <v/>
      </c>
    </row>
    <row r="236">
      <c r="C236" s="6">
        <f>IF(AND($A236&lt;&gt;"",$B236&lt;&gt;""), XLOOKUP($A236,Loan_Register!$A$2:$A$301,Loan_Register!$M$2:$M$301,"") + 7*($B236-1), "")</f>
        <v/>
      </c>
      <c r="D236" s="8">
        <f>IF($A236&lt;&gt;"", XLOOKUP($A236,Loan_Register!$A$2:$A$301,Loan_Register!$N$2:$N$301,""), "")</f>
        <v/>
      </c>
      <c r="E236" s="8" t="n"/>
      <c r="F236">
        <f>IF($A236="","", IF($E236&gt;=$D236,"Paid", IF(TODAY()&gt;$C236,"Overdue","Pending")))</f>
        <v/>
      </c>
      <c r="G236" s="6" t="n"/>
      <c r="I236" s="8">
        <f>IF($A236="","", SUMIFS($D$2:$D$801,$A$2:$A$801,$A236) - SUMIFS($E$2:$E$801,$A$2:$A$801,$A236))</f>
        <v/>
      </c>
      <c r="J236">
        <f>IF($F236="Paid",0, IF($C236="","", MAX(0, TODAY()-$C236)))</f>
        <v/>
      </c>
    </row>
    <row r="237">
      <c r="C237" s="6">
        <f>IF(AND($A237&lt;&gt;"",$B237&lt;&gt;""), XLOOKUP($A237,Loan_Register!$A$2:$A$301,Loan_Register!$M$2:$M$301,"") + 7*($B237-1), "")</f>
        <v/>
      </c>
      <c r="D237" s="8">
        <f>IF($A237&lt;&gt;"", XLOOKUP($A237,Loan_Register!$A$2:$A$301,Loan_Register!$N$2:$N$301,""), "")</f>
        <v/>
      </c>
      <c r="E237" s="8" t="n"/>
      <c r="F237">
        <f>IF($A237="","", IF($E237&gt;=$D237,"Paid", IF(TODAY()&gt;$C237,"Overdue","Pending")))</f>
        <v/>
      </c>
      <c r="G237" s="6" t="n"/>
      <c r="I237" s="8">
        <f>IF($A237="","", SUMIFS($D$2:$D$801,$A$2:$A$801,$A237) - SUMIFS($E$2:$E$801,$A$2:$A$801,$A237))</f>
        <v/>
      </c>
      <c r="J237">
        <f>IF($F237="Paid",0, IF($C237="","", MAX(0, TODAY()-$C237)))</f>
        <v/>
      </c>
    </row>
    <row r="238">
      <c r="C238" s="6">
        <f>IF(AND($A238&lt;&gt;"",$B238&lt;&gt;""), XLOOKUP($A238,Loan_Register!$A$2:$A$301,Loan_Register!$M$2:$M$301,"") + 7*($B238-1), "")</f>
        <v/>
      </c>
      <c r="D238" s="8">
        <f>IF($A238&lt;&gt;"", XLOOKUP($A238,Loan_Register!$A$2:$A$301,Loan_Register!$N$2:$N$301,""), "")</f>
        <v/>
      </c>
      <c r="E238" s="8" t="n"/>
      <c r="F238">
        <f>IF($A238="","", IF($E238&gt;=$D238,"Paid", IF(TODAY()&gt;$C238,"Overdue","Pending")))</f>
        <v/>
      </c>
      <c r="G238" s="6" t="n"/>
      <c r="I238" s="8">
        <f>IF($A238="","", SUMIFS($D$2:$D$801,$A$2:$A$801,$A238) - SUMIFS($E$2:$E$801,$A$2:$A$801,$A238))</f>
        <v/>
      </c>
      <c r="J238">
        <f>IF($F238="Paid",0, IF($C238="","", MAX(0, TODAY()-$C238)))</f>
        <v/>
      </c>
    </row>
    <row r="239">
      <c r="C239" s="6">
        <f>IF(AND($A239&lt;&gt;"",$B239&lt;&gt;""), XLOOKUP($A239,Loan_Register!$A$2:$A$301,Loan_Register!$M$2:$M$301,"") + 7*($B239-1), "")</f>
        <v/>
      </c>
      <c r="D239" s="8">
        <f>IF($A239&lt;&gt;"", XLOOKUP($A239,Loan_Register!$A$2:$A$301,Loan_Register!$N$2:$N$301,""), "")</f>
        <v/>
      </c>
      <c r="E239" s="8" t="n"/>
      <c r="F239">
        <f>IF($A239="","", IF($E239&gt;=$D239,"Paid", IF(TODAY()&gt;$C239,"Overdue","Pending")))</f>
        <v/>
      </c>
      <c r="G239" s="6" t="n"/>
      <c r="I239" s="8">
        <f>IF($A239="","", SUMIFS($D$2:$D$801,$A$2:$A$801,$A239) - SUMIFS($E$2:$E$801,$A$2:$A$801,$A239))</f>
        <v/>
      </c>
      <c r="J239">
        <f>IF($F239="Paid",0, IF($C239="","", MAX(0, TODAY()-$C239)))</f>
        <v/>
      </c>
    </row>
    <row r="240">
      <c r="C240" s="6">
        <f>IF(AND($A240&lt;&gt;"",$B240&lt;&gt;""), XLOOKUP($A240,Loan_Register!$A$2:$A$301,Loan_Register!$M$2:$M$301,"") + 7*($B240-1), "")</f>
        <v/>
      </c>
      <c r="D240" s="8">
        <f>IF($A240&lt;&gt;"", XLOOKUP($A240,Loan_Register!$A$2:$A$301,Loan_Register!$N$2:$N$301,""), "")</f>
        <v/>
      </c>
      <c r="E240" s="8" t="n"/>
      <c r="F240">
        <f>IF($A240="","", IF($E240&gt;=$D240,"Paid", IF(TODAY()&gt;$C240,"Overdue","Pending")))</f>
        <v/>
      </c>
      <c r="G240" s="6" t="n"/>
      <c r="I240" s="8">
        <f>IF($A240="","", SUMIFS($D$2:$D$801,$A$2:$A$801,$A240) - SUMIFS($E$2:$E$801,$A$2:$A$801,$A240))</f>
        <v/>
      </c>
      <c r="J240">
        <f>IF($F240="Paid",0, IF($C240="","", MAX(0, TODAY()-$C240)))</f>
        <v/>
      </c>
    </row>
    <row r="241">
      <c r="C241" s="6">
        <f>IF(AND($A241&lt;&gt;"",$B241&lt;&gt;""), XLOOKUP($A241,Loan_Register!$A$2:$A$301,Loan_Register!$M$2:$M$301,"") + 7*($B241-1), "")</f>
        <v/>
      </c>
      <c r="D241" s="8">
        <f>IF($A241&lt;&gt;"", XLOOKUP($A241,Loan_Register!$A$2:$A$301,Loan_Register!$N$2:$N$301,""), "")</f>
        <v/>
      </c>
      <c r="E241" s="8" t="n"/>
      <c r="F241">
        <f>IF($A241="","", IF($E241&gt;=$D241,"Paid", IF(TODAY()&gt;$C241,"Overdue","Pending")))</f>
        <v/>
      </c>
      <c r="G241" s="6" t="n"/>
      <c r="I241" s="8">
        <f>IF($A241="","", SUMIFS($D$2:$D$801,$A$2:$A$801,$A241) - SUMIFS($E$2:$E$801,$A$2:$A$801,$A241))</f>
        <v/>
      </c>
      <c r="J241">
        <f>IF($F241="Paid",0, IF($C241="","", MAX(0, TODAY()-$C241)))</f>
        <v/>
      </c>
    </row>
    <row r="242">
      <c r="C242" s="6">
        <f>IF(AND($A242&lt;&gt;"",$B242&lt;&gt;""), XLOOKUP($A242,Loan_Register!$A$2:$A$301,Loan_Register!$M$2:$M$301,"") + 7*($B242-1), "")</f>
        <v/>
      </c>
      <c r="D242" s="8">
        <f>IF($A242&lt;&gt;"", XLOOKUP($A242,Loan_Register!$A$2:$A$301,Loan_Register!$N$2:$N$301,""), "")</f>
        <v/>
      </c>
      <c r="E242" s="8" t="n"/>
      <c r="F242">
        <f>IF($A242="","", IF($E242&gt;=$D242,"Paid", IF(TODAY()&gt;$C242,"Overdue","Pending")))</f>
        <v/>
      </c>
      <c r="G242" s="6" t="n"/>
      <c r="I242" s="8">
        <f>IF($A242="","", SUMIFS($D$2:$D$801,$A$2:$A$801,$A242) - SUMIFS($E$2:$E$801,$A$2:$A$801,$A242))</f>
        <v/>
      </c>
      <c r="J242">
        <f>IF($F242="Paid",0, IF($C242="","", MAX(0, TODAY()-$C242)))</f>
        <v/>
      </c>
    </row>
    <row r="243">
      <c r="C243" s="6">
        <f>IF(AND($A243&lt;&gt;"",$B243&lt;&gt;""), XLOOKUP($A243,Loan_Register!$A$2:$A$301,Loan_Register!$M$2:$M$301,"") + 7*($B243-1), "")</f>
        <v/>
      </c>
      <c r="D243" s="8">
        <f>IF($A243&lt;&gt;"", XLOOKUP($A243,Loan_Register!$A$2:$A$301,Loan_Register!$N$2:$N$301,""), "")</f>
        <v/>
      </c>
      <c r="E243" s="8" t="n"/>
      <c r="F243">
        <f>IF($A243="","", IF($E243&gt;=$D243,"Paid", IF(TODAY()&gt;$C243,"Overdue","Pending")))</f>
        <v/>
      </c>
      <c r="G243" s="6" t="n"/>
      <c r="I243" s="8">
        <f>IF($A243="","", SUMIFS($D$2:$D$801,$A$2:$A$801,$A243) - SUMIFS($E$2:$E$801,$A$2:$A$801,$A243))</f>
        <v/>
      </c>
      <c r="J243">
        <f>IF($F243="Paid",0, IF($C243="","", MAX(0, TODAY()-$C243)))</f>
        <v/>
      </c>
    </row>
    <row r="244">
      <c r="C244" s="6">
        <f>IF(AND($A244&lt;&gt;"",$B244&lt;&gt;""), XLOOKUP($A244,Loan_Register!$A$2:$A$301,Loan_Register!$M$2:$M$301,"") + 7*($B244-1), "")</f>
        <v/>
      </c>
      <c r="D244" s="8">
        <f>IF($A244&lt;&gt;"", XLOOKUP($A244,Loan_Register!$A$2:$A$301,Loan_Register!$N$2:$N$301,""), "")</f>
        <v/>
      </c>
      <c r="E244" s="8" t="n"/>
      <c r="F244">
        <f>IF($A244="","", IF($E244&gt;=$D244,"Paid", IF(TODAY()&gt;$C244,"Overdue","Pending")))</f>
        <v/>
      </c>
      <c r="G244" s="6" t="n"/>
      <c r="I244" s="8">
        <f>IF($A244="","", SUMIFS($D$2:$D$801,$A$2:$A$801,$A244) - SUMIFS($E$2:$E$801,$A$2:$A$801,$A244))</f>
        <v/>
      </c>
      <c r="J244">
        <f>IF($F244="Paid",0, IF($C244="","", MAX(0, TODAY()-$C244)))</f>
        <v/>
      </c>
    </row>
    <row r="245">
      <c r="C245" s="6">
        <f>IF(AND($A245&lt;&gt;"",$B245&lt;&gt;""), XLOOKUP($A245,Loan_Register!$A$2:$A$301,Loan_Register!$M$2:$M$301,"") + 7*($B245-1), "")</f>
        <v/>
      </c>
      <c r="D245" s="8">
        <f>IF($A245&lt;&gt;"", XLOOKUP($A245,Loan_Register!$A$2:$A$301,Loan_Register!$N$2:$N$301,""), "")</f>
        <v/>
      </c>
      <c r="E245" s="8" t="n"/>
      <c r="F245">
        <f>IF($A245="","", IF($E245&gt;=$D245,"Paid", IF(TODAY()&gt;$C245,"Overdue","Pending")))</f>
        <v/>
      </c>
      <c r="G245" s="6" t="n"/>
      <c r="I245" s="8">
        <f>IF($A245="","", SUMIFS($D$2:$D$801,$A$2:$A$801,$A245) - SUMIFS($E$2:$E$801,$A$2:$A$801,$A245))</f>
        <v/>
      </c>
      <c r="J245">
        <f>IF($F245="Paid",0, IF($C245="","", MAX(0, TODAY()-$C245)))</f>
        <v/>
      </c>
    </row>
    <row r="246">
      <c r="C246" s="6">
        <f>IF(AND($A246&lt;&gt;"",$B246&lt;&gt;""), XLOOKUP($A246,Loan_Register!$A$2:$A$301,Loan_Register!$M$2:$M$301,"") + 7*($B246-1), "")</f>
        <v/>
      </c>
      <c r="D246" s="8">
        <f>IF($A246&lt;&gt;"", XLOOKUP($A246,Loan_Register!$A$2:$A$301,Loan_Register!$N$2:$N$301,""), "")</f>
        <v/>
      </c>
      <c r="E246" s="8" t="n"/>
      <c r="F246">
        <f>IF($A246="","", IF($E246&gt;=$D246,"Paid", IF(TODAY()&gt;$C246,"Overdue","Pending")))</f>
        <v/>
      </c>
      <c r="G246" s="6" t="n"/>
      <c r="I246" s="8">
        <f>IF($A246="","", SUMIFS($D$2:$D$801,$A$2:$A$801,$A246) - SUMIFS($E$2:$E$801,$A$2:$A$801,$A246))</f>
        <v/>
      </c>
      <c r="J246">
        <f>IF($F246="Paid",0, IF($C246="","", MAX(0, TODAY()-$C246)))</f>
        <v/>
      </c>
    </row>
    <row r="247">
      <c r="C247" s="6">
        <f>IF(AND($A247&lt;&gt;"",$B247&lt;&gt;""), XLOOKUP($A247,Loan_Register!$A$2:$A$301,Loan_Register!$M$2:$M$301,"") + 7*($B247-1), "")</f>
        <v/>
      </c>
      <c r="D247" s="8">
        <f>IF($A247&lt;&gt;"", XLOOKUP($A247,Loan_Register!$A$2:$A$301,Loan_Register!$N$2:$N$301,""), "")</f>
        <v/>
      </c>
      <c r="E247" s="8" t="n"/>
      <c r="F247">
        <f>IF($A247="","", IF($E247&gt;=$D247,"Paid", IF(TODAY()&gt;$C247,"Overdue","Pending")))</f>
        <v/>
      </c>
      <c r="G247" s="6" t="n"/>
      <c r="I247" s="8">
        <f>IF($A247="","", SUMIFS($D$2:$D$801,$A$2:$A$801,$A247) - SUMIFS($E$2:$E$801,$A$2:$A$801,$A247))</f>
        <v/>
      </c>
      <c r="J247">
        <f>IF($F247="Paid",0, IF($C247="","", MAX(0, TODAY()-$C247)))</f>
        <v/>
      </c>
    </row>
    <row r="248">
      <c r="C248" s="6">
        <f>IF(AND($A248&lt;&gt;"",$B248&lt;&gt;""), XLOOKUP($A248,Loan_Register!$A$2:$A$301,Loan_Register!$M$2:$M$301,"") + 7*($B248-1), "")</f>
        <v/>
      </c>
      <c r="D248" s="8">
        <f>IF($A248&lt;&gt;"", XLOOKUP($A248,Loan_Register!$A$2:$A$301,Loan_Register!$N$2:$N$301,""), "")</f>
        <v/>
      </c>
      <c r="E248" s="8" t="n"/>
      <c r="F248">
        <f>IF($A248="","", IF($E248&gt;=$D248,"Paid", IF(TODAY()&gt;$C248,"Overdue","Pending")))</f>
        <v/>
      </c>
      <c r="G248" s="6" t="n"/>
      <c r="I248" s="8">
        <f>IF($A248="","", SUMIFS($D$2:$D$801,$A$2:$A$801,$A248) - SUMIFS($E$2:$E$801,$A$2:$A$801,$A248))</f>
        <v/>
      </c>
      <c r="J248">
        <f>IF($F248="Paid",0, IF($C248="","", MAX(0, TODAY()-$C248)))</f>
        <v/>
      </c>
    </row>
    <row r="249">
      <c r="C249" s="6">
        <f>IF(AND($A249&lt;&gt;"",$B249&lt;&gt;""), XLOOKUP($A249,Loan_Register!$A$2:$A$301,Loan_Register!$M$2:$M$301,"") + 7*($B249-1), "")</f>
        <v/>
      </c>
      <c r="D249" s="8">
        <f>IF($A249&lt;&gt;"", XLOOKUP($A249,Loan_Register!$A$2:$A$301,Loan_Register!$N$2:$N$301,""), "")</f>
        <v/>
      </c>
      <c r="E249" s="8" t="n"/>
      <c r="F249">
        <f>IF($A249="","", IF($E249&gt;=$D249,"Paid", IF(TODAY()&gt;$C249,"Overdue","Pending")))</f>
        <v/>
      </c>
      <c r="G249" s="6" t="n"/>
      <c r="I249" s="8">
        <f>IF($A249="","", SUMIFS($D$2:$D$801,$A$2:$A$801,$A249) - SUMIFS($E$2:$E$801,$A$2:$A$801,$A249))</f>
        <v/>
      </c>
      <c r="J249">
        <f>IF($F249="Paid",0, IF($C249="","", MAX(0, TODAY()-$C249)))</f>
        <v/>
      </c>
    </row>
    <row r="250">
      <c r="C250" s="6">
        <f>IF(AND($A250&lt;&gt;"",$B250&lt;&gt;""), XLOOKUP($A250,Loan_Register!$A$2:$A$301,Loan_Register!$M$2:$M$301,"") + 7*($B250-1), "")</f>
        <v/>
      </c>
      <c r="D250" s="8">
        <f>IF($A250&lt;&gt;"", XLOOKUP($A250,Loan_Register!$A$2:$A$301,Loan_Register!$N$2:$N$301,""), "")</f>
        <v/>
      </c>
      <c r="E250" s="8" t="n"/>
      <c r="F250">
        <f>IF($A250="","", IF($E250&gt;=$D250,"Paid", IF(TODAY()&gt;$C250,"Overdue","Pending")))</f>
        <v/>
      </c>
      <c r="G250" s="6" t="n"/>
      <c r="I250" s="8">
        <f>IF($A250="","", SUMIFS($D$2:$D$801,$A$2:$A$801,$A250) - SUMIFS($E$2:$E$801,$A$2:$A$801,$A250))</f>
        <v/>
      </c>
      <c r="J250">
        <f>IF($F250="Paid",0, IF($C250="","", MAX(0, TODAY()-$C250)))</f>
        <v/>
      </c>
    </row>
    <row r="251">
      <c r="C251" s="6">
        <f>IF(AND($A251&lt;&gt;"",$B251&lt;&gt;""), XLOOKUP($A251,Loan_Register!$A$2:$A$301,Loan_Register!$M$2:$M$301,"") + 7*($B251-1), "")</f>
        <v/>
      </c>
      <c r="D251" s="8">
        <f>IF($A251&lt;&gt;"", XLOOKUP($A251,Loan_Register!$A$2:$A$301,Loan_Register!$N$2:$N$301,""), "")</f>
        <v/>
      </c>
      <c r="E251" s="8" t="n"/>
      <c r="F251">
        <f>IF($A251="","", IF($E251&gt;=$D251,"Paid", IF(TODAY()&gt;$C251,"Overdue","Pending")))</f>
        <v/>
      </c>
      <c r="G251" s="6" t="n"/>
      <c r="I251" s="8">
        <f>IF($A251="","", SUMIFS($D$2:$D$801,$A$2:$A$801,$A251) - SUMIFS($E$2:$E$801,$A$2:$A$801,$A251))</f>
        <v/>
      </c>
      <c r="J251">
        <f>IF($F251="Paid",0, IF($C251="","", MAX(0, TODAY()-$C251)))</f>
        <v/>
      </c>
    </row>
    <row r="252">
      <c r="C252" s="6">
        <f>IF(AND($A252&lt;&gt;"",$B252&lt;&gt;""), XLOOKUP($A252,Loan_Register!$A$2:$A$301,Loan_Register!$M$2:$M$301,"") + 7*($B252-1), "")</f>
        <v/>
      </c>
      <c r="D252" s="8">
        <f>IF($A252&lt;&gt;"", XLOOKUP($A252,Loan_Register!$A$2:$A$301,Loan_Register!$N$2:$N$301,""), "")</f>
        <v/>
      </c>
      <c r="E252" s="8" t="n"/>
      <c r="F252">
        <f>IF($A252="","", IF($E252&gt;=$D252,"Paid", IF(TODAY()&gt;$C252,"Overdue","Pending")))</f>
        <v/>
      </c>
      <c r="G252" s="6" t="n"/>
      <c r="I252" s="8">
        <f>IF($A252="","", SUMIFS($D$2:$D$801,$A$2:$A$801,$A252) - SUMIFS($E$2:$E$801,$A$2:$A$801,$A252))</f>
        <v/>
      </c>
      <c r="J252">
        <f>IF($F252="Paid",0, IF($C252="","", MAX(0, TODAY()-$C252)))</f>
        <v/>
      </c>
    </row>
    <row r="253">
      <c r="C253" s="6">
        <f>IF(AND($A253&lt;&gt;"",$B253&lt;&gt;""), XLOOKUP($A253,Loan_Register!$A$2:$A$301,Loan_Register!$M$2:$M$301,"") + 7*($B253-1), "")</f>
        <v/>
      </c>
      <c r="D253" s="8">
        <f>IF($A253&lt;&gt;"", XLOOKUP($A253,Loan_Register!$A$2:$A$301,Loan_Register!$N$2:$N$301,""), "")</f>
        <v/>
      </c>
      <c r="E253" s="8" t="n"/>
      <c r="F253">
        <f>IF($A253="","", IF($E253&gt;=$D253,"Paid", IF(TODAY()&gt;$C253,"Overdue","Pending")))</f>
        <v/>
      </c>
      <c r="G253" s="6" t="n"/>
      <c r="I253" s="8">
        <f>IF($A253="","", SUMIFS($D$2:$D$801,$A$2:$A$801,$A253) - SUMIFS($E$2:$E$801,$A$2:$A$801,$A253))</f>
        <v/>
      </c>
      <c r="J253">
        <f>IF($F253="Paid",0, IF($C253="","", MAX(0, TODAY()-$C253)))</f>
        <v/>
      </c>
    </row>
    <row r="254">
      <c r="C254" s="6">
        <f>IF(AND($A254&lt;&gt;"",$B254&lt;&gt;""), XLOOKUP($A254,Loan_Register!$A$2:$A$301,Loan_Register!$M$2:$M$301,"") + 7*($B254-1), "")</f>
        <v/>
      </c>
      <c r="D254" s="8">
        <f>IF($A254&lt;&gt;"", XLOOKUP($A254,Loan_Register!$A$2:$A$301,Loan_Register!$N$2:$N$301,""), "")</f>
        <v/>
      </c>
      <c r="E254" s="8" t="n"/>
      <c r="F254">
        <f>IF($A254="","", IF($E254&gt;=$D254,"Paid", IF(TODAY()&gt;$C254,"Overdue","Pending")))</f>
        <v/>
      </c>
      <c r="G254" s="6" t="n"/>
      <c r="I254" s="8">
        <f>IF($A254="","", SUMIFS($D$2:$D$801,$A$2:$A$801,$A254) - SUMIFS($E$2:$E$801,$A$2:$A$801,$A254))</f>
        <v/>
      </c>
      <c r="J254">
        <f>IF($F254="Paid",0, IF($C254="","", MAX(0, TODAY()-$C254)))</f>
        <v/>
      </c>
    </row>
    <row r="255">
      <c r="C255" s="6">
        <f>IF(AND($A255&lt;&gt;"",$B255&lt;&gt;""), XLOOKUP($A255,Loan_Register!$A$2:$A$301,Loan_Register!$M$2:$M$301,"") + 7*($B255-1), "")</f>
        <v/>
      </c>
      <c r="D255" s="8">
        <f>IF($A255&lt;&gt;"", XLOOKUP($A255,Loan_Register!$A$2:$A$301,Loan_Register!$N$2:$N$301,""), "")</f>
        <v/>
      </c>
      <c r="E255" s="8" t="n"/>
      <c r="F255">
        <f>IF($A255="","", IF($E255&gt;=$D255,"Paid", IF(TODAY()&gt;$C255,"Overdue","Pending")))</f>
        <v/>
      </c>
      <c r="G255" s="6" t="n"/>
      <c r="I255" s="8">
        <f>IF($A255="","", SUMIFS($D$2:$D$801,$A$2:$A$801,$A255) - SUMIFS($E$2:$E$801,$A$2:$A$801,$A255))</f>
        <v/>
      </c>
      <c r="J255">
        <f>IF($F255="Paid",0, IF($C255="","", MAX(0, TODAY()-$C255)))</f>
        <v/>
      </c>
    </row>
    <row r="256">
      <c r="C256" s="6">
        <f>IF(AND($A256&lt;&gt;"",$B256&lt;&gt;""), XLOOKUP($A256,Loan_Register!$A$2:$A$301,Loan_Register!$M$2:$M$301,"") + 7*($B256-1), "")</f>
        <v/>
      </c>
      <c r="D256" s="8">
        <f>IF($A256&lt;&gt;"", XLOOKUP($A256,Loan_Register!$A$2:$A$301,Loan_Register!$N$2:$N$301,""), "")</f>
        <v/>
      </c>
      <c r="E256" s="8" t="n"/>
      <c r="F256">
        <f>IF($A256="","", IF($E256&gt;=$D256,"Paid", IF(TODAY()&gt;$C256,"Overdue","Pending")))</f>
        <v/>
      </c>
      <c r="G256" s="6" t="n"/>
      <c r="I256" s="8">
        <f>IF($A256="","", SUMIFS($D$2:$D$801,$A$2:$A$801,$A256) - SUMIFS($E$2:$E$801,$A$2:$A$801,$A256))</f>
        <v/>
      </c>
      <c r="J256">
        <f>IF($F256="Paid",0, IF($C256="","", MAX(0, TODAY()-$C256)))</f>
        <v/>
      </c>
    </row>
    <row r="257">
      <c r="C257" s="6">
        <f>IF(AND($A257&lt;&gt;"",$B257&lt;&gt;""), XLOOKUP($A257,Loan_Register!$A$2:$A$301,Loan_Register!$M$2:$M$301,"") + 7*($B257-1), "")</f>
        <v/>
      </c>
      <c r="D257" s="8">
        <f>IF($A257&lt;&gt;"", XLOOKUP($A257,Loan_Register!$A$2:$A$301,Loan_Register!$N$2:$N$301,""), "")</f>
        <v/>
      </c>
      <c r="E257" s="8" t="n"/>
      <c r="F257">
        <f>IF($A257="","", IF($E257&gt;=$D257,"Paid", IF(TODAY()&gt;$C257,"Overdue","Pending")))</f>
        <v/>
      </c>
      <c r="G257" s="6" t="n"/>
      <c r="I257" s="8">
        <f>IF($A257="","", SUMIFS($D$2:$D$801,$A$2:$A$801,$A257) - SUMIFS($E$2:$E$801,$A$2:$A$801,$A257))</f>
        <v/>
      </c>
      <c r="J257">
        <f>IF($F257="Paid",0, IF($C257="","", MAX(0, TODAY()-$C257)))</f>
        <v/>
      </c>
    </row>
    <row r="258">
      <c r="C258" s="6">
        <f>IF(AND($A258&lt;&gt;"",$B258&lt;&gt;""), XLOOKUP($A258,Loan_Register!$A$2:$A$301,Loan_Register!$M$2:$M$301,"") + 7*($B258-1), "")</f>
        <v/>
      </c>
      <c r="D258" s="8">
        <f>IF($A258&lt;&gt;"", XLOOKUP($A258,Loan_Register!$A$2:$A$301,Loan_Register!$N$2:$N$301,""), "")</f>
        <v/>
      </c>
      <c r="E258" s="8" t="n"/>
      <c r="F258">
        <f>IF($A258="","", IF($E258&gt;=$D258,"Paid", IF(TODAY()&gt;$C258,"Overdue","Pending")))</f>
        <v/>
      </c>
      <c r="G258" s="6" t="n"/>
      <c r="I258" s="8">
        <f>IF($A258="","", SUMIFS($D$2:$D$801,$A$2:$A$801,$A258) - SUMIFS($E$2:$E$801,$A$2:$A$801,$A258))</f>
        <v/>
      </c>
      <c r="J258">
        <f>IF($F258="Paid",0, IF($C258="","", MAX(0, TODAY()-$C258)))</f>
        <v/>
      </c>
    </row>
    <row r="259">
      <c r="C259" s="6">
        <f>IF(AND($A259&lt;&gt;"",$B259&lt;&gt;""), XLOOKUP($A259,Loan_Register!$A$2:$A$301,Loan_Register!$M$2:$M$301,"") + 7*($B259-1), "")</f>
        <v/>
      </c>
      <c r="D259" s="8">
        <f>IF($A259&lt;&gt;"", XLOOKUP($A259,Loan_Register!$A$2:$A$301,Loan_Register!$N$2:$N$301,""), "")</f>
        <v/>
      </c>
      <c r="E259" s="8" t="n"/>
      <c r="F259">
        <f>IF($A259="","", IF($E259&gt;=$D259,"Paid", IF(TODAY()&gt;$C259,"Overdue","Pending")))</f>
        <v/>
      </c>
      <c r="G259" s="6" t="n"/>
      <c r="I259" s="8">
        <f>IF($A259="","", SUMIFS($D$2:$D$801,$A$2:$A$801,$A259) - SUMIFS($E$2:$E$801,$A$2:$A$801,$A259))</f>
        <v/>
      </c>
      <c r="J259">
        <f>IF($F259="Paid",0, IF($C259="","", MAX(0, TODAY()-$C259)))</f>
        <v/>
      </c>
    </row>
    <row r="260">
      <c r="C260" s="6">
        <f>IF(AND($A260&lt;&gt;"",$B260&lt;&gt;""), XLOOKUP($A260,Loan_Register!$A$2:$A$301,Loan_Register!$M$2:$M$301,"") + 7*($B260-1), "")</f>
        <v/>
      </c>
      <c r="D260" s="8">
        <f>IF($A260&lt;&gt;"", XLOOKUP($A260,Loan_Register!$A$2:$A$301,Loan_Register!$N$2:$N$301,""), "")</f>
        <v/>
      </c>
      <c r="E260" s="8" t="n"/>
      <c r="F260">
        <f>IF($A260="","", IF($E260&gt;=$D260,"Paid", IF(TODAY()&gt;$C260,"Overdue","Pending")))</f>
        <v/>
      </c>
      <c r="G260" s="6" t="n"/>
      <c r="I260" s="8">
        <f>IF($A260="","", SUMIFS($D$2:$D$801,$A$2:$A$801,$A260) - SUMIFS($E$2:$E$801,$A$2:$A$801,$A260))</f>
        <v/>
      </c>
      <c r="J260">
        <f>IF($F260="Paid",0, IF($C260="","", MAX(0, TODAY()-$C260)))</f>
        <v/>
      </c>
    </row>
    <row r="261">
      <c r="C261" s="6">
        <f>IF(AND($A261&lt;&gt;"",$B261&lt;&gt;""), XLOOKUP($A261,Loan_Register!$A$2:$A$301,Loan_Register!$M$2:$M$301,"") + 7*($B261-1), "")</f>
        <v/>
      </c>
      <c r="D261" s="8">
        <f>IF($A261&lt;&gt;"", XLOOKUP($A261,Loan_Register!$A$2:$A$301,Loan_Register!$N$2:$N$301,""), "")</f>
        <v/>
      </c>
      <c r="E261" s="8" t="n"/>
      <c r="F261">
        <f>IF($A261="","", IF($E261&gt;=$D261,"Paid", IF(TODAY()&gt;$C261,"Overdue","Pending")))</f>
        <v/>
      </c>
      <c r="G261" s="6" t="n"/>
      <c r="I261" s="8">
        <f>IF($A261="","", SUMIFS($D$2:$D$801,$A$2:$A$801,$A261) - SUMIFS($E$2:$E$801,$A$2:$A$801,$A261))</f>
        <v/>
      </c>
      <c r="J261">
        <f>IF($F261="Paid",0, IF($C261="","", MAX(0, TODAY()-$C261)))</f>
        <v/>
      </c>
    </row>
    <row r="262">
      <c r="C262" s="6">
        <f>IF(AND($A262&lt;&gt;"",$B262&lt;&gt;""), XLOOKUP($A262,Loan_Register!$A$2:$A$301,Loan_Register!$M$2:$M$301,"") + 7*($B262-1), "")</f>
        <v/>
      </c>
      <c r="D262" s="8">
        <f>IF($A262&lt;&gt;"", XLOOKUP($A262,Loan_Register!$A$2:$A$301,Loan_Register!$N$2:$N$301,""), "")</f>
        <v/>
      </c>
      <c r="E262" s="8" t="n"/>
      <c r="F262">
        <f>IF($A262="","", IF($E262&gt;=$D262,"Paid", IF(TODAY()&gt;$C262,"Overdue","Pending")))</f>
        <v/>
      </c>
      <c r="G262" s="6" t="n"/>
      <c r="I262" s="8">
        <f>IF($A262="","", SUMIFS($D$2:$D$801,$A$2:$A$801,$A262) - SUMIFS($E$2:$E$801,$A$2:$A$801,$A262))</f>
        <v/>
      </c>
      <c r="J262">
        <f>IF($F262="Paid",0, IF($C262="","", MAX(0, TODAY()-$C262)))</f>
        <v/>
      </c>
    </row>
    <row r="263">
      <c r="C263" s="6">
        <f>IF(AND($A263&lt;&gt;"",$B263&lt;&gt;""), XLOOKUP($A263,Loan_Register!$A$2:$A$301,Loan_Register!$M$2:$M$301,"") + 7*($B263-1), "")</f>
        <v/>
      </c>
      <c r="D263" s="8">
        <f>IF($A263&lt;&gt;"", XLOOKUP($A263,Loan_Register!$A$2:$A$301,Loan_Register!$N$2:$N$301,""), "")</f>
        <v/>
      </c>
      <c r="E263" s="8" t="n"/>
      <c r="F263">
        <f>IF($A263="","", IF($E263&gt;=$D263,"Paid", IF(TODAY()&gt;$C263,"Overdue","Pending")))</f>
        <v/>
      </c>
      <c r="G263" s="6" t="n"/>
      <c r="I263" s="8">
        <f>IF($A263="","", SUMIFS($D$2:$D$801,$A$2:$A$801,$A263) - SUMIFS($E$2:$E$801,$A$2:$A$801,$A263))</f>
        <v/>
      </c>
      <c r="J263">
        <f>IF($F263="Paid",0, IF($C263="","", MAX(0, TODAY()-$C263)))</f>
        <v/>
      </c>
    </row>
    <row r="264">
      <c r="C264" s="6">
        <f>IF(AND($A264&lt;&gt;"",$B264&lt;&gt;""), XLOOKUP($A264,Loan_Register!$A$2:$A$301,Loan_Register!$M$2:$M$301,"") + 7*($B264-1), "")</f>
        <v/>
      </c>
      <c r="D264" s="8">
        <f>IF($A264&lt;&gt;"", XLOOKUP($A264,Loan_Register!$A$2:$A$301,Loan_Register!$N$2:$N$301,""), "")</f>
        <v/>
      </c>
      <c r="E264" s="8" t="n"/>
      <c r="F264">
        <f>IF($A264="","", IF($E264&gt;=$D264,"Paid", IF(TODAY()&gt;$C264,"Overdue","Pending")))</f>
        <v/>
      </c>
      <c r="G264" s="6" t="n"/>
      <c r="I264" s="8">
        <f>IF($A264="","", SUMIFS($D$2:$D$801,$A$2:$A$801,$A264) - SUMIFS($E$2:$E$801,$A$2:$A$801,$A264))</f>
        <v/>
      </c>
      <c r="J264">
        <f>IF($F264="Paid",0, IF($C264="","", MAX(0, TODAY()-$C264)))</f>
        <v/>
      </c>
    </row>
    <row r="265">
      <c r="C265" s="6">
        <f>IF(AND($A265&lt;&gt;"",$B265&lt;&gt;""), XLOOKUP($A265,Loan_Register!$A$2:$A$301,Loan_Register!$M$2:$M$301,"") + 7*($B265-1), "")</f>
        <v/>
      </c>
      <c r="D265" s="8">
        <f>IF($A265&lt;&gt;"", XLOOKUP($A265,Loan_Register!$A$2:$A$301,Loan_Register!$N$2:$N$301,""), "")</f>
        <v/>
      </c>
      <c r="E265" s="8" t="n"/>
      <c r="F265">
        <f>IF($A265="","", IF($E265&gt;=$D265,"Paid", IF(TODAY()&gt;$C265,"Overdue","Pending")))</f>
        <v/>
      </c>
      <c r="G265" s="6" t="n"/>
      <c r="I265" s="8">
        <f>IF($A265="","", SUMIFS($D$2:$D$801,$A$2:$A$801,$A265) - SUMIFS($E$2:$E$801,$A$2:$A$801,$A265))</f>
        <v/>
      </c>
      <c r="J265">
        <f>IF($F265="Paid",0, IF($C265="","", MAX(0, TODAY()-$C265)))</f>
        <v/>
      </c>
    </row>
    <row r="266">
      <c r="C266" s="6">
        <f>IF(AND($A266&lt;&gt;"",$B266&lt;&gt;""), XLOOKUP($A266,Loan_Register!$A$2:$A$301,Loan_Register!$M$2:$M$301,"") + 7*($B266-1), "")</f>
        <v/>
      </c>
      <c r="D266" s="8">
        <f>IF($A266&lt;&gt;"", XLOOKUP($A266,Loan_Register!$A$2:$A$301,Loan_Register!$N$2:$N$301,""), "")</f>
        <v/>
      </c>
      <c r="E266" s="8" t="n"/>
      <c r="F266">
        <f>IF($A266="","", IF($E266&gt;=$D266,"Paid", IF(TODAY()&gt;$C266,"Overdue","Pending")))</f>
        <v/>
      </c>
      <c r="G266" s="6" t="n"/>
      <c r="I266" s="8">
        <f>IF($A266="","", SUMIFS($D$2:$D$801,$A$2:$A$801,$A266) - SUMIFS($E$2:$E$801,$A$2:$A$801,$A266))</f>
        <v/>
      </c>
      <c r="J266">
        <f>IF($F266="Paid",0, IF($C266="","", MAX(0, TODAY()-$C266)))</f>
        <v/>
      </c>
    </row>
    <row r="267">
      <c r="C267" s="6">
        <f>IF(AND($A267&lt;&gt;"",$B267&lt;&gt;""), XLOOKUP($A267,Loan_Register!$A$2:$A$301,Loan_Register!$M$2:$M$301,"") + 7*($B267-1), "")</f>
        <v/>
      </c>
      <c r="D267" s="8">
        <f>IF($A267&lt;&gt;"", XLOOKUP($A267,Loan_Register!$A$2:$A$301,Loan_Register!$N$2:$N$301,""), "")</f>
        <v/>
      </c>
      <c r="E267" s="8" t="n"/>
      <c r="F267">
        <f>IF($A267="","", IF($E267&gt;=$D267,"Paid", IF(TODAY()&gt;$C267,"Overdue","Pending")))</f>
        <v/>
      </c>
      <c r="G267" s="6" t="n"/>
      <c r="I267" s="8">
        <f>IF($A267="","", SUMIFS($D$2:$D$801,$A$2:$A$801,$A267) - SUMIFS($E$2:$E$801,$A$2:$A$801,$A267))</f>
        <v/>
      </c>
      <c r="J267">
        <f>IF($F267="Paid",0, IF($C267="","", MAX(0, TODAY()-$C267)))</f>
        <v/>
      </c>
    </row>
    <row r="268">
      <c r="C268" s="6">
        <f>IF(AND($A268&lt;&gt;"",$B268&lt;&gt;""), XLOOKUP($A268,Loan_Register!$A$2:$A$301,Loan_Register!$M$2:$M$301,"") + 7*($B268-1), "")</f>
        <v/>
      </c>
      <c r="D268" s="8">
        <f>IF($A268&lt;&gt;"", XLOOKUP($A268,Loan_Register!$A$2:$A$301,Loan_Register!$N$2:$N$301,""), "")</f>
        <v/>
      </c>
      <c r="E268" s="8" t="n"/>
      <c r="F268">
        <f>IF($A268="","", IF($E268&gt;=$D268,"Paid", IF(TODAY()&gt;$C268,"Overdue","Pending")))</f>
        <v/>
      </c>
      <c r="G268" s="6" t="n"/>
      <c r="I268" s="8">
        <f>IF($A268="","", SUMIFS($D$2:$D$801,$A$2:$A$801,$A268) - SUMIFS($E$2:$E$801,$A$2:$A$801,$A268))</f>
        <v/>
      </c>
      <c r="J268">
        <f>IF($F268="Paid",0, IF($C268="","", MAX(0, TODAY()-$C268)))</f>
        <v/>
      </c>
    </row>
    <row r="269">
      <c r="C269" s="6">
        <f>IF(AND($A269&lt;&gt;"",$B269&lt;&gt;""), XLOOKUP($A269,Loan_Register!$A$2:$A$301,Loan_Register!$M$2:$M$301,"") + 7*($B269-1), "")</f>
        <v/>
      </c>
      <c r="D269" s="8">
        <f>IF($A269&lt;&gt;"", XLOOKUP($A269,Loan_Register!$A$2:$A$301,Loan_Register!$N$2:$N$301,""), "")</f>
        <v/>
      </c>
      <c r="E269" s="8" t="n"/>
      <c r="F269">
        <f>IF($A269="","", IF($E269&gt;=$D269,"Paid", IF(TODAY()&gt;$C269,"Overdue","Pending")))</f>
        <v/>
      </c>
      <c r="G269" s="6" t="n"/>
      <c r="I269" s="8">
        <f>IF($A269="","", SUMIFS($D$2:$D$801,$A$2:$A$801,$A269) - SUMIFS($E$2:$E$801,$A$2:$A$801,$A269))</f>
        <v/>
      </c>
      <c r="J269">
        <f>IF($F269="Paid",0, IF($C269="","", MAX(0, TODAY()-$C269)))</f>
        <v/>
      </c>
    </row>
    <row r="270">
      <c r="C270" s="6">
        <f>IF(AND($A270&lt;&gt;"",$B270&lt;&gt;""), XLOOKUP($A270,Loan_Register!$A$2:$A$301,Loan_Register!$M$2:$M$301,"") + 7*($B270-1), "")</f>
        <v/>
      </c>
      <c r="D270" s="8">
        <f>IF($A270&lt;&gt;"", XLOOKUP($A270,Loan_Register!$A$2:$A$301,Loan_Register!$N$2:$N$301,""), "")</f>
        <v/>
      </c>
      <c r="E270" s="8" t="n"/>
      <c r="F270">
        <f>IF($A270="","", IF($E270&gt;=$D270,"Paid", IF(TODAY()&gt;$C270,"Overdue","Pending")))</f>
        <v/>
      </c>
      <c r="G270" s="6" t="n"/>
      <c r="I270" s="8">
        <f>IF($A270="","", SUMIFS($D$2:$D$801,$A$2:$A$801,$A270) - SUMIFS($E$2:$E$801,$A$2:$A$801,$A270))</f>
        <v/>
      </c>
      <c r="J270">
        <f>IF($F270="Paid",0, IF($C270="","", MAX(0, TODAY()-$C270)))</f>
        <v/>
      </c>
    </row>
    <row r="271">
      <c r="C271" s="6">
        <f>IF(AND($A271&lt;&gt;"",$B271&lt;&gt;""), XLOOKUP($A271,Loan_Register!$A$2:$A$301,Loan_Register!$M$2:$M$301,"") + 7*($B271-1), "")</f>
        <v/>
      </c>
      <c r="D271" s="8">
        <f>IF($A271&lt;&gt;"", XLOOKUP($A271,Loan_Register!$A$2:$A$301,Loan_Register!$N$2:$N$301,""), "")</f>
        <v/>
      </c>
      <c r="E271" s="8" t="n"/>
      <c r="F271">
        <f>IF($A271="","", IF($E271&gt;=$D271,"Paid", IF(TODAY()&gt;$C271,"Overdue","Pending")))</f>
        <v/>
      </c>
      <c r="G271" s="6" t="n"/>
      <c r="I271" s="8">
        <f>IF($A271="","", SUMIFS($D$2:$D$801,$A$2:$A$801,$A271) - SUMIFS($E$2:$E$801,$A$2:$A$801,$A271))</f>
        <v/>
      </c>
      <c r="J271">
        <f>IF($F271="Paid",0, IF($C271="","", MAX(0, TODAY()-$C271)))</f>
        <v/>
      </c>
    </row>
    <row r="272">
      <c r="C272" s="6">
        <f>IF(AND($A272&lt;&gt;"",$B272&lt;&gt;""), XLOOKUP($A272,Loan_Register!$A$2:$A$301,Loan_Register!$M$2:$M$301,"") + 7*($B272-1), "")</f>
        <v/>
      </c>
      <c r="D272" s="8">
        <f>IF($A272&lt;&gt;"", XLOOKUP($A272,Loan_Register!$A$2:$A$301,Loan_Register!$N$2:$N$301,""), "")</f>
        <v/>
      </c>
      <c r="E272" s="8" t="n"/>
      <c r="F272">
        <f>IF($A272="","", IF($E272&gt;=$D272,"Paid", IF(TODAY()&gt;$C272,"Overdue","Pending")))</f>
        <v/>
      </c>
      <c r="G272" s="6" t="n"/>
      <c r="I272" s="8">
        <f>IF($A272="","", SUMIFS($D$2:$D$801,$A$2:$A$801,$A272) - SUMIFS($E$2:$E$801,$A$2:$A$801,$A272))</f>
        <v/>
      </c>
      <c r="J272">
        <f>IF($F272="Paid",0, IF($C272="","", MAX(0, TODAY()-$C272)))</f>
        <v/>
      </c>
    </row>
    <row r="273">
      <c r="C273" s="6">
        <f>IF(AND($A273&lt;&gt;"",$B273&lt;&gt;""), XLOOKUP($A273,Loan_Register!$A$2:$A$301,Loan_Register!$M$2:$M$301,"") + 7*($B273-1), "")</f>
        <v/>
      </c>
      <c r="D273" s="8">
        <f>IF($A273&lt;&gt;"", XLOOKUP($A273,Loan_Register!$A$2:$A$301,Loan_Register!$N$2:$N$301,""), "")</f>
        <v/>
      </c>
      <c r="E273" s="8" t="n"/>
      <c r="F273">
        <f>IF($A273="","", IF($E273&gt;=$D273,"Paid", IF(TODAY()&gt;$C273,"Overdue","Pending")))</f>
        <v/>
      </c>
      <c r="G273" s="6" t="n"/>
      <c r="I273" s="8">
        <f>IF($A273="","", SUMIFS($D$2:$D$801,$A$2:$A$801,$A273) - SUMIFS($E$2:$E$801,$A$2:$A$801,$A273))</f>
        <v/>
      </c>
      <c r="J273">
        <f>IF($F273="Paid",0, IF($C273="","", MAX(0, TODAY()-$C273)))</f>
        <v/>
      </c>
    </row>
    <row r="274">
      <c r="C274" s="6">
        <f>IF(AND($A274&lt;&gt;"",$B274&lt;&gt;""), XLOOKUP($A274,Loan_Register!$A$2:$A$301,Loan_Register!$M$2:$M$301,"") + 7*($B274-1), "")</f>
        <v/>
      </c>
      <c r="D274" s="8">
        <f>IF($A274&lt;&gt;"", XLOOKUP($A274,Loan_Register!$A$2:$A$301,Loan_Register!$N$2:$N$301,""), "")</f>
        <v/>
      </c>
      <c r="E274" s="8" t="n"/>
      <c r="F274">
        <f>IF($A274="","", IF($E274&gt;=$D274,"Paid", IF(TODAY()&gt;$C274,"Overdue","Pending")))</f>
        <v/>
      </c>
      <c r="G274" s="6" t="n"/>
      <c r="I274" s="8">
        <f>IF($A274="","", SUMIFS($D$2:$D$801,$A$2:$A$801,$A274) - SUMIFS($E$2:$E$801,$A$2:$A$801,$A274))</f>
        <v/>
      </c>
      <c r="J274">
        <f>IF($F274="Paid",0, IF($C274="","", MAX(0, TODAY()-$C274)))</f>
        <v/>
      </c>
    </row>
    <row r="275">
      <c r="C275" s="6">
        <f>IF(AND($A275&lt;&gt;"",$B275&lt;&gt;""), XLOOKUP($A275,Loan_Register!$A$2:$A$301,Loan_Register!$M$2:$M$301,"") + 7*($B275-1), "")</f>
        <v/>
      </c>
      <c r="D275" s="8">
        <f>IF($A275&lt;&gt;"", XLOOKUP($A275,Loan_Register!$A$2:$A$301,Loan_Register!$N$2:$N$301,""), "")</f>
        <v/>
      </c>
      <c r="E275" s="8" t="n"/>
      <c r="F275">
        <f>IF($A275="","", IF($E275&gt;=$D275,"Paid", IF(TODAY()&gt;$C275,"Overdue","Pending")))</f>
        <v/>
      </c>
      <c r="G275" s="6" t="n"/>
      <c r="I275" s="8">
        <f>IF($A275="","", SUMIFS($D$2:$D$801,$A$2:$A$801,$A275) - SUMIFS($E$2:$E$801,$A$2:$A$801,$A275))</f>
        <v/>
      </c>
      <c r="J275">
        <f>IF($F275="Paid",0, IF($C275="","", MAX(0, TODAY()-$C275)))</f>
        <v/>
      </c>
    </row>
    <row r="276">
      <c r="C276" s="6">
        <f>IF(AND($A276&lt;&gt;"",$B276&lt;&gt;""), XLOOKUP($A276,Loan_Register!$A$2:$A$301,Loan_Register!$M$2:$M$301,"") + 7*($B276-1), "")</f>
        <v/>
      </c>
      <c r="D276" s="8">
        <f>IF($A276&lt;&gt;"", XLOOKUP($A276,Loan_Register!$A$2:$A$301,Loan_Register!$N$2:$N$301,""), "")</f>
        <v/>
      </c>
      <c r="E276" s="8" t="n"/>
      <c r="F276">
        <f>IF($A276="","", IF($E276&gt;=$D276,"Paid", IF(TODAY()&gt;$C276,"Overdue","Pending")))</f>
        <v/>
      </c>
      <c r="G276" s="6" t="n"/>
      <c r="I276" s="8">
        <f>IF($A276="","", SUMIFS($D$2:$D$801,$A$2:$A$801,$A276) - SUMIFS($E$2:$E$801,$A$2:$A$801,$A276))</f>
        <v/>
      </c>
      <c r="J276">
        <f>IF($F276="Paid",0, IF($C276="","", MAX(0, TODAY()-$C276)))</f>
        <v/>
      </c>
    </row>
    <row r="277">
      <c r="C277" s="6">
        <f>IF(AND($A277&lt;&gt;"",$B277&lt;&gt;""), XLOOKUP($A277,Loan_Register!$A$2:$A$301,Loan_Register!$M$2:$M$301,"") + 7*($B277-1), "")</f>
        <v/>
      </c>
      <c r="D277" s="8">
        <f>IF($A277&lt;&gt;"", XLOOKUP($A277,Loan_Register!$A$2:$A$301,Loan_Register!$N$2:$N$301,""), "")</f>
        <v/>
      </c>
      <c r="E277" s="8" t="n"/>
      <c r="F277">
        <f>IF($A277="","", IF($E277&gt;=$D277,"Paid", IF(TODAY()&gt;$C277,"Overdue","Pending")))</f>
        <v/>
      </c>
      <c r="G277" s="6" t="n"/>
      <c r="I277" s="8">
        <f>IF($A277="","", SUMIFS($D$2:$D$801,$A$2:$A$801,$A277) - SUMIFS($E$2:$E$801,$A$2:$A$801,$A277))</f>
        <v/>
      </c>
      <c r="J277">
        <f>IF($F277="Paid",0, IF($C277="","", MAX(0, TODAY()-$C277)))</f>
        <v/>
      </c>
    </row>
    <row r="278">
      <c r="C278" s="6">
        <f>IF(AND($A278&lt;&gt;"",$B278&lt;&gt;""), XLOOKUP($A278,Loan_Register!$A$2:$A$301,Loan_Register!$M$2:$M$301,"") + 7*($B278-1), "")</f>
        <v/>
      </c>
      <c r="D278" s="8">
        <f>IF($A278&lt;&gt;"", XLOOKUP($A278,Loan_Register!$A$2:$A$301,Loan_Register!$N$2:$N$301,""), "")</f>
        <v/>
      </c>
      <c r="E278" s="8" t="n"/>
      <c r="F278">
        <f>IF($A278="","", IF($E278&gt;=$D278,"Paid", IF(TODAY()&gt;$C278,"Overdue","Pending")))</f>
        <v/>
      </c>
      <c r="G278" s="6" t="n"/>
      <c r="I278" s="8">
        <f>IF($A278="","", SUMIFS($D$2:$D$801,$A$2:$A$801,$A278) - SUMIFS($E$2:$E$801,$A$2:$A$801,$A278))</f>
        <v/>
      </c>
      <c r="J278">
        <f>IF($F278="Paid",0, IF($C278="","", MAX(0, TODAY()-$C278)))</f>
        <v/>
      </c>
    </row>
    <row r="279">
      <c r="C279" s="6">
        <f>IF(AND($A279&lt;&gt;"",$B279&lt;&gt;""), XLOOKUP($A279,Loan_Register!$A$2:$A$301,Loan_Register!$M$2:$M$301,"") + 7*($B279-1), "")</f>
        <v/>
      </c>
      <c r="D279" s="8">
        <f>IF($A279&lt;&gt;"", XLOOKUP($A279,Loan_Register!$A$2:$A$301,Loan_Register!$N$2:$N$301,""), "")</f>
        <v/>
      </c>
      <c r="E279" s="8" t="n"/>
      <c r="F279">
        <f>IF($A279="","", IF($E279&gt;=$D279,"Paid", IF(TODAY()&gt;$C279,"Overdue","Pending")))</f>
        <v/>
      </c>
      <c r="G279" s="6" t="n"/>
      <c r="I279" s="8">
        <f>IF($A279="","", SUMIFS($D$2:$D$801,$A$2:$A$801,$A279) - SUMIFS($E$2:$E$801,$A$2:$A$801,$A279))</f>
        <v/>
      </c>
      <c r="J279">
        <f>IF($F279="Paid",0, IF($C279="","", MAX(0, TODAY()-$C279)))</f>
        <v/>
      </c>
    </row>
    <row r="280">
      <c r="C280" s="6">
        <f>IF(AND($A280&lt;&gt;"",$B280&lt;&gt;""), XLOOKUP($A280,Loan_Register!$A$2:$A$301,Loan_Register!$M$2:$M$301,"") + 7*($B280-1), "")</f>
        <v/>
      </c>
      <c r="D280" s="8">
        <f>IF($A280&lt;&gt;"", XLOOKUP($A280,Loan_Register!$A$2:$A$301,Loan_Register!$N$2:$N$301,""), "")</f>
        <v/>
      </c>
      <c r="E280" s="8" t="n"/>
      <c r="F280">
        <f>IF($A280="","", IF($E280&gt;=$D280,"Paid", IF(TODAY()&gt;$C280,"Overdue","Pending")))</f>
        <v/>
      </c>
      <c r="G280" s="6" t="n"/>
      <c r="I280" s="8">
        <f>IF($A280="","", SUMIFS($D$2:$D$801,$A$2:$A$801,$A280) - SUMIFS($E$2:$E$801,$A$2:$A$801,$A280))</f>
        <v/>
      </c>
      <c r="J280">
        <f>IF($F280="Paid",0, IF($C280="","", MAX(0, TODAY()-$C280)))</f>
        <v/>
      </c>
    </row>
    <row r="281">
      <c r="C281" s="6">
        <f>IF(AND($A281&lt;&gt;"",$B281&lt;&gt;""), XLOOKUP($A281,Loan_Register!$A$2:$A$301,Loan_Register!$M$2:$M$301,"") + 7*($B281-1), "")</f>
        <v/>
      </c>
      <c r="D281" s="8">
        <f>IF($A281&lt;&gt;"", XLOOKUP($A281,Loan_Register!$A$2:$A$301,Loan_Register!$N$2:$N$301,""), "")</f>
        <v/>
      </c>
      <c r="E281" s="8" t="n"/>
      <c r="F281">
        <f>IF($A281="","", IF($E281&gt;=$D281,"Paid", IF(TODAY()&gt;$C281,"Overdue","Pending")))</f>
        <v/>
      </c>
      <c r="G281" s="6" t="n"/>
      <c r="I281" s="8">
        <f>IF($A281="","", SUMIFS($D$2:$D$801,$A$2:$A$801,$A281) - SUMIFS($E$2:$E$801,$A$2:$A$801,$A281))</f>
        <v/>
      </c>
      <c r="J281">
        <f>IF($F281="Paid",0, IF($C281="","", MAX(0, TODAY()-$C281)))</f>
        <v/>
      </c>
    </row>
    <row r="282">
      <c r="C282" s="6">
        <f>IF(AND($A282&lt;&gt;"",$B282&lt;&gt;""), XLOOKUP($A282,Loan_Register!$A$2:$A$301,Loan_Register!$M$2:$M$301,"") + 7*($B282-1), "")</f>
        <v/>
      </c>
      <c r="D282" s="8">
        <f>IF($A282&lt;&gt;"", XLOOKUP($A282,Loan_Register!$A$2:$A$301,Loan_Register!$N$2:$N$301,""), "")</f>
        <v/>
      </c>
      <c r="E282" s="8" t="n"/>
      <c r="F282">
        <f>IF($A282="","", IF($E282&gt;=$D282,"Paid", IF(TODAY()&gt;$C282,"Overdue","Pending")))</f>
        <v/>
      </c>
      <c r="G282" s="6" t="n"/>
      <c r="I282" s="8">
        <f>IF($A282="","", SUMIFS($D$2:$D$801,$A$2:$A$801,$A282) - SUMIFS($E$2:$E$801,$A$2:$A$801,$A282))</f>
        <v/>
      </c>
      <c r="J282">
        <f>IF($F282="Paid",0, IF($C282="","", MAX(0, TODAY()-$C282)))</f>
        <v/>
      </c>
    </row>
    <row r="283">
      <c r="C283" s="6">
        <f>IF(AND($A283&lt;&gt;"",$B283&lt;&gt;""), XLOOKUP($A283,Loan_Register!$A$2:$A$301,Loan_Register!$M$2:$M$301,"") + 7*($B283-1), "")</f>
        <v/>
      </c>
      <c r="D283" s="8">
        <f>IF($A283&lt;&gt;"", XLOOKUP($A283,Loan_Register!$A$2:$A$301,Loan_Register!$N$2:$N$301,""), "")</f>
        <v/>
      </c>
      <c r="E283" s="8" t="n"/>
      <c r="F283">
        <f>IF($A283="","", IF($E283&gt;=$D283,"Paid", IF(TODAY()&gt;$C283,"Overdue","Pending")))</f>
        <v/>
      </c>
      <c r="G283" s="6" t="n"/>
      <c r="I283" s="8">
        <f>IF($A283="","", SUMIFS($D$2:$D$801,$A$2:$A$801,$A283) - SUMIFS($E$2:$E$801,$A$2:$A$801,$A283))</f>
        <v/>
      </c>
      <c r="J283">
        <f>IF($F283="Paid",0, IF($C283="","", MAX(0, TODAY()-$C283)))</f>
        <v/>
      </c>
    </row>
    <row r="284">
      <c r="C284" s="6">
        <f>IF(AND($A284&lt;&gt;"",$B284&lt;&gt;""), XLOOKUP($A284,Loan_Register!$A$2:$A$301,Loan_Register!$M$2:$M$301,"") + 7*($B284-1), "")</f>
        <v/>
      </c>
      <c r="D284" s="8">
        <f>IF($A284&lt;&gt;"", XLOOKUP($A284,Loan_Register!$A$2:$A$301,Loan_Register!$N$2:$N$301,""), "")</f>
        <v/>
      </c>
      <c r="E284" s="8" t="n"/>
      <c r="F284">
        <f>IF($A284="","", IF($E284&gt;=$D284,"Paid", IF(TODAY()&gt;$C284,"Overdue","Pending")))</f>
        <v/>
      </c>
      <c r="G284" s="6" t="n"/>
      <c r="I284" s="8">
        <f>IF($A284="","", SUMIFS($D$2:$D$801,$A$2:$A$801,$A284) - SUMIFS($E$2:$E$801,$A$2:$A$801,$A284))</f>
        <v/>
      </c>
      <c r="J284">
        <f>IF($F284="Paid",0, IF($C284="","", MAX(0, TODAY()-$C284)))</f>
        <v/>
      </c>
    </row>
    <row r="285">
      <c r="C285" s="6">
        <f>IF(AND($A285&lt;&gt;"",$B285&lt;&gt;""), XLOOKUP($A285,Loan_Register!$A$2:$A$301,Loan_Register!$M$2:$M$301,"") + 7*($B285-1), "")</f>
        <v/>
      </c>
      <c r="D285" s="8">
        <f>IF($A285&lt;&gt;"", XLOOKUP($A285,Loan_Register!$A$2:$A$301,Loan_Register!$N$2:$N$301,""), "")</f>
        <v/>
      </c>
      <c r="E285" s="8" t="n"/>
      <c r="F285">
        <f>IF($A285="","", IF($E285&gt;=$D285,"Paid", IF(TODAY()&gt;$C285,"Overdue","Pending")))</f>
        <v/>
      </c>
      <c r="G285" s="6" t="n"/>
      <c r="I285" s="8">
        <f>IF($A285="","", SUMIFS($D$2:$D$801,$A$2:$A$801,$A285) - SUMIFS($E$2:$E$801,$A$2:$A$801,$A285))</f>
        <v/>
      </c>
      <c r="J285">
        <f>IF($F285="Paid",0, IF($C285="","", MAX(0, TODAY()-$C285)))</f>
        <v/>
      </c>
    </row>
    <row r="286">
      <c r="C286" s="6">
        <f>IF(AND($A286&lt;&gt;"",$B286&lt;&gt;""), XLOOKUP($A286,Loan_Register!$A$2:$A$301,Loan_Register!$M$2:$M$301,"") + 7*($B286-1), "")</f>
        <v/>
      </c>
      <c r="D286" s="8">
        <f>IF($A286&lt;&gt;"", XLOOKUP($A286,Loan_Register!$A$2:$A$301,Loan_Register!$N$2:$N$301,""), "")</f>
        <v/>
      </c>
      <c r="E286" s="8" t="n"/>
      <c r="F286">
        <f>IF($A286="","", IF($E286&gt;=$D286,"Paid", IF(TODAY()&gt;$C286,"Overdue","Pending")))</f>
        <v/>
      </c>
      <c r="G286" s="6" t="n"/>
      <c r="I286" s="8">
        <f>IF($A286="","", SUMIFS($D$2:$D$801,$A$2:$A$801,$A286) - SUMIFS($E$2:$E$801,$A$2:$A$801,$A286))</f>
        <v/>
      </c>
      <c r="J286">
        <f>IF($F286="Paid",0, IF($C286="","", MAX(0, TODAY()-$C286)))</f>
        <v/>
      </c>
    </row>
    <row r="287">
      <c r="C287" s="6">
        <f>IF(AND($A287&lt;&gt;"",$B287&lt;&gt;""), XLOOKUP($A287,Loan_Register!$A$2:$A$301,Loan_Register!$M$2:$M$301,"") + 7*($B287-1), "")</f>
        <v/>
      </c>
      <c r="D287" s="8">
        <f>IF($A287&lt;&gt;"", XLOOKUP($A287,Loan_Register!$A$2:$A$301,Loan_Register!$N$2:$N$301,""), "")</f>
        <v/>
      </c>
      <c r="E287" s="8" t="n"/>
      <c r="F287">
        <f>IF($A287="","", IF($E287&gt;=$D287,"Paid", IF(TODAY()&gt;$C287,"Overdue","Pending")))</f>
        <v/>
      </c>
      <c r="G287" s="6" t="n"/>
      <c r="I287" s="8">
        <f>IF($A287="","", SUMIFS($D$2:$D$801,$A$2:$A$801,$A287) - SUMIFS($E$2:$E$801,$A$2:$A$801,$A287))</f>
        <v/>
      </c>
      <c r="J287">
        <f>IF($F287="Paid",0, IF($C287="","", MAX(0, TODAY()-$C287)))</f>
        <v/>
      </c>
    </row>
    <row r="288">
      <c r="C288" s="6">
        <f>IF(AND($A288&lt;&gt;"",$B288&lt;&gt;""), XLOOKUP($A288,Loan_Register!$A$2:$A$301,Loan_Register!$M$2:$M$301,"") + 7*($B288-1), "")</f>
        <v/>
      </c>
      <c r="D288" s="8">
        <f>IF($A288&lt;&gt;"", XLOOKUP($A288,Loan_Register!$A$2:$A$301,Loan_Register!$N$2:$N$301,""), "")</f>
        <v/>
      </c>
      <c r="E288" s="8" t="n"/>
      <c r="F288">
        <f>IF($A288="","", IF($E288&gt;=$D288,"Paid", IF(TODAY()&gt;$C288,"Overdue","Pending")))</f>
        <v/>
      </c>
      <c r="G288" s="6" t="n"/>
      <c r="I288" s="8">
        <f>IF($A288="","", SUMIFS($D$2:$D$801,$A$2:$A$801,$A288) - SUMIFS($E$2:$E$801,$A$2:$A$801,$A288))</f>
        <v/>
      </c>
      <c r="J288">
        <f>IF($F288="Paid",0, IF($C288="","", MAX(0, TODAY()-$C288)))</f>
        <v/>
      </c>
    </row>
    <row r="289">
      <c r="C289" s="6">
        <f>IF(AND($A289&lt;&gt;"",$B289&lt;&gt;""), XLOOKUP($A289,Loan_Register!$A$2:$A$301,Loan_Register!$M$2:$M$301,"") + 7*($B289-1), "")</f>
        <v/>
      </c>
      <c r="D289" s="8">
        <f>IF($A289&lt;&gt;"", XLOOKUP($A289,Loan_Register!$A$2:$A$301,Loan_Register!$N$2:$N$301,""), "")</f>
        <v/>
      </c>
      <c r="E289" s="8" t="n"/>
      <c r="F289">
        <f>IF($A289="","", IF($E289&gt;=$D289,"Paid", IF(TODAY()&gt;$C289,"Overdue","Pending")))</f>
        <v/>
      </c>
      <c r="G289" s="6" t="n"/>
      <c r="I289" s="8">
        <f>IF($A289="","", SUMIFS($D$2:$D$801,$A$2:$A$801,$A289) - SUMIFS($E$2:$E$801,$A$2:$A$801,$A289))</f>
        <v/>
      </c>
      <c r="J289">
        <f>IF($F289="Paid",0, IF($C289="","", MAX(0, TODAY()-$C289)))</f>
        <v/>
      </c>
    </row>
    <row r="290">
      <c r="C290" s="6">
        <f>IF(AND($A290&lt;&gt;"",$B290&lt;&gt;""), XLOOKUP($A290,Loan_Register!$A$2:$A$301,Loan_Register!$M$2:$M$301,"") + 7*($B290-1), "")</f>
        <v/>
      </c>
      <c r="D290" s="8">
        <f>IF($A290&lt;&gt;"", XLOOKUP($A290,Loan_Register!$A$2:$A$301,Loan_Register!$N$2:$N$301,""), "")</f>
        <v/>
      </c>
      <c r="E290" s="8" t="n"/>
      <c r="F290">
        <f>IF($A290="","", IF($E290&gt;=$D290,"Paid", IF(TODAY()&gt;$C290,"Overdue","Pending")))</f>
        <v/>
      </c>
      <c r="G290" s="6" t="n"/>
      <c r="I290" s="8">
        <f>IF($A290="","", SUMIFS($D$2:$D$801,$A$2:$A$801,$A290) - SUMIFS($E$2:$E$801,$A$2:$A$801,$A290))</f>
        <v/>
      </c>
      <c r="J290">
        <f>IF($F290="Paid",0, IF($C290="","", MAX(0, TODAY()-$C290)))</f>
        <v/>
      </c>
    </row>
    <row r="291">
      <c r="C291" s="6">
        <f>IF(AND($A291&lt;&gt;"",$B291&lt;&gt;""), XLOOKUP($A291,Loan_Register!$A$2:$A$301,Loan_Register!$M$2:$M$301,"") + 7*($B291-1), "")</f>
        <v/>
      </c>
      <c r="D291" s="8">
        <f>IF($A291&lt;&gt;"", XLOOKUP($A291,Loan_Register!$A$2:$A$301,Loan_Register!$N$2:$N$301,""), "")</f>
        <v/>
      </c>
      <c r="E291" s="8" t="n"/>
      <c r="F291">
        <f>IF($A291="","", IF($E291&gt;=$D291,"Paid", IF(TODAY()&gt;$C291,"Overdue","Pending")))</f>
        <v/>
      </c>
      <c r="G291" s="6" t="n"/>
      <c r="I291" s="8">
        <f>IF($A291="","", SUMIFS($D$2:$D$801,$A$2:$A$801,$A291) - SUMIFS($E$2:$E$801,$A$2:$A$801,$A291))</f>
        <v/>
      </c>
      <c r="J291">
        <f>IF($F291="Paid",0, IF($C291="","", MAX(0, TODAY()-$C291)))</f>
        <v/>
      </c>
    </row>
    <row r="292">
      <c r="C292" s="6">
        <f>IF(AND($A292&lt;&gt;"",$B292&lt;&gt;""), XLOOKUP($A292,Loan_Register!$A$2:$A$301,Loan_Register!$M$2:$M$301,"") + 7*($B292-1), "")</f>
        <v/>
      </c>
      <c r="D292" s="8">
        <f>IF($A292&lt;&gt;"", XLOOKUP($A292,Loan_Register!$A$2:$A$301,Loan_Register!$N$2:$N$301,""), "")</f>
        <v/>
      </c>
      <c r="E292" s="8" t="n"/>
      <c r="F292">
        <f>IF($A292="","", IF($E292&gt;=$D292,"Paid", IF(TODAY()&gt;$C292,"Overdue","Pending")))</f>
        <v/>
      </c>
      <c r="G292" s="6" t="n"/>
      <c r="I292" s="8">
        <f>IF($A292="","", SUMIFS($D$2:$D$801,$A$2:$A$801,$A292) - SUMIFS($E$2:$E$801,$A$2:$A$801,$A292))</f>
        <v/>
      </c>
      <c r="J292">
        <f>IF($F292="Paid",0, IF($C292="","", MAX(0, TODAY()-$C292)))</f>
        <v/>
      </c>
    </row>
    <row r="293">
      <c r="C293" s="6">
        <f>IF(AND($A293&lt;&gt;"",$B293&lt;&gt;""), XLOOKUP($A293,Loan_Register!$A$2:$A$301,Loan_Register!$M$2:$M$301,"") + 7*($B293-1), "")</f>
        <v/>
      </c>
      <c r="D293" s="8">
        <f>IF($A293&lt;&gt;"", XLOOKUP($A293,Loan_Register!$A$2:$A$301,Loan_Register!$N$2:$N$301,""), "")</f>
        <v/>
      </c>
      <c r="E293" s="8" t="n"/>
      <c r="F293">
        <f>IF($A293="","", IF($E293&gt;=$D293,"Paid", IF(TODAY()&gt;$C293,"Overdue","Pending")))</f>
        <v/>
      </c>
      <c r="G293" s="6" t="n"/>
      <c r="I293" s="8">
        <f>IF($A293="","", SUMIFS($D$2:$D$801,$A$2:$A$801,$A293) - SUMIFS($E$2:$E$801,$A$2:$A$801,$A293))</f>
        <v/>
      </c>
      <c r="J293">
        <f>IF($F293="Paid",0, IF($C293="","", MAX(0, TODAY()-$C293)))</f>
        <v/>
      </c>
    </row>
    <row r="294">
      <c r="C294" s="6">
        <f>IF(AND($A294&lt;&gt;"",$B294&lt;&gt;""), XLOOKUP($A294,Loan_Register!$A$2:$A$301,Loan_Register!$M$2:$M$301,"") + 7*($B294-1), "")</f>
        <v/>
      </c>
      <c r="D294" s="8">
        <f>IF($A294&lt;&gt;"", XLOOKUP($A294,Loan_Register!$A$2:$A$301,Loan_Register!$N$2:$N$301,""), "")</f>
        <v/>
      </c>
      <c r="E294" s="8" t="n"/>
      <c r="F294">
        <f>IF($A294="","", IF($E294&gt;=$D294,"Paid", IF(TODAY()&gt;$C294,"Overdue","Pending")))</f>
        <v/>
      </c>
      <c r="G294" s="6" t="n"/>
      <c r="I294" s="8">
        <f>IF($A294="","", SUMIFS($D$2:$D$801,$A$2:$A$801,$A294) - SUMIFS($E$2:$E$801,$A$2:$A$801,$A294))</f>
        <v/>
      </c>
      <c r="J294">
        <f>IF($F294="Paid",0, IF($C294="","", MAX(0, TODAY()-$C294)))</f>
        <v/>
      </c>
    </row>
    <row r="295">
      <c r="C295" s="6">
        <f>IF(AND($A295&lt;&gt;"",$B295&lt;&gt;""), XLOOKUP($A295,Loan_Register!$A$2:$A$301,Loan_Register!$M$2:$M$301,"") + 7*($B295-1), "")</f>
        <v/>
      </c>
      <c r="D295" s="8">
        <f>IF($A295&lt;&gt;"", XLOOKUP($A295,Loan_Register!$A$2:$A$301,Loan_Register!$N$2:$N$301,""), "")</f>
        <v/>
      </c>
      <c r="E295" s="8" t="n"/>
      <c r="F295">
        <f>IF($A295="","", IF($E295&gt;=$D295,"Paid", IF(TODAY()&gt;$C295,"Overdue","Pending")))</f>
        <v/>
      </c>
      <c r="G295" s="6" t="n"/>
      <c r="I295" s="8">
        <f>IF($A295="","", SUMIFS($D$2:$D$801,$A$2:$A$801,$A295) - SUMIFS($E$2:$E$801,$A$2:$A$801,$A295))</f>
        <v/>
      </c>
      <c r="J295">
        <f>IF($F295="Paid",0, IF($C295="","", MAX(0, TODAY()-$C295)))</f>
        <v/>
      </c>
    </row>
    <row r="296">
      <c r="C296" s="6">
        <f>IF(AND($A296&lt;&gt;"",$B296&lt;&gt;""), XLOOKUP($A296,Loan_Register!$A$2:$A$301,Loan_Register!$M$2:$M$301,"") + 7*($B296-1), "")</f>
        <v/>
      </c>
      <c r="D296" s="8">
        <f>IF($A296&lt;&gt;"", XLOOKUP($A296,Loan_Register!$A$2:$A$301,Loan_Register!$N$2:$N$301,""), "")</f>
        <v/>
      </c>
      <c r="E296" s="8" t="n"/>
      <c r="F296">
        <f>IF($A296="","", IF($E296&gt;=$D296,"Paid", IF(TODAY()&gt;$C296,"Overdue","Pending")))</f>
        <v/>
      </c>
      <c r="G296" s="6" t="n"/>
      <c r="I296" s="8">
        <f>IF($A296="","", SUMIFS($D$2:$D$801,$A$2:$A$801,$A296) - SUMIFS($E$2:$E$801,$A$2:$A$801,$A296))</f>
        <v/>
      </c>
      <c r="J296">
        <f>IF($F296="Paid",0, IF($C296="","", MAX(0, TODAY()-$C296)))</f>
        <v/>
      </c>
    </row>
    <row r="297">
      <c r="C297" s="6">
        <f>IF(AND($A297&lt;&gt;"",$B297&lt;&gt;""), XLOOKUP($A297,Loan_Register!$A$2:$A$301,Loan_Register!$M$2:$M$301,"") + 7*($B297-1), "")</f>
        <v/>
      </c>
      <c r="D297" s="8">
        <f>IF($A297&lt;&gt;"", XLOOKUP($A297,Loan_Register!$A$2:$A$301,Loan_Register!$N$2:$N$301,""), "")</f>
        <v/>
      </c>
      <c r="E297" s="8" t="n"/>
      <c r="F297">
        <f>IF($A297="","", IF($E297&gt;=$D297,"Paid", IF(TODAY()&gt;$C297,"Overdue","Pending")))</f>
        <v/>
      </c>
      <c r="G297" s="6" t="n"/>
      <c r="I297" s="8">
        <f>IF($A297="","", SUMIFS($D$2:$D$801,$A$2:$A$801,$A297) - SUMIFS($E$2:$E$801,$A$2:$A$801,$A297))</f>
        <v/>
      </c>
      <c r="J297">
        <f>IF($F297="Paid",0, IF($C297="","", MAX(0, TODAY()-$C297)))</f>
        <v/>
      </c>
    </row>
    <row r="298">
      <c r="C298" s="6">
        <f>IF(AND($A298&lt;&gt;"",$B298&lt;&gt;""), XLOOKUP($A298,Loan_Register!$A$2:$A$301,Loan_Register!$M$2:$M$301,"") + 7*($B298-1), "")</f>
        <v/>
      </c>
      <c r="D298" s="8">
        <f>IF($A298&lt;&gt;"", XLOOKUP($A298,Loan_Register!$A$2:$A$301,Loan_Register!$N$2:$N$301,""), "")</f>
        <v/>
      </c>
      <c r="E298" s="8" t="n"/>
      <c r="F298">
        <f>IF($A298="","", IF($E298&gt;=$D298,"Paid", IF(TODAY()&gt;$C298,"Overdue","Pending")))</f>
        <v/>
      </c>
      <c r="G298" s="6" t="n"/>
      <c r="I298" s="8">
        <f>IF($A298="","", SUMIFS($D$2:$D$801,$A$2:$A$801,$A298) - SUMIFS($E$2:$E$801,$A$2:$A$801,$A298))</f>
        <v/>
      </c>
      <c r="J298">
        <f>IF($F298="Paid",0, IF($C298="","", MAX(0, TODAY()-$C298)))</f>
        <v/>
      </c>
    </row>
    <row r="299">
      <c r="C299" s="6">
        <f>IF(AND($A299&lt;&gt;"",$B299&lt;&gt;""), XLOOKUP($A299,Loan_Register!$A$2:$A$301,Loan_Register!$M$2:$M$301,"") + 7*($B299-1), "")</f>
        <v/>
      </c>
      <c r="D299" s="8">
        <f>IF($A299&lt;&gt;"", XLOOKUP($A299,Loan_Register!$A$2:$A$301,Loan_Register!$N$2:$N$301,""), "")</f>
        <v/>
      </c>
      <c r="E299" s="8" t="n"/>
      <c r="F299">
        <f>IF($A299="","", IF($E299&gt;=$D299,"Paid", IF(TODAY()&gt;$C299,"Overdue","Pending")))</f>
        <v/>
      </c>
      <c r="G299" s="6" t="n"/>
      <c r="I299" s="8">
        <f>IF($A299="","", SUMIFS($D$2:$D$801,$A$2:$A$801,$A299) - SUMIFS($E$2:$E$801,$A$2:$A$801,$A299))</f>
        <v/>
      </c>
      <c r="J299">
        <f>IF($F299="Paid",0, IF($C299="","", MAX(0, TODAY()-$C299)))</f>
        <v/>
      </c>
    </row>
    <row r="300">
      <c r="C300" s="6">
        <f>IF(AND($A300&lt;&gt;"",$B300&lt;&gt;""), XLOOKUP($A300,Loan_Register!$A$2:$A$301,Loan_Register!$M$2:$M$301,"") + 7*($B300-1), "")</f>
        <v/>
      </c>
      <c r="D300" s="8">
        <f>IF($A300&lt;&gt;"", XLOOKUP($A300,Loan_Register!$A$2:$A$301,Loan_Register!$N$2:$N$301,""), "")</f>
        <v/>
      </c>
      <c r="E300" s="8" t="n"/>
      <c r="F300">
        <f>IF($A300="","", IF($E300&gt;=$D300,"Paid", IF(TODAY()&gt;$C300,"Overdue","Pending")))</f>
        <v/>
      </c>
      <c r="G300" s="6" t="n"/>
      <c r="I300" s="8">
        <f>IF($A300="","", SUMIFS($D$2:$D$801,$A$2:$A$801,$A300) - SUMIFS($E$2:$E$801,$A$2:$A$801,$A300))</f>
        <v/>
      </c>
      <c r="J300">
        <f>IF($F300="Paid",0, IF($C300="","", MAX(0, TODAY()-$C300)))</f>
        <v/>
      </c>
    </row>
    <row r="301">
      <c r="C301" s="6">
        <f>IF(AND($A301&lt;&gt;"",$B301&lt;&gt;""), XLOOKUP($A301,Loan_Register!$A$2:$A$301,Loan_Register!$M$2:$M$301,"") + 7*($B301-1), "")</f>
        <v/>
      </c>
      <c r="D301" s="8">
        <f>IF($A301&lt;&gt;"", XLOOKUP($A301,Loan_Register!$A$2:$A$301,Loan_Register!$N$2:$N$301,""), "")</f>
        <v/>
      </c>
      <c r="E301" s="8" t="n"/>
      <c r="F301">
        <f>IF($A301="","", IF($E301&gt;=$D301,"Paid", IF(TODAY()&gt;$C301,"Overdue","Pending")))</f>
        <v/>
      </c>
      <c r="G301" s="6" t="n"/>
      <c r="I301" s="8">
        <f>IF($A301="","", SUMIFS($D$2:$D$801,$A$2:$A$801,$A301) - SUMIFS($E$2:$E$801,$A$2:$A$801,$A301))</f>
        <v/>
      </c>
      <c r="J301">
        <f>IF($F301="Paid",0, IF($C301="","", MAX(0, TODAY()-$C301)))</f>
        <v/>
      </c>
    </row>
    <row r="302">
      <c r="C302" s="6">
        <f>IF(AND($A302&lt;&gt;"",$B302&lt;&gt;""), XLOOKUP($A302,Loan_Register!$A$2:$A$301,Loan_Register!$M$2:$M$301,"") + 7*($B302-1), "")</f>
        <v/>
      </c>
      <c r="D302" s="8">
        <f>IF($A302&lt;&gt;"", XLOOKUP($A302,Loan_Register!$A$2:$A$301,Loan_Register!$N$2:$N$301,""), "")</f>
        <v/>
      </c>
      <c r="E302" s="8" t="n"/>
      <c r="F302">
        <f>IF($A302="","", IF($E302&gt;=$D302,"Paid", IF(TODAY()&gt;$C302,"Overdue","Pending")))</f>
        <v/>
      </c>
      <c r="G302" s="6" t="n"/>
      <c r="I302" s="8">
        <f>IF($A302="","", SUMIFS($D$2:$D$801,$A$2:$A$801,$A302) - SUMIFS($E$2:$E$801,$A$2:$A$801,$A302))</f>
        <v/>
      </c>
      <c r="J302">
        <f>IF($F302="Paid",0, IF($C302="","", MAX(0, TODAY()-$C302)))</f>
        <v/>
      </c>
    </row>
    <row r="303">
      <c r="C303" s="6">
        <f>IF(AND($A303&lt;&gt;"",$B303&lt;&gt;""), XLOOKUP($A303,Loan_Register!$A$2:$A$301,Loan_Register!$M$2:$M$301,"") + 7*($B303-1), "")</f>
        <v/>
      </c>
      <c r="D303" s="8">
        <f>IF($A303&lt;&gt;"", XLOOKUP($A303,Loan_Register!$A$2:$A$301,Loan_Register!$N$2:$N$301,""), "")</f>
        <v/>
      </c>
      <c r="E303" s="8" t="n"/>
      <c r="F303">
        <f>IF($A303="","", IF($E303&gt;=$D303,"Paid", IF(TODAY()&gt;$C303,"Overdue","Pending")))</f>
        <v/>
      </c>
      <c r="G303" s="6" t="n"/>
      <c r="I303" s="8">
        <f>IF($A303="","", SUMIFS($D$2:$D$801,$A$2:$A$801,$A303) - SUMIFS($E$2:$E$801,$A$2:$A$801,$A303))</f>
        <v/>
      </c>
      <c r="J303">
        <f>IF($F303="Paid",0, IF($C303="","", MAX(0, TODAY()-$C303)))</f>
        <v/>
      </c>
    </row>
    <row r="304">
      <c r="C304" s="6">
        <f>IF(AND($A304&lt;&gt;"",$B304&lt;&gt;""), XLOOKUP($A304,Loan_Register!$A$2:$A$301,Loan_Register!$M$2:$M$301,"") + 7*($B304-1), "")</f>
        <v/>
      </c>
      <c r="D304" s="8">
        <f>IF($A304&lt;&gt;"", XLOOKUP($A304,Loan_Register!$A$2:$A$301,Loan_Register!$N$2:$N$301,""), "")</f>
        <v/>
      </c>
      <c r="E304" s="8" t="n"/>
      <c r="F304">
        <f>IF($A304="","", IF($E304&gt;=$D304,"Paid", IF(TODAY()&gt;$C304,"Overdue","Pending")))</f>
        <v/>
      </c>
      <c r="G304" s="6" t="n"/>
      <c r="I304" s="8">
        <f>IF($A304="","", SUMIFS($D$2:$D$801,$A$2:$A$801,$A304) - SUMIFS($E$2:$E$801,$A$2:$A$801,$A304))</f>
        <v/>
      </c>
      <c r="J304">
        <f>IF($F304="Paid",0, IF($C304="","", MAX(0, TODAY()-$C304)))</f>
        <v/>
      </c>
    </row>
    <row r="305">
      <c r="C305" s="6">
        <f>IF(AND($A305&lt;&gt;"",$B305&lt;&gt;""), XLOOKUP($A305,Loan_Register!$A$2:$A$301,Loan_Register!$M$2:$M$301,"") + 7*($B305-1), "")</f>
        <v/>
      </c>
      <c r="D305" s="8">
        <f>IF($A305&lt;&gt;"", XLOOKUP($A305,Loan_Register!$A$2:$A$301,Loan_Register!$N$2:$N$301,""), "")</f>
        <v/>
      </c>
      <c r="E305" s="8" t="n"/>
      <c r="F305">
        <f>IF($A305="","", IF($E305&gt;=$D305,"Paid", IF(TODAY()&gt;$C305,"Overdue","Pending")))</f>
        <v/>
      </c>
      <c r="G305" s="6" t="n"/>
      <c r="I305" s="8">
        <f>IF($A305="","", SUMIFS($D$2:$D$801,$A$2:$A$801,$A305) - SUMIFS($E$2:$E$801,$A$2:$A$801,$A305))</f>
        <v/>
      </c>
      <c r="J305">
        <f>IF($F305="Paid",0, IF($C305="","", MAX(0, TODAY()-$C305)))</f>
        <v/>
      </c>
    </row>
    <row r="306">
      <c r="C306" s="6">
        <f>IF(AND($A306&lt;&gt;"",$B306&lt;&gt;""), XLOOKUP($A306,Loan_Register!$A$2:$A$301,Loan_Register!$M$2:$M$301,"") + 7*($B306-1), "")</f>
        <v/>
      </c>
      <c r="D306" s="8">
        <f>IF($A306&lt;&gt;"", XLOOKUP($A306,Loan_Register!$A$2:$A$301,Loan_Register!$N$2:$N$301,""), "")</f>
        <v/>
      </c>
      <c r="E306" s="8" t="n"/>
      <c r="F306">
        <f>IF($A306="","", IF($E306&gt;=$D306,"Paid", IF(TODAY()&gt;$C306,"Overdue","Pending")))</f>
        <v/>
      </c>
      <c r="G306" s="6" t="n"/>
      <c r="I306" s="8">
        <f>IF($A306="","", SUMIFS($D$2:$D$801,$A$2:$A$801,$A306) - SUMIFS($E$2:$E$801,$A$2:$A$801,$A306))</f>
        <v/>
      </c>
      <c r="J306">
        <f>IF($F306="Paid",0, IF($C306="","", MAX(0, TODAY()-$C306)))</f>
        <v/>
      </c>
    </row>
    <row r="307">
      <c r="C307" s="6">
        <f>IF(AND($A307&lt;&gt;"",$B307&lt;&gt;""), XLOOKUP($A307,Loan_Register!$A$2:$A$301,Loan_Register!$M$2:$M$301,"") + 7*($B307-1), "")</f>
        <v/>
      </c>
      <c r="D307" s="8">
        <f>IF($A307&lt;&gt;"", XLOOKUP($A307,Loan_Register!$A$2:$A$301,Loan_Register!$N$2:$N$301,""), "")</f>
        <v/>
      </c>
      <c r="E307" s="8" t="n"/>
      <c r="F307">
        <f>IF($A307="","", IF($E307&gt;=$D307,"Paid", IF(TODAY()&gt;$C307,"Overdue","Pending")))</f>
        <v/>
      </c>
      <c r="G307" s="6" t="n"/>
      <c r="I307" s="8">
        <f>IF($A307="","", SUMIFS($D$2:$D$801,$A$2:$A$801,$A307) - SUMIFS($E$2:$E$801,$A$2:$A$801,$A307))</f>
        <v/>
      </c>
      <c r="J307">
        <f>IF($F307="Paid",0, IF($C307="","", MAX(0, TODAY()-$C307)))</f>
        <v/>
      </c>
    </row>
    <row r="308">
      <c r="C308" s="6">
        <f>IF(AND($A308&lt;&gt;"",$B308&lt;&gt;""), XLOOKUP($A308,Loan_Register!$A$2:$A$301,Loan_Register!$M$2:$M$301,"") + 7*($B308-1), "")</f>
        <v/>
      </c>
      <c r="D308" s="8">
        <f>IF($A308&lt;&gt;"", XLOOKUP($A308,Loan_Register!$A$2:$A$301,Loan_Register!$N$2:$N$301,""), "")</f>
        <v/>
      </c>
      <c r="E308" s="8" t="n"/>
      <c r="F308">
        <f>IF($A308="","", IF($E308&gt;=$D308,"Paid", IF(TODAY()&gt;$C308,"Overdue","Pending")))</f>
        <v/>
      </c>
      <c r="G308" s="6" t="n"/>
      <c r="I308" s="8">
        <f>IF($A308="","", SUMIFS($D$2:$D$801,$A$2:$A$801,$A308) - SUMIFS($E$2:$E$801,$A$2:$A$801,$A308))</f>
        <v/>
      </c>
      <c r="J308">
        <f>IF($F308="Paid",0, IF($C308="","", MAX(0, TODAY()-$C308)))</f>
        <v/>
      </c>
    </row>
    <row r="309">
      <c r="C309" s="6">
        <f>IF(AND($A309&lt;&gt;"",$B309&lt;&gt;""), XLOOKUP($A309,Loan_Register!$A$2:$A$301,Loan_Register!$M$2:$M$301,"") + 7*($B309-1), "")</f>
        <v/>
      </c>
      <c r="D309" s="8">
        <f>IF($A309&lt;&gt;"", XLOOKUP($A309,Loan_Register!$A$2:$A$301,Loan_Register!$N$2:$N$301,""), "")</f>
        <v/>
      </c>
      <c r="E309" s="8" t="n"/>
      <c r="F309">
        <f>IF($A309="","", IF($E309&gt;=$D309,"Paid", IF(TODAY()&gt;$C309,"Overdue","Pending")))</f>
        <v/>
      </c>
      <c r="G309" s="6" t="n"/>
      <c r="I309" s="8">
        <f>IF($A309="","", SUMIFS($D$2:$D$801,$A$2:$A$801,$A309) - SUMIFS($E$2:$E$801,$A$2:$A$801,$A309))</f>
        <v/>
      </c>
      <c r="J309">
        <f>IF($F309="Paid",0, IF($C309="","", MAX(0, TODAY()-$C309)))</f>
        <v/>
      </c>
    </row>
    <row r="310">
      <c r="C310" s="6">
        <f>IF(AND($A310&lt;&gt;"",$B310&lt;&gt;""), XLOOKUP($A310,Loan_Register!$A$2:$A$301,Loan_Register!$M$2:$M$301,"") + 7*($B310-1), "")</f>
        <v/>
      </c>
      <c r="D310" s="8">
        <f>IF($A310&lt;&gt;"", XLOOKUP($A310,Loan_Register!$A$2:$A$301,Loan_Register!$N$2:$N$301,""), "")</f>
        <v/>
      </c>
      <c r="E310" s="8" t="n"/>
      <c r="F310">
        <f>IF($A310="","", IF($E310&gt;=$D310,"Paid", IF(TODAY()&gt;$C310,"Overdue","Pending")))</f>
        <v/>
      </c>
      <c r="G310" s="6" t="n"/>
      <c r="I310" s="8">
        <f>IF($A310="","", SUMIFS($D$2:$D$801,$A$2:$A$801,$A310) - SUMIFS($E$2:$E$801,$A$2:$A$801,$A310))</f>
        <v/>
      </c>
      <c r="J310">
        <f>IF($F310="Paid",0, IF($C310="","", MAX(0, TODAY()-$C310)))</f>
        <v/>
      </c>
    </row>
    <row r="311">
      <c r="C311" s="6">
        <f>IF(AND($A311&lt;&gt;"",$B311&lt;&gt;""), XLOOKUP($A311,Loan_Register!$A$2:$A$301,Loan_Register!$M$2:$M$301,"") + 7*($B311-1), "")</f>
        <v/>
      </c>
      <c r="D311" s="8">
        <f>IF($A311&lt;&gt;"", XLOOKUP($A311,Loan_Register!$A$2:$A$301,Loan_Register!$N$2:$N$301,""), "")</f>
        <v/>
      </c>
      <c r="E311" s="8" t="n"/>
      <c r="F311">
        <f>IF($A311="","", IF($E311&gt;=$D311,"Paid", IF(TODAY()&gt;$C311,"Overdue","Pending")))</f>
        <v/>
      </c>
      <c r="G311" s="6" t="n"/>
      <c r="I311" s="8">
        <f>IF($A311="","", SUMIFS($D$2:$D$801,$A$2:$A$801,$A311) - SUMIFS($E$2:$E$801,$A$2:$A$801,$A311))</f>
        <v/>
      </c>
      <c r="J311">
        <f>IF($F311="Paid",0, IF($C311="","", MAX(0, TODAY()-$C311)))</f>
        <v/>
      </c>
    </row>
    <row r="312">
      <c r="C312" s="6">
        <f>IF(AND($A312&lt;&gt;"",$B312&lt;&gt;""), XLOOKUP($A312,Loan_Register!$A$2:$A$301,Loan_Register!$M$2:$M$301,"") + 7*($B312-1), "")</f>
        <v/>
      </c>
      <c r="D312" s="8">
        <f>IF($A312&lt;&gt;"", XLOOKUP($A312,Loan_Register!$A$2:$A$301,Loan_Register!$N$2:$N$301,""), "")</f>
        <v/>
      </c>
      <c r="E312" s="8" t="n"/>
      <c r="F312">
        <f>IF($A312="","", IF($E312&gt;=$D312,"Paid", IF(TODAY()&gt;$C312,"Overdue","Pending")))</f>
        <v/>
      </c>
      <c r="G312" s="6" t="n"/>
      <c r="I312" s="8">
        <f>IF($A312="","", SUMIFS($D$2:$D$801,$A$2:$A$801,$A312) - SUMIFS($E$2:$E$801,$A$2:$A$801,$A312))</f>
        <v/>
      </c>
      <c r="J312">
        <f>IF($F312="Paid",0, IF($C312="","", MAX(0, TODAY()-$C312)))</f>
        <v/>
      </c>
    </row>
    <row r="313">
      <c r="C313" s="6">
        <f>IF(AND($A313&lt;&gt;"",$B313&lt;&gt;""), XLOOKUP($A313,Loan_Register!$A$2:$A$301,Loan_Register!$M$2:$M$301,"") + 7*($B313-1), "")</f>
        <v/>
      </c>
      <c r="D313" s="8">
        <f>IF($A313&lt;&gt;"", XLOOKUP($A313,Loan_Register!$A$2:$A$301,Loan_Register!$N$2:$N$301,""), "")</f>
        <v/>
      </c>
      <c r="E313" s="8" t="n"/>
      <c r="F313">
        <f>IF($A313="","", IF($E313&gt;=$D313,"Paid", IF(TODAY()&gt;$C313,"Overdue","Pending")))</f>
        <v/>
      </c>
      <c r="G313" s="6" t="n"/>
      <c r="I313" s="8">
        <f>IF($A313="","", SUMIFS($D$2:$D$801,$A$2:$A$801,$A313) - SUMIFS($E$2:$E$801,$A$2:$A$801,$A313))</f>
        <v/>
      </c>
      <c r="J313">
        <f>IF($F313="Paid",0, IF($C313="","", MAX(0, TODAY()-$C313)))</f>
        <v/>
      </c>
    </row>
    <row r="314">
      <c r="C314" s="6">
        <f>IF(AND($A314&lt;&gt;"",$B314&lt;&gt;""), XLOOKUP($A314,Loan_Register!$A$2:$A$301,Loan_Register!$M$2:$M$301,"") + 7*($B314-1), "")</f>
        <v/>
      </c>
      <c r="D314" s="8">
        <f>IF($A314&lt;&gt;"", XLOOKUP($A314,Loan_Register!$A$2:$A$301,Loan_Register!$N$2:$N$301,""), "")</f>
        <v/>
      </c>
      <c r="E314" s="8" t="n"/>
      <c r="F314">
        <f>IF($A314="","", IF($E314&gt;=$D314,"Paid", IF(TODAY()&gt;$C314,"Overdue","Pending")))</f>
        <v/>
      </c>
      <c r="G314" s="6" t="n"/>
      <c r="I314" s="8">
        <f>IF($A314="","", SUMIFS($D$2:$D$801,$A$2:$A$801,$A314) - SUMIFS($E$2:$E$801,$A$2:$A$801,$A314))</f>
        <v/>
      </c>
      <c r="J314">
        <f>IF($F314="Paid",0, IF($C314="","", MAX(0, TODAY()-$C314)))</f>
        <v/>
      </c>
    </row>
    <row r="315">
      <c r="C315" s="6">
        <f>IF(AND($A315&lt;&gt;"",$B315&lt;&gt;""), XLOOKUP($A315,Loan_Register!$A$2:$A$301,Loan_Register!$M$2:$M$301,"") + 7*($B315-1), "")</f>
        <v/>
      </c>
      <c r="D315" s="8">
        <f>IF($A315&lt;&gt;"", XLOOKUP($A315,Loan_Register!$A$2:$A$301,Loan_Register!$N$2:$N$301,""), "")</f>
        <v/>
      </c>
      <c r="E315" s="8" t="n"/>
      <c r="F315">
        <f>IF($A315="","", IF($E315&gt;=$D315,"Paid", IF(TODAY()&gt;$C315,"Overdue","Pending")))</f>
        <v/>
      </c>
      <c r="G315" s="6" t="n"/>
      <c r="I315" s="8">
        <f>IF($A315="","", SUMIFS($D$2:$D$801,$A$2:$A$801,$A315) - SUMIFS($E$2:$E$801,$A$2:$A$801,$A315))</f>
        <v/>
      </c>
      <c r="J315">
        <f>IF($F315="Paid",0, IF($C315="","", MAX(0, TODAY()-$C315)))</f>
        <v/>
      </c>
    </row>
    <row r="316">
      <c r="C316" s="6">
        <f>IF(AND($A316&lt;&gt;"",$B316&lt;&gt;""), XLOOKUP($A316,Loan_Register!$A$2:$A$301,Loan_Register!$M$2:$M$301,"") + 7*($B316-1), "")</f>
        <v/>
      </c>
      <c r="D316" s="8">
        <f>IF($A316&lt;&gt;"", XLOOKUP($A316,Loan_Register!$A$2:$A$301,Loan_Register!$N$2:$N$301,""), "")</f>
        <v/>
      </c>
      <c r="E316" s="8" t="n"/>
      <c r="F316">
        <f>IF($A316="","", IF($E316&gt;=$D316,"Paid", IF(TODAY()&gt;$C316,"Overdue","Pending")))</f>
        <v/>
      </c>
      <c r="G316" s="6" t="n"/>
      <c r="I316" s="8">
        <f>IF($A316="","", SUMIFS($D$2:$D$801,$A$2:$A$801,$A316) - SUMIFS($E$2:$E$801,$A$2:$A$801,$A316))</f>
        <v/>
      </c>
      <c r="J316">
        <f>IF($F316="Paid",0, IF($C316="","", MAX(0, TODAY()-$C316)))</f>
        <v/>
      </c>
    </row>
    <row r="317">
      <c r="C317" s="6">
        <f>IF(AND($A317&lt;&gt;"",$B317&lt;&gt;""), XLOOKUP($A317,Loan_Register!$A$2:$A$301,Loan_Register!$M$2:$M$301,"") + 7*($B317-1), "")</f>
        <v/>
      </c>
      <c r="D317" s="8">
        <f>IF($A317&lt;&gt;"", XLOOKUP($A317,Loan_Register!$A$2:$A$301,Loan_Register!$N$2:$N$301,""), "")</f>
        <v/>
      </c>
      <c r="E317" s="8" t="n"/>
      <c r="F317">
        <f>IF($A317="","", IF($E317&gt;=$D317,"Paid", IF(TODAY()&gt;$C317,"Overdue","Pending")))</f>
        <v/>
      </c>
      <c r="G317" s="6" t="n"/>
      <c r="I317" s="8">
        <f>IF($A317="","", SUMIFS($D$2:$D$801,$A$2:$A$801,$A317) - SUMIFS($E$2:$E$801,$A$2:$A$801,$A317))</f>
        <v/>
      </c>
      <c r="J317">
        <f>IF($F317="Paid",0, IF($C317="","", MAX(0, TODAY()-$C317)))</f>
        <v/>
      </c>
    </row>
    <row r="318">
      <c r="C318" s="6">
        <f>IF(AND($A318&lt;&gt;"",$B318&lt;&gt;""), XLOOKUP($A318,Loan_Register!$A$2:$A$301,Loan_Register!$M$2:$M$301,"") + 7*($B318-1), "")</f>
        <v/>
      </c>
      <c r="D318" s="8">
        <f>IF($A318&lt;&gt;"", XLOOKUP($A318,Loan_Register!$A$2:$A$301,Loan_Register!$N$2:$N$301,""), "")</f>
        <v/>
      </c>
      <c r="E318" s="8" t="n"/>
      <c r="F318">
        <f>IF($A318="","", IF($E318&gt;=$D318,"Paid", IF(TODAY()&gt;$C318,"Overdue","Pending")))</f>
        <v/>
      </c>
      <c r="G318" s="6" t="n"/>
      <c r="I318" s="8">
        <f>IF($A318="","", SUMIFS($D$2:$D$801,$A$2:$A$801,$A318) - SUMIFS($E$2:$E$801,$A$2:$A$801,$A318))</f>
        <v/>
      </c>
      <c r="J318">
        <f>IF($F318="Paid",0, IF($C318="","", MAX(0, TODAY()-$C318)))</f>
        <v/>
      </c>
    </row>
    <row r="319">
      <c r="C319" s="6">
        <f>IF(AND($A319&lt;&gt;"",$B319&lt;&gt;""), XLOOKUP($A319,Loan_Register!$A$2:$A$301,Loan_Register!$M$2:$M$301,"") + 7*($B319-1), "")</f>
        <v/>
      </c>
      <c r="D319" s="8">
        <f>IF($A319&lt;&gt;"", XLOOKUP($A319,Loan_Register!$A$2:$A$301,Loan_Register!$N$2:$N$301,""), "")</f>
        <v/>
      </c>
      <c r="E319" s="8" t="n"/>
      <c r="F319">
        <f>IF($A319="","", IF($E319&gt;=$D319,"Paid", IF(TODAY()&gt;$C319,"Overdue","Pending")))</f>
        <v/>
      </c>
      <c r="G319" s="6" t="n"/>
      <c r="I319" s="8">
        <f>IF($A319="","", SUMIFS($D$2:$D$801,$A$2:$A$801,$A319) - SUMIFS($E$2:$E$801,$A$2:$A$801,$A319))</f>
        <v/>
      </c>
      <c r="J319">
        <f>IF($F319="Paid",0, IF($C319="","", MAX(0, TODAY()-$C319)))</f>
        <v/>
      </c>
    </row>
    <row r="320">
      <c r="C320" s="6">
        <f>IF(AND($A320&lt;&gt;"",$B320&lt;&gt;""), XLOOKUP($A320,Loan_Register!$A$2:$A$301,Loan_Register!$M$2:$M$301,"") + 7*($B320-1), "")</f>
        <v/>
      </c>
      <c r="D320" s="8">
        <f>IF($A320&lt;&gt;"", XLOOKUP($A320,Loan_Register!$A$2:$A$301,Loan_Register!$N$2:$N$301,""), "")</f>
        <v/>
      </c>
      <c r="E320" s="8" t="n"/>
      <c r="F320">
        <f>IF($A320="","", IF($E320&gt;=$D320,"Paid", IF(TODAY()&gt;$C320,"Overdue","Pending")))</f>
        <v/>
      </c>
      <c r="G320" s="6" t="n"/>
      <c r="I320" s="8">
        <f>IF($A320="","", SUMIFS($D$2:$D$801,$A$2:$A$801,$A320) - SUMIFS($E$2:$E$801,$A$2:$A$801,$A320))</f>
        <v/>
      </c>
      <c r="J320">
        <f>IF($F320="Paid",0, IF($C320="","", MAX(0, TODAY()-$C320)))</f>
        <v/>
      </c>
    </row>
    <row r="321">
      <c r="C321" s="6">
        <f>IF(AND($A321&lt;&gt;"",$B321&lt;&gt;""), XLOOKUP($A321,Loan_Register!$A$2:$A$301,Loan_Register!$M$2:$M$301,"") + 7*($B321-1), "")</f>
        <v/>
      </c>
      <c r="D321" s="8">
        <f>IF($A321&lt;&gt;"", XLOOKUP($A321,Loan_Register!$A$2:$A$301,Loan_Register!$N$2:$N$301,""), "")</f>
        <v/>
      </c>
      <c r="E321" s="8" t="n"/>
      <c r="F321">
        <f>IF($A321="","", IF($E321&gt;=$D321,"Paid", IF(TODAY()&gt;$C321,"Overdue","Pending")))</f>
        <v/>
      </c>
      <c r="G321" s="6" t="n"/>
      <c r="I321" s="8">
        <f>IF($A321="","", SUMIFS($D$2:$D$801,$A$2:$A$801,$A321) - SUMIFS($E$2:$E$801,$A$2:$A$801,$A321))</f>
        <v/>
      </c>
      <c r="J321">
        <f>IF($F321="Paid",0, IF($C321="","", MAX(0, TODAY()-$C321)))</f>
        <v/>
      </c>
    </row>
    <row r="322">
      <c r="C322" s="6">
        <f>IF(AND($A322&lt;&gt;"",$B322&lt;&gt;""), XLOOKUP($A322,Loan_Register!$A$2:$A$301,Loan_Register!$M$2:$M$301,"") + 7*($B322-1), "")</f>
        <v/>
      </c>
      <c r="D322" s="8">
        <f>IF($A322&lt;&gt;"", XLOOKUP($A322,Loan_Register!$A$2:$A$301,Loan_Register!$N$2:$N$301,""), "")</f>
        <v/>
      </c>
      <c r="E322" s="8" t="n"/>
      <c r="F322">
        <f>IF($A322="","", IF($E322&gt;=$D322,"Paid", IF(TODAY()&gt;$C322,"Overdue","Pending")))</f>
        <v/>
      </c>
      <c r="G322" s="6" t="n"/>
      <c r="I322" s="8">
        <f>IF($A322="","", SUMIFS($D$2:$D$801,$A$2:$A$801,$A322) - SUMIFS($E$2:$E$801,$A$2:$A$801,$A322))</f>
        <v/>
      </c>
      <c r="J322">
        <f>IF($F322="Paid",0, IF($C322="","", MAX(0, TODAY()-$C322)))</f>
        <v/>
      </c>
    </row>
    <row r="323">
      <c r="C323" s="6">
        <f>IF(AND($A323&lt;&gt;"",$B323&lt;&gt;""), XLOOKUP($A323,Loan_Register!$A$2:$A$301,Loan_Register!$M$2:$M$301,"") + 7*($B323-1), "")</f>
        <v/>
      </c>
      <c r="D323" s="8">
        <f>IF($A323&lt;&gt;"", XLOOKUP($A323,Loan_Register!$A$2:$A$301,Loan_Register!$N$2:$N$301,""), "")</f>
        <v/>
      </c>
      <c r="E323" s="8" t="n"/>
      <c r="F323">
        <f>IF($A323="","", IF($E323&gt;=$D323,"Paid", IF(TODAY()&gt;$C323,"Overdue","Pending")))</f>
        <v/>
      </c>
      <c r="G323" s="6" t="n"/>
      <c r="I323" s="8">
        <f>IF($A323="","", SUMIFS($D$2:$D$801,$A$2:$A$801,$A323) - SUMIFS($E$2:$E$801,$A$2:$A$801,$A323))</f>
        <v/>
      </c>
      <c r="J323">
        <f>IF($F323="Paid",0, IF($C323="","", MAX(0, TODAY()-$C323)))</f>
        <v/>
      </c>
    </row>
    <row r="324">
      <c r="C324" s="6">
        <f>IF(AND($A324&lt;&gt;"",$B324&lt;&gt;""), XLOOKUP($A324,Loan_Register!$A$2:$A$301,Loan_Register!$M$2:$M$301,"") + 7*($B324-1), "")</f>
        <v/>
      </c>
      <c r="D324" s="8">
        <f>IF($A324&lt;&gt;"", XLOOKUP($A324,Loan_Register!$A$2:$A$301,Loan_Register!$N$2:$N$301,""), "")</f>
        <v/>
      </c>
      <c r="E324" s="8" t="n"/>
      <c r="F324">
        <f>IF($A324="","", IF($E324&gt;=$D324,"Paid", IF(TODAY()&gt;$C324,"Overdue","Pending")))</f>
        <v/>
      </c>
      <c r="G324" s="6" t="n"/>
      <c r="I324" s="8">
        <f>IF($A324="","", SUMIFS($D$2:$D$801,$A$2:$A$801,$A324) - SUMIFS($E$2:$E$801,$A$2:$A$801,$A324))</f>
        <v/>
      </c>
      <c r="J324">
        <f>IF($F324="Paid",0, IF($C324="","", MAX(0, TODAY()-$C324)))</f>
        <v/>
      </c>
    </row>
    <row r="325">
      <c r="C325" s="6">
        <f>IF(AND($A325&lt;&gt;"",$B325&lt;&gt;""), XLOOKUP($A325,Loan_Register!$A$2:$A$301,Loan_Register!$M$2:$M$301,"") + 7*($B325-1), "")</f>
        <v/>
      </c>
      <c r="D325" s="8">
        <f>IF($A325&lt;&gt;"", XLOOKUP($A325,Loan_Register!$A$2:$A$301,Loan_Register!$N$2:$N$301,""), "")</f>
        <v/>
      </c>
      <c r="E325" s="8" t="n"/>
      <c r="F325">
        <f>IF($A325="","", IF($E325&gt;=$D325,"Paid", IF(TODAY()&gt;$C325,"Overdue","Pending")))</f>
        <v/>
      </c>
      <c r="G325" s="6" t="n"/>
      <c r="I325" s="8">
        <f>IF($A325="","", SUMIFS($D$2:$D$801,$A$2:$A$801,$A325) - SUMIFS($E$2:$E$801,$A$2:$A$801,$A325))</f>
        <v/>
      </c>
      <c r="J325">
        <f>IF($F325="Paid",0, IF($C325="","", MAX(0, TODAY()-$C325)))</f>
        <v/>
      </c>
    </row>
    <row r="326">
      <c r="C326" s="6">
        <f>IF(AND($A326&lt;&gt;"",$B326&lt;&gt;""), XLOOKUP($A326,Loan_Register!$A$2:$A$301,Loan_Register!$M$2:$M$301,"") + 7*($B326-1), "")</f>
        <v/>
      </c>
      <c r="D326" s="8">
        <f>IF($A326&lt;&gt;"", XLOOKUP($A326,Loan_Register!$A$2:$A$301,Loan_Register!$N$2:$N$301,""), "")</f>
        <v/>
      </c>
      <c r="E326" s="8" t="n"/>
      <c r="F326">
        <f>IF($A326="","", IF($E326&gt;=$D326,"Paid", IF(TODAY()&gt;$C326,"Overdue","Pending")))</f>
        <v/>
      </c>
      <c r="G326" s="6" t="n"/>
      <c r="I326" s="8">
        <f>IF($A326="","", SUMIFS($D$2:$D$801,$A$2:$A$801,$A326) - SUMIFS($E$2:$E$801,$A$2:$A$801,$A326))</f>
        <v/>
      </c>
      <c r="J326">
        <f>IF($F326="Paid",0, IF($C326="","", MAX(0, TODAY()-$C326)))</f>
        <v/>
      </c>
    </row>
    <row r="327">
      <c r="C327" s="6">
        <f>IF(AND($A327&lt;&gt;"",$B327&lt;&gt;""), XLOOKUP($A327,Loan_Register!$A$2:$A$301,Loan_Register!$M$2:$M$301,"") + 7*($B327-1), "")</f>
        <v/>
      </c>
      <c r="D327" s="8">
        <f>IF($A327&lt;&gt;"", XLOOKUP($A327,Loan_Register!$A$2:$A$301,Loan_Register!$N$2:$N$301,""), "")</f>
        <v/>
      </c>
      <c r="E327" s="8" t="n"/>
      <c r="F327">
        <f>IF($A327="","", IF($E327&gt;=$D327,"Paid", IF(TODAY()&gt;$C327,"Overdue","Pending")))</f>
        <v/>
      </c>
      <c r="G327" s="6" t="n"/>
      <c r="I327" s="8">
        <f>IF($A327="","", SUMIFS($D$2:$D$801,$A$2:$A$801,$A327) - SUMIFS($E$2:$E$801,$A$2:$A$801,$A327))</f>
        <v/>
      </c>
      <c r="J327">
        <f>IF($F327="Paid",0, IF($C327="","", MAX(0, TODAY()-$C327)))</f>
        <v/>
      </c>
    </row>
    <row r="328">
      <c r="C328" s="6">
        <f>IF(AND($A328&lt;&gt;"",$B328&lt;&gt;""), XLOOKUP($A328,Loan_Register!$A$2:$A$301,Loan_Register!$M$2:$M$301,"") + 7*($B328-1), "")</f>
        <v/>
      </c>
      <c r="D328" s="8">
        <f>IF($A328&lt;&gt;"", XLOOKUP($A328,Loan_Register!$A$2:$A$301,Loan_Register!$N$2:$N$301,""), "")</f>
        <v/>
      </c>
      <c r="E328" s="8" t="n"/>
      <c r="F328">
        <f>IF($A328="","", IF($E328&gt;=$D328,"Paid", IF(TODAY()&gt;$C328,"Overdue","Pending")))</f>
        <v/>
      </c>
      <c r="G328" s="6" t="n"/>
      <c r="I328" s="8">
        <f>IF($A328="","", SUMIFS($D$2:$D$801,$A$2:$A$801,$A328) - SUMIFS($E$2:$E$801,$A$2:$A$801,$A328))</f>
        <v/>
      </c>
      <c r="J328">
        <f>IF($F328="Paid",0, IF($C328="","", MAX(0, TODAY()-$C328)))</f>
        <v/>
      </c>
    </row>
    <row r="329">
      <c r="C329" s="6">
        <f>IF(AND($A329&lt;&gt;"",$B329&lt;&gt;""), XLOOKUP($A329,Loan_Register!$A$2:$A$301,Loan_Register!$M$2:$M$301,"") + 7*($B329-1), "")</f>
        <v/>
      </c>
      <c r="D329" s="8">
        <f>IF($A329&lt;&gt;"", XLOOKUP($A329,Loan_Register!$A$2:$A$301,Loan_Register!$N$2:$N$301,""), "")</f>
        <v/>
      </c>
      <c r="E329" s="8" t="n"/>
      <c r="F329">
        <f>IF($A329="","", IF($E329&gt;=$D329,"Paid", IF(TODAY()&gt;$C329,"Overdue","Pending")))</f>
        <v/>
      </c>
      <c r="G329" s="6" t="n"/>
      <c r="I329" s="8">
        <f>IF($A329="","", SUMIFS($D$2:$D$801,$A$2:$A$801,$A329) - SUMIFS($E$2:$E$801,$A$2:$A$801,$A329))</f>
        <v/>
      </c>
      <c r="J329">
        <f>IF($F329="Paid",0, IF($C329="","", MAX(0, TODAY()-$C329)))</f>
        <v/>
      </c>
    </row>
    <row r="330">
      <c r="C330" s="6">
        <f>IF(AND($A330&lt;&gt;"",$B330&lt;&gt;""), XLOOKUP($A330,Loan_Register!$A$2:$A$301,Loan_Register!$M$2:$M$301,"") + 7*($B330-1), "")</f>
        <v/>
      </c>
      <c r="D330" s="8">
        <f>IF($A330&lt;&gt;"", XLOOKUP($A330,Loan_Register!$A$2:$A$301,Loan_Register!$N$2:$N$301,""), "")</f>
        <v/>
      </c>
      <c r="E330" s="8" t="n"/>
      <c r="F330">
        <f>IF($A330="","", IF($E330&gt;=$D330,"Paid", IF(TODAY()&gt;$C330,"Overdue","Pending")))</f>
        <v/>
      </c>
      <c r="G330" s="6" t="n"/>
      <c r="I330" s="8">
        <f>IF($A330="","", SUMIFS($D$2:$D$801,$A$2:$A$801,$A330) - SUMIFS($E$2:$E$801,$A$2:$A$801,$A330))</f>
        <v/>
      </c>
      <c r="J330">
        <f>IF($F330="Paid",0, IF($C330="","", MAX(0, TODAY()-$C330)))</f>
        <v/>
      </c>
    </row>
    <row r="331">
      <c r="C331" s="6">
        <f>IF(AND($A331&lt;&gt;"",$B331&lt;&gt;""), XLOOKUP($A331,Loan_Register!$A$2:$A$301,Loan_Register!$M$2:$M$301,"") + 7*($B331-1), "")</f>
        <v/>
      </c>
      <c r="D331" s="8">
        <f>IF($A331&lt;&gt;"", XLOOKUP($A331,Loan_Register!$A$2:$A$301,Loan_Register!$N$2:$N$301,""), "")</f>
        <v/>
      </c>
      <c r="E331" s="8" t="n"/>
      <c r="F331">
        <f>IF($A331="","", IF($E331&gt;=$D331,"Paid", IF(TODAY()&gt;$C331,"Overdue","Pending")))</f>
        <v/>
      </c>
      <c r="G331" s="6" t="n"/>
      <c r="I331" s="8">
        <f>IF($A331="","", SUMIFS($D$2:$D$801,$A$2:$A$801,$A331) - SUMIFS($E$2:$E$801,$A$2:$A$801,$A331))</f>
        <v/>
      </c>
      <c r="J331">
        <f>IF($F331="Paid",0, IF($C331="","", MAX(0, TODAY()-$C331)))</f>
        <v/>
      </c>
    </row>
    <row r="332">
      <c r="C332" s="6">
        <f>IF(AND($A332&lt;&gt;"",$B332&lt;&gt;""), XLOOKUP($A332,Loan_Register!$A$2:$A$301,Loan_Register!$M$2:$M$301,"") + 7*($B332-1), "")</f>
        <v/>
      </c>
      <c r="D332" s="8">
        <f>IF($A332&lt;&gt;"", XLOOKUP($A332,Loan_Register!$A$2:$A$301,Loan_Register!$N$2:$N$301,""), "")</f>
        <v/>
      </c>
      <c r="E332" s="8" t="n"/>
      <c r="F332">
        <f>IF($A332="","", IF($E332&gt;=$D332,"Paid", IF(TODAY()&gt;$C332,"Overdue","Pending")))</f>
        <v/>
      </c>
      <c r="G332" s="6" t="n"/>
      <c r="I332" s="8">
        <f>IF($A332="","", SUMIFS($D$2:$D$801,$A$2:$A$801,$A332) - SUMIFS($E$2:$E$801,$A$2:$A$801,$A332))</f>
        <v/>
      </c>
      <c r="J332">
        <f>IF($F332="Paid",0, IF($C332="","", MAX(0, TODAY()-$C332)))</f>
        <v/>
      </c>
    </row>
    <row r="333">
      <c r="C333" s="6">
        <f>IF(AND($A333&lt;&gt;"",$B333&lt;&gt;""), XLOOKUP($A333,Loan_Register!$A$2:$A$301,Loan_Register!$M$2:$M$301,"") + 7*($B333-1), "")</f>
        <v/>
      </c>
      <c r="D333" s="8">
        <f>IF($A333&lt;&gt;"", XLOOKUP($A333,Loan_Register!$A$2:$A$301,Loan_Register!$N$2:$N$301,""), "")</f>
        <v/>
      </c>
      <c r="E333" s="8" t="n"/>
      <c r="F333">
        <f>IF($A333="","", IF($E333&gt;=$D333,"Paid", IF(TODAY()&gt;$C333,"Overdue","Pending")))</f>
        <v/>
      </c>
      <c r="G333" s="6" t="n"/>
      <c r="I333" s="8">
        <f>IF($A333="","", SUMIFS($D$2:$D$801,$A$2:$A$801,$A333) - SUMIFS($E$2:$E$801,$A$2:$A$801,$A333))</f>
        <v/>
      </c>
      <c r="J333">
        <f>IF($F333="Paid",0, IF($C333="","", MAX(0, TODAY()-$C333)))</f>
        <v/>
      </c>
    </row>
    <row r="334">
      <c r="C334" s="6">
        <f>IF(AND($A334&lt;&gt;"",$B334&lt;&gt;""), XLOOKUP($A334,Loan_Register!$A$2:$A$301,Loan_Register!$M$2:$M$301,"") + 7*($B334-1), "")</f>
        <v/>
      </c>
      <c r="D334" s="8">
        <f>IF($A334&lt;&gt;"", XLOOKUP($A334,Loan_Register!$A$2:$A$301,Loan_Register!$N$2:$N$301,""), "")</f>
        <v/>
      </c>
      <c r="E334" s="8" t="n"/>
      <c r="F334">
        <f>IF($A334="","", IF($E334&gt;=$D334,"Paid", IF(TODAY()&gt;$C334,"Overdue","Pending")))</f>
        <v/>
      </c>
      <c r="G334" s="6" t="n"/>
      <c r="I334" s="8">
        <f>IF($A334="","", SUMIFS($D$2:$D$801,$A$2:$A$801,$A334) - SUMIFS($E$2:$E$801,$A$2:$A$801,$A334))</f>
        <v/>
      </c>
      <c r="J334">
        <f>IF($F334="Paid",0, IF($C334="","", MAX(0, TODAY()-$C334)))</f>
        <v/>
      </c>
    </row>
    <row r="335">
      <c r="C335" s="6">
        <f>IF(AND($A335&lt;&gt;"",$B335&lt;&gt;""), XLOOKUP($A335,Loan_Register!$A$2:$A$301,Loan_Register!$M$2:$M$301,"") + 7*($B335-1), "")</f>
        <v/>
      </c>
      <c r="D335" s="8">
        <f>IF($A335&lt;&gt;"", XLOOKUP($A335,Loan_Register!$A$2:$A$301,Loan_Register!$N$2:$N$301,""), "")</f>
        <v/>
      </c>
      <c r="E335" s="8" t="n"/>
      <c r="F335">
        <f>IF($A335="","", IF($E335&gt;=$D335,"Paid", IF(TODAY()&gt;$C335,"Overdue","Pending")))</f>
        <v/>
      </c>
      <c r="G335" s="6" t="n"/>
      <c r="I335" s="8">
        <f>IF($A335="","", SUMIFS($D$2:$D$801,$A$2:$A$801,$A335) - SUMIFS($E$2:$E$801,$A$2:$A$801,$A335))</f>
        <v/>
      </c>
      <c r="J335">
        <f>IF($F335="Paid",0, IF($C335="","", MAX(0, TODAY()-$C335)))</f>
        <v/>
      </c>
    </row>
    <row r="336">
      <c r="C336" s="6">
        <f>IF(AND($A336&lt;&gt;"",$B336&lt;&gt;""), XLOOKUP($A336,Loan_Register!$A$2:$A$301,Loan_Register!$M$2:$M$301,"") + 7*($B336-1), "")</f>
        <v/>
      </c>
      <c r="D336" s="8">
        <f>IF($A336&lt;&gt;"", XLOOKUP($A336,Loan_Register!$A$2:$A$301,Loan_Register!$N$2:$N$301,""), "")</f>
        <v/>
      </c>
      <c r="E336" s="8" t="n"/>
      <c r="F336">
        <f>IF($A336="","", IF($E336&gt;=$D336,"Paid", IF(TODAY()&gt;$C336,"Overdue","Pending")))</f>
        <v/>
      </c>
      <c r="G336" s="6" t="n"/>
      <c r="I336" s="8">
        <f>IF($A336="","", SUMIFS($D$2:$D$801,$A$2:$A$801,$A336) - SUMIFS($E$2:$E$801,$A$2:$A$801,$A336))</f>
        <v/>
      </c>
      <c r="J336">
        <f>IF($F336="Paid",0, IF($C336="","", MAX(0, TODAY()-$C336)))</f>
        <v/>
      </c>
    </row>
    <row r="337">
      <c r="C337" s="6">
        <f>IF(AND($A337&lt;&gt;"",$B337&lt;&gt;""), XLOOKUP($A337,Loan_Register!$A$2:$A$301,Loan_Register!$M$2:$M$301,"") + 7*($B337-1), "")</f>
        <v/>
      </c>
      <c r="D337" s="8">
        <f>IF($A337&lt;&gt;"", XLOOKUP($A337,Loan_Register!$A$2:$A$301,Loan_Register!$N$2:$N$301,""), "")</f>
        <v/>
      </c>
      <c r="E337" s="8" t="n"/>
      <c r="F337">
        <f>IF($A337="","", IF($E337&gt;=$D337,"Paid", IF(TODAY()&gt;$C337,"Overdue","Pending")))</f>
        <v/>
      </c>
      <c r="G337" s="6" t="n"/>
      <c r="I337" s="8">
        <f>IF($A337="","", SUMIFS($D$2:$D$801,$A$2:$A$801,$A337) - SUMIFS($E$2:$E$801,$A$2:$A$801,$A337))</f>
        <v/>
      </c>
      <c r="J337">
        <f>IF($F337="Paid",0, IF($C337="","", MAX(0, TODAY()-$C337)))</f>
        <v/>
      </c>
    </row>
    <row r="338">
      <c r="C338" s="6">
        <f>IF(AND($A338&lt;&gt;"",$B338&lt;&gt;""), XLOOKUP($A338,Loan_Register!$A$2:$A$301,Loan_Register!$M$2:$M$301,"") + 7*($B338-1), "")</f>
        <v/>
      </c>
      <c r="D338" s="8">
        <f>IF($A338&lt;&gt;"", XLOOKUP($A338,Loan_Register!$A$2:$A$301,Loan_Register!$N$2:$N$301,""), "")</f>
        <v/>
      </c>
      <c r="E338" s="8" t="n"/>
      <c r="F338">
        <f>IF($A338="","", IF($E338&gt;=$D338,"Paid", IF(TODAY()&gt;$C338,"Overdue","Pending")))</f>
        <v/>
      </c>
      <c r="G338" s="6" t="n"/>
      <c r="I338" s="8">
        <f>IF($A338="","", SUMIFS($D$2:$D$801,$A$2:$A$801,$A338) - SUMIFS($E$2:$E$801,$A$2:$A$801,$A338))</f>
        <v/>
      </c>
      <c r="J338">
        <f>IF($F338="Paid",0, IF($C338="","", MAX(0, TODAY()-$C338)))</f>
        <v/>
      </c>
    </row>
    <row r="339">
      <c r="C339" s="6">
        <f>IF(AND($A339&lt;&gt;"",$B339&lt;&gt;""), XLOOKUP($A339,Loan_Register!$A$2:$A$301,Loan_Register!$M$2:$M$301,"") + 7*($B339-1), "")</f>
        <v/>
      </c>
      <c r="D339" s="8">
        <f>IF($A339&lt;&gt;"", XLOOKUP($A339,Loan_Register!$A$2:$A$301,Loan_Register!$N$2:$N$301,""), "")</f>
        <v/>
      </c>
      <c r="E339" s="8" t="n"/>
      <c r="F339">
        <f>IF($A339="","", IF($E339&gt;=$D339,"Paid", IF(TODAY()&gt;$C339,"Overdue","Pending")))</f>
        <v/>
      </c>
      <c r="G339" s="6" t="n"/>
      <c r="I339" s="8">
        <f>IF($A339="","", SUMIFS($D$2:$D$801,$A$2:$A$801,$A339) - SUMIFS($E$2:$E$801,$A$2:$A$801,$A339))</f>
        <v/>
      </c>
      <c r="J339">
        <f>IF($F339="Paid",0, IF($C339="","", MAX(0, TODAY()-$C339)))</f>
        <v/>
      </c>
    </row>
    <row r="340">
      <c r="C340" s="6">
        <f>IF(AND($A340&lt;&gt;"",$B340&lt;&gt;""), XLOOKUP($A340,Loan_Register!$A$2:$A$301,Loan_Register!$M$2:$M$301,"") + 7*($B340-1), "")</f>
        <v/>
      </c>
      <c r="D340" s="8">
        <f>IF($A340&lt;&gt;"", XLOOKUP($A340,Loan_Register!$A$2:$A$301,Loan_Register!$N$2:$N$301,""), "")</f>
        <v/>
      </c>
      <c r="E340" s="8" t="n"/>
      <c r="F340">
        <f>IF($A340="","", IF($E340&gt;=$D340,"Paid", IF(TODAY()&gt;$C340,"Overdue","Pending")))</f>
        <v/>
      </c>
      <c r="G340" s="6" t="n"/>
      <c r="I340" s="8">
        <f>IF($A340="","", SUMIFS($D$2:$D$801,$A$2:$A$801,$A340) - SUMIFS($E$2:$E$801,$A$2:$A$801,$A340))</f>
        <v/>
      </c>
      <c r="J340">
        <f>IF($F340="Paid",0, IF($C340="","", MAX(0, TODAY()-$C340)))</f>
        <v/>
      </c>
    </row>
    <row r="341">
      <c r="C341" s="6">
        <f>IF(AND($A341&lt;&gt;"",$B341&lt;&gt;""), XLOOKUP($A341,Loan_Register!$A$2:$A$301,Loan_Register!$M$2:$M$301,"") + 7*($B341-1), "")</f>
        <v/>
      </c>
      <c r="D341" s="8">
        <f>IF($A341&lt;&gt;"", XLOOKUP($A341,Loan_Register!$A$2:$A$301,Loan_Register!$N$2:$N$301,""), "")</f>
        <v/>
      </c>
      <c r="E341" s="8" t="n"/>
      <c r="F341">
        <f>IF($A341="","", IF($E341&gt;=$D341,"Paid", IF(TODAY()&gt;$C341,"Overdue","Pending")))</f>
        <v/>
      </c>
      <c r="G341" s="6" t="n"/>
      <c r="I341" s="8">
        <f>IF($A341="","", SUMIFS($D$2:$D$801,$A$2:$A$801,$A341) - SUMIFS($E$2:$E$801,$A$2:$A$801,$A341))</f>
        <v/>
      </c>
      <c r="J341">
        <f>IF($F341="Paid",0, IF($C341="","", MAX(0, TODAY()-$C341)))</f>
        <v/>
      </c>
    </row>
    <row r="342">
      <c r="C342" s="6">
        <f>IF(AND($A342&lt;&gt;"",$B342&lt;&gt;""), XLOOKUP($A342,Loan_Register!$A$2:$A$301,Loan_Register!$M$2:$M$301,"") + 7*($B342-1), "")</f>
        <v/>
      </c>
      <c r="D342" s="8">
        <f>IF($A342&lt;&gt;"", XLOOKUP($A342,Loan_Register!$A$2:$A$301,Loan_Register!$N$2:$N$301,""), "")</f>
        <v/>
      </c>
      <c r="E342" s="8" t="n"/>
      <c r="F342">
        <f>IF($A342="","", IF($E342&gt;=$D342,"Paid", IF(TODAY()&gt;$C342,"Overdue","Pending")))</f>
        <v/>
      </c>
      <c r="G342" s="6" t="n"/>
      <c r="I342" s="8">
        <f>IF($A342="","", SUMIFS($D$2:$D$801,$A$2:$A$801,$A342) - SUMIFS($E$2:$E$801,$A$2:$A$801,$A342))</f>
        <v/>
      </c>
      <c r="J342">
        <f>IF($F342="Paid",0, IF($C342="","", MAX(0, TODAY()-$C342)))</f>
        <v/>
      </c>
    </row>
    <row r="343">
      <c r="C343" s="6">
        <f>IF(AND($A343&lt;&gt;"",$B343&lt;&gt;""), XLOOKUP($A343,Loan_Register!$A$2:$A$301,Loan_Register!$M$2:$M$301,"") + 7*($B343-1), "")</f>
        <v/>
      </c>
      <c r="D343" s="8">
        <f>IF($A343&lt;&gt;"", XLOOKUP($A343,Loan_Register!$A$2:$A$301,Loan_Register!$N$2:$N$301,""), "")</f>
        <v/>
      </c>
      <c r="E343" s="8" t="n"/>
      <c r="F343">
        <f>IF($A343="","", IF($E343&gt;=$D343,"Paid", IF(TODAY()&gt;$C343,"Overdue","Pending")))</f>
        <v/>
      </c>
      <c r="G343" s="6" t="n"/>
      <c r="I343" s="8">
        <f>IF($A343="","", SUMIFS($D$2:$D$801,$A$2:$A$801,$A343) - SUMIFS($E$2:$E$801,$A$2:$A$801,$A343))</f>
        <v/>
      </c>
      <c r="J343">
        <f>IF($F343="Paid",0, IF($C343="","", MAX(0, TODAY()-$C343)))</f>
        <v/>
      </c>
    </row>
    <row r="344">
      <c r="C344" s="6">
        <f>IF(AND($A344&lt;&gt;"",$B344&lt;&gt;""), XLOOKUP($A344,Loan_Register!$A$2:$A$301,Loan_Register!$M$2:$M$301,"") + 7*($B344-1), "")</f>
        <v/>
      </c>
      <c r="D344" s="8">
        <f>IF($A344&lt;&gt;"", XLOOKUP($A344,Loan_Register!$A$2:$A$301,Loan_Register!$N$2:$N$301,""), "")</f>
        <v/>
      </c>
      <c r="E344" s="8" t="n"/>
      <c r="F344">
        <f>IF($A344="","", IF($E344&gt;=$D344,"Paid", IF(TODAY()&gt;$C344,"Overdue","Pending")))</f>
        <v/>
      </c>
      <c r="G344" s="6" t="n"/>
      <c r="I344" s="8">
        <f>IF($A344="","", SUMIFS($D$2:$D$801,$A$2:$A$801,$A344) - SUMIFS($E$2:$E$801,$A$2:$A$801,$A344))</f>
        <v/>
      </c>
      <c r="J344">
        <f>IF($F344="Paid",0, IF($C344="","", MAX(0, TODAY()-$C344)))</f>
        <v/>
      </c>
    </row>
    <row r="345">
      <c r="C345" s="6">
        <f>IF(AND($A345&lt;&gt;"",$B345&lt;&gt;""), XLOOKUP($A345,Loan_Register!$A$2:$A$301,Loan_Register!$M$2:$M$301,"") + 7*($B345-1), "")</f>
        <v/>
      </c>
      <c r="D345" s="8">
        <f>IF($A345&lt;&gt;"", XLOOKUP($A345,Loan_Register!$A$2:$A$301,Loan_Register!$N$2:$N$301,""), "")</f>
        <v/>
      </c>
      <c r="E345" s="8" t="n"/>
      <c r="F345">
        <f>IF($A345="","", IF($E345&gt;=$D345,"Paid", IF(TODAY()&gt;$C345,"Overdue","Pending")))</f>
        <v/>
      </c>
      <c r="G345" s="6" t="n"/>
      <c r="I345" s="8">
        <f>IF($A345="","", SUMIFS($D$2:$D$801,$A$2:$A$801,$A345) - SUMIFS($E$2:$E$801,$A$2:$A$801,$A345))</f>
        <v/>
      </c>
      <c r="J345">
        <f>IF($F345="Paid",0, IF($C345="","", MAX(0, TODAY()-$C345)))</f>
        <v/>
      </c>
    </row>
    <row r="346">
      <c r="C346" s="6">
        <f>IF(AND($A346&lt;&gt;"",$B346&lt;&gt;""), XLOOKUP($A346,Loan_Register!$A$2:$A$301,Loan_Register!$M$2:$M$301,"") + 7*($B346-1), "")</f>
        <v/>
      </c>
      <c r="D346" s="8">
        <f>IF($A346&lt;&gt;"", XLOOKUP($A346,Loan_Register!$A$2:$A$301,Loan_Register!$N$2:$N$301,""), "")</f>
        <v/>
      </c>
      <c r="E346" s="8" t="n"/>
      <c r="F346">
        <f>IF($A346="","", IF($E346&gt;=$D346,"Paid", IF(TODAY()&gt;$C346,"Overdue","Pending")))</f>
        <v/>
      </c>
      <c r="G346" s="6" t="n"/>
      <c r="I346" s="8">
        <f>IF($A346="","", SUMIFS($D$2:$D$801,$A$2:$A$801,$A346) - SUMIFS($E$2:$E$801,$A$2:$A$801,$A346))</f>
        <v/>
      </c>
      <c r="J346">
        <f>IF($F346="Paid",0, IF($C346="","", MAX(0, TODAY()-$C346)))</f>
        <v/>
      </c>
    </row>
    <row r="347">
      <c r="C347" s="6">
        <f>IF(AND($A347&lt;&gt;"",$B347&lt;&gt;""), XLOOKUP($A347,Loan_Register!$A$2:$A$301,Loan_Register!$M$2:$M$301,"") + 7*($B347-1), "")</f>
        <v/>
      </c>
      <c r="D347" s="8">
        <f>IF($A347&lt;&gt;"", XLOOKUP($A347,Loan_Register!$A$2:$A$301,Loan_Register!$N$2:$N$301,""), "")</f>
        <v/>
      </c>
      <c r="E347" s="8" t="n"/>
      <c r="F347">
        <f>IF($A347="","", IF($E347&gt;=$D347,"Paid", IF(TODAY()&gt;$C347,"Overdue","Pending")))</f>
        <v/>
      </c>
      <c r="G347" s="6" t="n"/>
      <c r="I347" s="8">
        <f>IF($A347="","", SUMIFS($D$2:$D$801,$A$2:$A$801,$A347) - SUMIFS($E$2:$E$801,$A$2:$A$801,$A347))</f>
        <v/>
      </c>
      <c r="J347">
        <f>IF($F347="Paid",0, IF($C347="","", MAX(0, TODAY()-$C347)))</f>
        <v/>
      </c>
    </row>
    <row r="348">
      <c r="C348" s="6">
        <f>IF(AND($A348&lt;&gt;"",$B348&lt;&gt;""), XLOOKUP($A348,Loan_Register!$A$2:$A$301,Loan_Register!$M$2:$M$301,"") + 7*($B348-1), "")</f>
        <v/>
      </c>
      <c r="D348" s="8">
        <f>IF($A348&lt;&gt;"", XLOOKUP($A348,Loan_Register!$A$2:$A$301,Loan_Register!$N$2:$N$301,""), "")</f>
        <v/>
      </c>
      <c r="E348" s="8" t="n"/>
      <c r="F348">
        <f>IF($A348="","", IF($E348&gt;=$D348,"Paid", IF(TODAY()&gt;$C348,"Overdue","Pending")))</f>
        <v/>
      </c>
      <c r="G348" s="6" t="n"/>
      <c r="I348" s="8">
        <f>IF($A348="","", SUMIFS($D$2:$D$801,$A$2:$A$801,$A348) - SUMIFS($E$2:$E$801,$A$2:$A$801,$A348))</f>
        <v/>
      </c>
      <c r="J348">
        <f>IF($F348="Paid",0, IF($C348="","", MAX(0, TODAY()-$C348)))</f>
        <v/>
      </c>
    </row>
    <row r="349">
      <c r="C349" s="6">
        <f>IF(AND($A349&lt;&gt;"",$B349&lt;&gt;""), XLOOKUP($A349,Loan_Register!$A$2:$A$301,Loan_Register!$M$2:$M$301,"") + 7*($B349-1), "")</f>
        <v/>
      </c>
      <c r="D349" s="8">
        <f>IF($A349&lt;&gt;"", XLOOKUP($A349,Loan_Register!$A$2:$A$301,Loan_Register!$N$2:$N$301,""), "")</f>
        <v/>
      </c>
      <c r="E349" s="8" t="n"/>
      <c r="F349">
        <f>IF($A349="","", IF($E349&gt;=$D349,"Paid", IF(TODAY()&gt;$C349,"Overdue","Pending")))</f>
        <v/>
      </c>
      <c r="G349" s="6" t="n"/>
      <c r="I349" s="8">
        <f>IF($A349="","", SUMIFS($D$2:$D$801,$A$2:$A$801,$A349) - SUMIFS($E$2:$E$801,$A$2:$A$801,$A349))</f>
        <v/>
      </c>
      <c r="J349">
        <f>IF($F349="Paid",0, IF($C349="","", MAX(0, TODAY()-$C349)))</f>
        <v/>
      </c>
    </row>
    <row r="350">
      <c r="C350" s="6">
        <f>IF(AND($A350&lt;&gt;"",$B350&lt;&gt;""), XLOOKUP($A350,Loan_Register!$A$2:$A$301,Loan_Register!$M$2:$M$301,"") + 7*($B350-1), "")</f>
        <v/>
      </c>
      <c r="D350" s="8">
        <f>IF($A350&lt;&gt;"", XLOOKUP($A350,Loan_Register!$A$2:$A$301,Loan_Register!$N$2:$N$301,""), "")</f>
        <v/>
      </c>
      <c r="E350" s="8" t="n"/>
      <c r="F350">
        <f>IF($A350="","", IF($E350&gt;=$D350,"Paid", IF(TODAY()&gt;$C350,"Overdue","Pending")))</f>
        <v/>
      </c>
      <c r="G350" s="6" t="n"/>
      <c r="I350" s="8">
        <f>IF($A350="","", SUMIFS($D$2:$D$801,$A$2:$A$801,$A350) - SUMIFS($E$2:$E$801,$A$2:$A$801,$A350))</f>
        <v/>
      </c>
      <c r="J350">
        <f>IF($F350="Paid",0, IF($C350="","", MAX(0, TODAY()-$C350)))</f>
        <v/>
      </c>
    </row>
    <row r="351">
      <c r="C351" s="6">
        <f>IF(AND($A351&lt;&gt;"",$B351&lt;&gt;""), XLOOKUP($A351,Loan_Register!$A$2:$A$301,Loan_Register!$M$2:$M$301,"") + 7*($B351-1), "")</f>
        <v/>
      </c>
      <c r="D351" s="8">
        <f>IF($A351&lt;&gt;"", XLOOKUP($A351,Loan_Register!$A$2:$A$301,Loan_Register!$N$2:$N$301,""), "")</f>
        <v/>
      </c>
      <c r="E351" s="8" t="n"/>
      <c r="F351">
        <f>IF($A351="","", IF($E351&gt;=$D351,"Paid", IF(TODAY()&gt;$C351,"Overdue","Pending")))</f>
        <v/>
      </c>
      <c r="G351" s="6" t="n"/>
      <c r="I351" s="8">
        <f>IF($A351="","", SUMIFS($D$2:$D$801,$A$2:$A$801,$A351) - SUMIFS($E$2:$E$801,$A$2:$A$801,$A351))</f>
        <v/>
      </c>
      <c r="J351">
        <f>IF($F351="Paid",0, IF($C351="","", MAX(0, TODAY()-$C351)))</f>
        <v/>
      </c>
    </row>
    <row r="352">
      <c r="C352" s="6">
        <f>IF(AND($A352&lt;&gt;"",$B352&lt;&gt;""), XLOOKUP($A352,Loan_Register!$A$2:$A$301,Loan_Register!$M$2:$M$301,"") + 7*($B352-1), "")</f>
        <v/>
      </c>
      <c r="D352" s="8">
        <f>IF($A352&lt;&gt;"", XLOOKUP($A352,Loan_Register!$A$2:$A$301,Loan_Register!$N$2:$N$301,""), "")</f>
        <v/>
      </c>
      <c r="E352" s="8" t="n"/>
      <c r="F352">
        <f>IF($A352="","", IF($E352&gt;=$D352,"Paid", IF(TODAY()&gt;$C352,"Overdue","Pending")))</f>
        <v/>
      </c>
      <c r="G352" s="6" t="n"/>
      <c r="I352" s="8">
        <f>IF($A352="","", SUMIFS($D$2:$D$801,$A$2:$A$801,$A352) - SUMIFS($E$2:$E$801,$A$2:$A$801,$A352))</f>
        <v/>
      </c>
      <c r="J352">
        <f>IF($F352="Paid",0, IF($C352="","", MAX(0, TODAY()-$C352)))</f>
        <v/>
      </c>
    </row>
    <row r="353">
      <c r="C353" s="6">
        <f>IF(AND($A353&lt;&gt;"",$B353&lt;&gt;""), XLOOKUP($A353,Loan_Register!$A$2:$A$301,Loan_Register!$M$2:$M$301,"") + 7*($B353-1), "")</f>
        <v/>
      </c>
      <c r="D353" s="8">
        <f>IF($A353&lt;&gt;"", XLOOKUP($A353,Loan_Register!$A$2:$A$301,Loan_Register!$N$2:$N$301,""), "")</f>
        <v/>
      </c>
      <c r="E353" s="8" t="n"/>
      <c r="F353">
        <f>IF($A353="","", IF($E353&gt;=$D353,"Paid", IF(TODAY()&gt;$C353,"Overdue","Pending")))</f>
        <v/>
      </c>
      <c r="G353" s="6" t="n"/>
      <c r="I353" s="8">
        <f>IF($A353="","", SUMIFS($D$2:$D$801,$A$2:$A$801,$A353) - SUMIFS($E$2:$E$801,$A$2:$A$801,$A353))</f>
        <v/>
      </c>
      <c r="J353">
        <f>IF($F353="Paid",0, IF($C353="","", MAX(0, TODAY()-$C353)))</f>
        <v/>
      </c>
    </row>
    <row r="354">
      <c r="C354" s="6">
        <f>IF(AND($A354&lt;&gt;"",$B354&lt;&gt;""), XLOOKUP($A354,Loan_Register!$A$2:$A$301,Loan_Register!$M$2:$M$301,"") + 7*($B354-1), "")</f>
        <v/>
      </c>
      <c r="D354" s="8">
        <f>IF($A354&lt;&gt;"", XLOOKUP($A354,Loan_Register!$A$2:$A$301,Loan_Register!$N$2:$N$301,""), "")</f>
        <v/>
      </c>
      <c r="E354" s="8" t="n"/>
      <c r="F354">
        <f>IF($A354="","", IF($E354&gt;=$D354,"Paid", IF(TODAY()&gt;$C354,"Overdue","Pending")))</f>
        <v/>
      </c>
      <c r="G354" s="6" t="n"/>
      <c r="I354" s="8">
        <f>IF($A354="","", SUMIFS($D$2:$D$801,$A$2:$A$801,$A354) - SUMIFS($E$2:$E$801,$A$2:$A$801,$A354))</f>
        <v/>
      </c>
      <c r="J354">
        <f>IF($F354="Paid",0, IF($C354="","", MAX(0, TODAY()-$C354)))</f>
        <v/>
      </c>
    </row>
    <row r="355">
      <c r="C355" s="6">
        <f>IF(AND($A355&lt;&gt;"",$B355&lt;&gt;""), XLOOKUP($A355,Loan_Register!$A$2:$A$301,Loan_Register!$M$2:$M$301,"") + 7*($B355-1), "")</f>
        <v/>
      </c>
      <c r="D355" s="8">
        <f>IF($A355&lt;&gt;"", XLOOKUP($A355,Loan_Register!$A$2:$A$301,Loan_Register!$N$2:$N$301,""), "")</f>
        <v/>
      </c>
      <c r="E355" s="8" t="n"/>
      <c r="F355">
        <f>IF($A355="","", IF($E355&gt;=$D355,"Paid", IF(TODAY()&gt;$C355,"Overdue","Pending")))</f>
        <v/>
      </c>
      <c r="G355" s="6" t="n"/>
      <c r="I355" s="8">
        <f>IF($A355="","", SUMIFS($D$2:$D$801,$A$2:$A$801,$A355) - SUMIFS($E$2:$E$801,$A$2:$A$801,$A355))</f>
        <v/>
      </c>
      <c r="J355">
        <f>IF($F355="Paid",0, IF($C355="","", MAX(0, TODAY()-$C355)))</f>
        <v/>
      </c>
    </row>
    <row r="356">
      <c r="C356" s="6">
        <f>IF(AND($A356&lt;&gt;"",$B356&lt;&gt;""), XLOOKUP($A356,Loan_Register!$A$2:$A$301,Loan_Register!$M$2:$M$301,"") + 7*($B356-1), "")</f>
        <v/>
      </c>
      <c r="D356" s="8">
        <f>IF($A356&lt;&gt;"", XLOOKUP($A356,Loan_Register!$A$2:$A$301,Loan_Register!$N$2:$N$301,""), "")</f>
        <v/>
      </c>
      <c r="E356" s="8" t="n"/>
      <c r="F356">
        <f>IF($A356="","", IF($E356&gt;=$D356,"Paid", IF(TODAY()&gt;$C356,"Overdue","Pending")))</f>
        <v/>
      </c>
      <c r="G356" s="6" t="n"/>
      <c r="I356" s="8">
        <f>IF($A356="","", SUMIFS($D$2:$D$801,$A$2:$A$801,$A356) - SUMIFS($E$2:$E$801,$A$2:$A$801,$A356))</f>
        <v/>
      </c>
      <c r="J356">
        <f>IF($F356="Paid",0, IF($C356="","", MAX(0, TODAY()-$C356)))</f>
        <v/>
      </c>
    </row>
    <row r="357">
      <c r="C357" s="6">
        <f>IF(AND($A357&lt;&gt;"",$B357&lt;&gt;""), XLOOKUP($A357,Loan_Register!$A$2:$A$301,Loan_Register!$M$2:$M$301,"") + 7*($B357-1), "")</f>
        <v/>
      </c>
      <c r="D357" s="8">
        <f>IF($A357&lt;&gt;"", XLOOKUP($A357,Loan_Register!$A$2:$A$301,Loan_Register!$N$2:$N$301,""), "")</f>
        <v/>
      </c>
      <c r="E357" s="8" t="n"/>
      <c r="F357">
        <f>IF($A357="","", IF($E357&gt;=$D357,"Paid", IF(TODAY()&gt;$C357,"Overdue","Pending")))</f>
        <v/>
      </c>
      <c r="G357" s="6" t="n"/>
      <c r="I357" s="8">
        <f>IF($A357="","", SUMIFS($D$2:$D$801,$A$2:$A$801,$A357) - SUMIFS($E$2:$E$801,$A$2:$A$801,$A357))</f>
        <v/>
      </c>
      <c r="J357">
        <f>IF($F357="Paid",0, IF($C357="","", MAX(0, TODAY()-$C357)))</f>
        <v/>
      </c>
    </row>
    <row r="358">
      <c r="C358" s="6">
        <f>IF(AND($A358&lt;&gt;"",$B358&lt;&gt;""), XLOOKUP($A358,Loan_Register!$A$2:$A$301,Loan_Register!$M$2:$M$301,"") + 7*($B358-1), "")</f>
        <v/>
      </c>
      <c r="D358" s="8">
        <f>IF($A358&lt;&gt;"", XLOOKUP($A358,Loan_Register!$A$2:$A$301,Loan_Register!$N$2:$N$301,""), "")</f>
        <v/>
      </c>
      <c r="E358" s="8" t="n"/>
      <c r="F358">
        <f>IF($A358="","", IF($E358&gt;=$D358,"Paid", IF(TODAY()&gt;$C358,"Overdue","Pending")))</f>
        <v/>
      </c>
      <c r="G358" s="6" t="n"/>
      <c r="I358" s="8">
        <f>IF($A358="","", SUMIFS($D$2:$D$801,$A$2:$A$801,$A358) - SUMIFS($E$2:$E$801,$A$2:$A$801,$A358))</f>
        <v/>
      </c>
      <c r="J358">
        <f>IF($F358="Paid",0, IF($C358="","", MAX(0, TODAY()-$C358)))</f>
        <v/>
      </c>
    </row>
    <row r="359">
      <c r="C359" s="6">
        <f>IF(AND($A359&lt;&gt;"",$B359&lt;&gt;""), XLOOKUP($A359,Loan_Register!$A$2:$A$301,Loan_Register!$M$2:$M$301,"") + 7*($B359-1), "")</f>
        <v/>
      </c>
      <c r="D359" s="8">
        <f>IF($A359&lt;&gt;"", XLOOKUP($A359,Loan_Register!$A$2:$A$301,Loan_Register!$N$2:$N$301,""), "")</f>
        <v/>
      </c>
      <c r="E359" s="8" t="n"/>
      <c r="F359">
        <f>IF($A359="","", IF($E359&gt;=$D359,"Paid", IF(TODAY()&gt;$C359,"Overdue","Pending")))</f>
        <v/>
      </c>
      <c r="G359" s="6" t="n"/>
      <c r="I359" s="8">
        <f>IF($A359="","", SUMIFS($D$2:$D$801,$A$2:$A$801,$A359) - SUMIFS($E$2:$E$801,$A$2:$A$801,$A359))</f>
        <v/>
      </c>
      <c r="J359">
        <f>IF($F359="Paid",0, IF($C359="","", MAX(0, TODAY()-$C359)))</f>
        <v/>
      </c>
    </row>
    <row r="360">
      <c r="C360" s="6">
        <f>IF(AND($A360&lt;&gt;"",$B360&lt;&gt;""), XLOOKUP($A360,Loan_Register!$A$2:$A$301,Loan_Register!$M$2:$M$301,"") + 7*($B360-1), "")</f>
        <v/>
      </c>
      <c r="D360" s="8">
        <f>IF($A360&lt;&gt;"", XLOOKUP($A360,Loan_Register!$A$2:$A$301,Loan_Register!$N$2:$N$301,""), "")</f>
        <v/>
      </c>
      <c r="E360" s="8" t="n"/>
      <c r="F360">
        <f>IF($A360="","", IF($E360&gt;=$D360,"Paid", IF(TODAY()&gt;$C360,"Overdue","Pending")))</f>
        <v/>
      </c>
      <c r="G360" s="6" t="n"/>
      <c r="I360" s="8">
        <f>IF($A360="","", SUMIFS($D$2:$D$801,$A$2:$A$801,$A360) - SUMIFS($E$2:$E$801,$A$2:$A$801,$A360))</f>
        <v/>
      </c>
      <c r="J360">
        <f>IF($F360="Paid",0, IF($C360="","", MAX(0, TODAY()-$C360)))</f>
        <v/>
      </c>
    </row>
    <row r="361">
      <c r="C361" s="6">
        <f>IF(AND($A361&lt;&gt;"",$B361&lt;&gt;""), XLOOKUP($A361,Loan_Register!$A$2:$A$301,Loan_Register!$M$2:$M$301,"") + 7*($B361-1), "")</f>
        <v/>
      </c>
      <c r="D361" s="8">
        <f>IF($A361&lt;&gt;"", XLOOKUP($A361,Loan_Register!$A$2:$A$301,Loan_Register!$N$2:$N$301,""), "")</f>
        <v/>
      </c>
      <c r="E361" s="8" t="n"/>
      <c r="F361">
        <f>IF($A361="","", IF($E361&gt;=$D361,"Paid", IF(TODAY()&gt;$C361,"Overdue","Pending")))</f>
        <v/>
      </c>
      <c r="G361" s="6" t="n"/>
      <c r="I361" s="8">
        <f>IF($A361="","", SUMIFS($D$2:$D$801,$A$2:$A$801,$A361) - SUMIFS($E$2:$E$801,$A$2:$A$801,$A361))</f>
        <v/>
      </c>
      <c r="J361">
        <f>IF($F361="Paid",0, IF($C361="","", MAX(0, TODAY()-$C361)))</f>
        <v/>
      </c>
    </row>
    <row r="362">
      <c r="C362" s="6">
        <f>IF(AND($A362&lt;&gt;"",$B362&lt;&gt;""), XLOOKUP($A362,Loan_Register!$A$2:$A$301,Loan_Register!$M$2:$M$301,"") + 7*($B362-1), "")</f>
        <v/>
      </c>
      <c r="D362" s="8">
        <f>IF($A362&lt;&gt;"", XLOOKUP($A362,Loan_Register!$A$2:$A$301,Loan_Register!$N$2:$N$301,""), "")</f>
        <v/>
      </c>
      <c r="E362" s="8" t="n"/>
      <c r="F362">
        <f>IF($A362="","", IF($E362&gt;=$D362,"Paid", IF(TODAY()&gt;$C362,"Overdue","Pending")))</f>
        <v/>
      </c>
      <c r="G362" s="6" t="n"/>
      <c r="I362" s="8">
        <f>IF($A362="","", SUMIFS($D$2:$D$801,$A$2:$A$801,$A362) - SUMIFS($E$2:$E$801,$A$2:$A$801,$A362))</f>
        <v/>
      </c>
      <c r="J362">
        <f>IF($F362="Paid",0, IF($C362="","", MAX(0, TODAY()-$C362)))</f>
        <v/>
      </c>
    </row>
    <row r="363">
      <c r="C363" s="6">
        <f>IF(AND($A363&lt;&gt;"",$B363&lt;&gt;""), XLOOKUP($A363,Loan_Register!$A$2:$A$301,Loan_Register!$M$2:$M$301,"") + 7*($B363-1), "")</f>
        <v/>
      </c>
      <c r="D363" s="8">
        <f>IF($A363&lt;&gt;"", XLOOKUP($A363,Loan_Register!$A$2:$A$301,Loan_Register!$N$2:$N$301,""), "")</f>
        <v/>
      </c>
      <c r="E363" s="8" t="n"/>
      <c r="F363">
        <f>IF($A363="","", IF($E363&gt;=$D363,"Paid", IF(TODAY()&gt;$C363,"Overdue","Pending")))</f>
        <v/>
      </c>
      <c r="G363" s="6" t="n"/>
      <c r="I363" s="8">
        <f>IF($A363="","", SUMIFS($D$2:$D$801,$A$2:$A$801,$A363) - SUMIFS($E$2:$E$801,$A$2:$A$801,$A363))</f>
        <v/>
      </c>
      <c r="J363">
        <f>IF($F363="Paid",0, IF($C363="","", MAX(0, TODAY()-$C363)))</f>
        <v/>
      </c>
    </row>
    <row r="364">
      <c r="C364" s="6">
        <f>IF(AND($A364&lt;&gt;"",$B364&lt;&gt;""), XLOOKUP($A364,Loan_Register!$A$2:$A$301,Loan_Register!$M$2:$M$301,"") + 7*($B364-1), "")</f>
        <v/>
      </c>
      <c r="D364" s="8">
        <f>IF($A364&lt;&gt;"", XLOOKUP($A364,Loan_Register!$A$2:$A$301,Loan_Register!$N$2:$N$301,""), "")</f>
        <v/>
      </c>
      <c r="E364" s="8" t="n"/>
      <c r="F364">
        <f>IF($A364="","", IF($E364&gt;=$D364,"Paid", IF(TODAY()&gt;$C364,"Overdue","Pending")))</f>
        <v/>
      </c>
      <c r="G364" s="6" t="n"/>
      <c r="I364" s="8">
        <f>IF($A364="","", SUMIFS($D$2:$D$801,$A$2:$A$801,$A364) - SUMIFS($E$2:$E$801,$A$2:$A$801,$A364))</f>
        <v/>
      </c>
      <c r="J364">
        <f>IF($F364="Paid",0, IF($C364="","", MAX(0, TODAY()-$C364)))</f>
        <v/>
      </c>
    </row>
    <row r="365">
      <c r="C365" s="6">
        <f>IF(AND($A365&lt;&gt;"",$B365&lt;&gt;""), XLOOKUP($A365,Loan_Register!$A$2:$A$301,Loan_Register!$M$2:$M$301,"") + 7*($B365-1), "")</f>
        <v/>
      </c>
      <c r="D365" s="8">
        <f>IF($A365&lt;&gt;"", XLOOKUP($A365,Loan_Register!$A$2:$A$301,Loan_Register!$N$2:$N$301,""), "")</f>
        <v/>
      </c>
      <c r="E365" s="8" t="n"/>
      <c r="F365">
        <f>IF($A365="","", IF($E365&gt;=$D365,"Paid", IF(TODAY()&gt;$C365,"Overdue","Pending")))</f>
        <v/>
      </c>
      <c r="G365" s="6" t="n"/>
      <c r="I365" s="8">
        <f>IF($A365="","", SUMIFS($D$2:$D$801,$A$2:$A$801,$A365) - SUMIFS($E$2:$E$801,$A$2:$A$801,$A365))</f>
        <v/>
      </c>
      <c r="J365">
        <f>IF($F365="Paid",0, IF($C365="","", MAX(0, TODAY()-$C365)))</f>
        <v/>
      </c>
    </row>
    <row r="366">
      <c r="C366" s="6">
        <f>IF(AND($A366&lt;&gt;"",$B366&lt;&gt;""), XLOOKUP($A366,Loan_Register!$A$2:$A$301,Loan_Register!$M$2:$M$301,"") + 7*($B366-1), "")</f>
        <v/>
      </c>
      <c r="D366" s="8">
        <f>IF($A366&lt;&gt;"", XLOOKUP($A366,Loan_Register!$A$2:$A$301,Loan_Register!$N$2:$N$301,""), "")</f>
        <v/>
      </c>
      <c r="E366" s="8" t="n"/>
      <c r="F366">
        <f>IF($A366="","", IF($E366&gt;=$D366,"Paid", IF(TODAY()&gt;$C366,"Overdue","Pending")))</f>
        <v/>
      </c>
      <c r="G366" s="6" t="n"/>
      <c r="I366" s="8">
        <f>IF($A366="","", SUMIFS($D$2:$D$801,$A$2:$A$801,$A366) - SUMIFS($E$2:$E$801,$A$2:$A$801,$A366))</f>
        <v/>
      </c>
      <c r="J366">
        <f>IF($F366="Paid",0, IF($C366="","", MAX(0, TODAY()-$C366)))</f>
        <v/>
      </c>
    </row>
    <row r="367">
      <c r="C367" s="6">
        <f>IF(AND($A367&lt;&gt;"",$B367&lt;&gt;""), XLOOKUP($A367,Loan_Register!$A$2:$A$301,Loan_Register!$M$2:$M$301,"") + 7*($B367-1), "")</f>
        <v/>
      </c>
      <c r="D367" s="8">
        <f>IF($A367&lt;&gt;"", XLOOKUP($A367,Loan_Register!$A$2:$A$301,Loan_Register!$N$2:$N$301,""), "")</f>
        <v/>
      </c>
      <c r="E367" s="8" t="n"/>
      <c r="F367">
        <f>IF($A367="","", IF($E367&gt;=$D367,"Paid", IF(TODAY()&gt;$C367,"Overdue","Pending")))</f>
        <v/>
      </c>
      <c r="G367" s="6" t="n"/>
      <c r="I367" s="8">
        <f>IF($A367="","", SUMIFS($D$2:$D$801,$A$2:$A$801,$A367) - SUMIFS($E$2:$E$801,$A$2:$A$801,$A367))</f>
        <v/>
      </c>
      <c r="J367">
        <f>IF($F367="Paid",0, IF($C367="","", MAX(0, TODAY()-$C367)))</f>
        <v/>
      </c>
    </row>
    <row r="368">
      <c r="C368" s="6">
        <f>IF(AND($A368&lt;&gt;"",$B368&lt;&gt;""), XLOOKUP($A368,Loan_Register!$A$2:$A$301,Loan_Register!$M$2:$M$301,"") + 7*($B368-1), "")</f>
        <v/>
      </c>
      <c r="D368" s="8">
        <f>IF($A368&lt;&gt;"", XLOOKUP($A368,Loan_Register!$A$2:$A$301,Loan_Register!$N$2:$N$301,""), "")</f>
        <v/>
      </c>
      <c r="E368" s="8" t="n"/>
      <c r="F368">
        <f>IF($A368="","", IF($E368&gt;=$D368,"Paid", IF(TODAY()&gt;$C368,"Overdue","Pending")))</f>
        <v/>
      </c>
      <c r="G368" s="6" t="n"/>
      <c r="I368" s="8">
        <f>IF($A368="","", SUMIFS($D$2:$D$801,$A$2:$A$801,$A368) - SUMIFS($E$2:$E$801,$A$2:$A$801,$A368))</f>
        <v/>
      </c>
      <c r="J368">
        <f>IF($F368="Paid",0, IF($C368="","", MAX(0, TODAY()-$C368)))</f>
        <v/>
      </c>
    </row>
    <row r="369">
      <c r="C369" s="6">
        <f>IF(AND($A369&lt;&gt;"",$B369&lt;&gt;""), XLOOKUP($A369,Loan_Register!$A$2:$A$301,Loan_Register!$M$2:$M$301,"") + 7*($B369-1), "")</f>
        <v/>
      </c>
      <c r="D369" s="8">
        <f>IF($A369&lt;&gt;"", XLOOKUP($A369,Loan_Register!$A$2:$A$301,Loan_Register!$N$2:$N$301,""), "")</f>
        <v/>
      </c>
      <c r="E369" s="8" t="n"/>
      <c r="F369">
        <f>IF($A369="","", IF($E369&gt;=$D369,"Paid", IF(TODAY()&gt;$C369,"Overdue","Pending")))</f>
        <v/>
      </c>
      <c r="G369" s="6" t="n"/>
      <c r="I369" s="8">
        <f>IF($A369="","", SUMIFS($D$2:$D$801,$A$2:$A$801,$A369) - SUMIFS($E$2:$E$801,$A$2:$A$801,$A369))</f>
        <v/>
      </c>
      <c r="J369">
        <f>IF($F369="Paid",0, IF($C369="","", MAX(0, TODAY()-$C369)))</f>
        <v/>
      </c>
    </row>
    <row r="370">
      <c r="C370" s="6">
        <f>IF(AND($A370&lt;&gt;"",$B370&lt;&gt;""), XLOOKUP($A370,Loan_Register!$A$2:$A$301,Loan_Register!$M$2:$M$301,"") + 7*($B370-1), "")</f>
        <v/>
      </c>
      <c r="D370" s="8">
        <f>IF($A370&lt;&gt;"", XLOOKUP($A370,Loan_Register!$A$2:$A$301,Loan_Register!$N$2:$N$301,""), "")</f>
        <v/>
      </c>
      <c r="E370" s="8" t="n"/>
      <c r="F370">
        <f>IF($A370="","", IF($E370&gt;=$D370,"Paid", IF(TODAY()&gt;$C370,"Overdue","Pending")))</f>
        <v/>
      </c>
      <c r="G370" s="6" t="n"/>
      <c r="I370" s="8">
        <f>IF($A370="","", SUMIFS($D$2:$D$801,$A$2:$A$801,$A370) - SUMIFS($E$2:$E$801,$A$2:$A$801,$A370))</f>
        <v/>
      </c>
      <c r="J370">
        <f>IF($F370="Paid",0, IF($C370="","", MAX(0, TODAY()-$C370)))</f>
        <v/>
      </c>
    </row>
    <row r="371">
      <c r="C371" s="6">
        <f>IF(AND($A371&lt;&gt;"",$B371&lt;&gt;""), XLOOKUP($A371,Loan_Register!$A$2:$A$301,Loan_Register!$M$2:$M$301,"") + 7*($B371-1), "")</f>
        <v/>
      </c>
      <c r="D371" s="8">
        <f>IF($A371&lt;&gt;"", XLOOKUP($A371,Loan_Register!$A$2:$A$301,Loan_Register!$N$2:$N$301,""), "")</f>
        <v/>
      </c>
      <c r="E371" s="8" t="n"/>
      <c r="F371">
        <f>IF($A371="","", IF($E371&gt;=$D371,"Paid", IF(TODAY()&gt;$C371,"Overdue","Pending")))</f>
        <v/>
      </c>
      <c r="G371" s="6" t="n"/>
      <c r="I371" s="8">
        <f>IF($A371="","", SUMIFS($D$2:$D$801,$A$2:$A$801,$A371) - SUMIFS($E$2:$E$801,$A$2:$A$801,$A371))</f>
        <v/>
      </c>
      <c r="J371">
        <f>IF($F371="Paid",0, IF($C371="","", MAX(0, TODAY()-$C371)))</f>
        <v/>
      </c>
    </row>
    <row r="372">
      <c r="C372" s="6">
        <f>IF(AND($A372&lt;&gt;"",$B372&lt;&gt;""), XLOOKUP($A372,Loan_Register!$A$2:$A$301,Loan_Register!$M$2:$M$301,"") + 7*($B372-1), "")</f>
        <v/>
      </c>
      <c r="D372" s="8">
        <f>IF($A372&lt;&gt;"", XLOOKUP($A372,Loan_Register!$A$2:$A$301,Loan_Register!$N$2:$N$301,""), "")</f>
        <v/>
      </c>
      <c r="E372" s="8" t="n"/>
      <c r="F372">
        <f>IF($A372="","", IF($E372&gt;=$D372,"Paid", IF(TODAY()&gt;$C372,"Overdue","Pending")))</f>
        <v/>
      </c>
      <c r="G372" s="6" t="n"/>
      <c r="I372" s="8">
        <f>IF($A372="","", SUMIFS($D$2:$D$801,$A$2:$A$801,$A372) - SUMIFS($E$2:$E$801,$A$2:$A$801,$A372))</f>
        <v/>
      </c>
      <c r="J372">
        <f>IF($F372="Paid",0, IF($C372="","", MAX(0, TODAY()-$C372)))</f>
        <v/>
      </c>
    </row>
    <row r="373">
      <c r="C373" s="6">
        <f>IF(AND($A373&lt;&gt;"",$B373&lt;&gt;""), XLOOKUP($A373,Loan_Register!$A$2:$A$301,Loan_Register!$M$2:$M$301,"") + 7*($B373-1), "")</f>
        <v/>
      </c>
      <c r="D373" s="8">
        <f>IF($A373&lt;&gt;"", XLOOKUP($A373,Loan_Register!$A$2:$A$301,Loan_Register!$N$2:$N$301,""), "")</f>
        <v/>
      </c>
      <c r="E373" s="8" t="n"/>
      <c r="F373">
        <f>IF($A373="","", IF($E373&gt;=$D373,"Paid", IF(TODAY()&gt;$C373,"Overdue","Pending")))</f>
        <v/>
      </c>
      <c r="G373" s="6" t="n"/>
      <c r="I373" s="8">
        <f>IF($A373="","", SUMIFS($D$2:$D$801,$A$2:$A$801,$A373) - SUMIFS($E$2:$E$801,$A$2:$A$801,$A373))</f>
        <v/>
      </c>
      <c r="J373">
        <f>IF($F373="Paid",0, IF($C373="","", MAX(0, TODAY()-$C373)))</f>
        <v/>
      </c>
    </row>
    <row r="374">
      <c r="C374" s="6">
        <f>IF(AND($A374&lt;&gt;"",$B374&lt;&gt;""), XLOOKUP($A374,Loan_Register!$A$2:$A$301,Loan_Register!$M$2:$M$301,"") + 7*($B374-1), "")</f>
        <v/>
      </c>
      <c r="D374" s="8">
        <f>IF($A374&lt;&gt;"", XLOOKUP($A374,Loan_Register!$A$2:$A$301,Loan_Register!$N$2:$N$301,""), "")</f>
        <v/>
      </c>
      <c r="E374" s="8" t="n"/>
      <c r="F374">
        <f>IF($A374="","", IF($E374&gt;=$D374,"Paid", IF(TODAY()&gt;$C374,"Overdue","Pending")))</f>
        <v/>
      </c>
      <c r="G374" s="6" t="n"/>
      <c r="I374" s="8">
        <f>IF($A374="","", SUMIFS($D$2:$D$801,$A$2:$A$801,$A374) - SUMIFS($E$2:$E$801,$A$2:$A$801,$A374))</f>
        <v/>
      </c>
      <c r="J374">
        <f>IF($F374="Paid",0, IF($C374="","", MAX(0, TODAY()-$C374)))</f>
        <v/>
      </c>
    </row>
    <row r="375">
      <c r="C375" s="6">
        <f>IF(AND($A375&lt;&gt;"",$B375&lt;&gt;""), XLOOKUP($A375,Loan_Register!$A$2:$A$301,Loan_Register!$M$2:$M$301,"") + 7*($B375-1), "")</f>
        <v/>
      </c>
      <c r="D375" s="8">
        <f>IF($A375&lt;&gt;"", XLOOKUP($A375,Loan_Register!$A$2:$A$301,Loan_Register!$N$2:$N$301,""), "")</f>
        <v/>
      </c>
      <c r="E375" s="8" t="n"/>
      <c r="F375">
        <f>IF($A375="","", IF($E375&gt;=$D375,"Paid", IF(TODAY()&gt;$C375,"Overdue","Pending")))</f>
        <v/>
      </c>
      <c r="G375" s="6" t="n"/>
      <c r="I375" s="8">
        <f>IF($A375="","", SUMIFS($D$2:$D$801,$A$2:$A$801,$A375) - SUMIFS($E$2:$E$801,$A$2:$A$801,$A375))</f>
        <v/>
      </c>
      <c r="J375">
        <f>IF($F375="Paid",0, IF($C375="","", MAX(0, TODAY()-$C375)))</f>
        <v/>
      </c>
    </row>
    <row r="376">
      <c r="C376" s="6">
        <f>IF(AND($A376&lt;&gt;"",$B376&lt;&gt;""), XLOOKUP($A376,Loan_Register!$A$2:$A$301,Loan_Register!$M$2:$M$301,"") + 7*($B376-1), "")</f>
        <v/>
      </c>
      <c r="D376" s="8">
        <f>IF($A376&lt;&gt;"", XLOOKUP($A376,Loan_Register!$A$2:$A$301,Loan_Register!$N$2:$N$301,""), "")</f>
        <v/>
      </c>
      <c r="E376" s="8" t="n"/>
      <c r="F376">
        <f>IF($A376="","", IF($E376&gt;=$D376,"Paid", IF(TODAY()&gt;$C376,"Overdue","Pending")))</f>
        <v/>
      </c>
      <c r="G376" s="6" t="n"/>
      <c r="I376" s="8">
        <f>IF($A376="","", SUMIFS($D$2:$D$801,$A$2:$A$801,$A376) - SUMIFS($E$2:$E$801,$A$2:$A$801,$A376))</f>
        <v/>
      </c>
      <c r="J376">
        <f>IF($F376="Paid",0, IF($C376="","", MAX(0, TODAY()-$C376)))</f>
        <v/>
      </c>
    </row>
    <row r="377">
      <c r="C377" s="6">
        <f>IF(AND($A377&lt;&gt;"",$B377&lt;&gt;""), XLOOKUP($A377,Loan_Register!$A$2:$A$301,Loan_Register!$M$2:$M$301,"") + 7*($B377-1), "")</f>
        <v/>
      </c>
      <c r="D377" s="8">
        <f>IF($A377&lt;&gt;"", XLOOKUP($A377,Loan_Register!$A$2:$A$301,Loan_Register!$N$2:$N$301,""), "")</f>
        <v/>
      </c>
      <c r="E377" s="8" t="n"/>
      <c r="F377">
        <f>IF($A377="","", IF($E377&gt;=$D377,"Paid", IF(TODAY()&gt;$C377,"Overdue","Pending")))</f>
        <v/>
      </c>
      <c r="G377" s="6" t="n"/>
      <c r="I377" s="8">
        <f>IF($A377="","", SUMIFS($D$2:$D$801,$A$2:$A$801,$A377) - SUMIFS($E$2:$E$801,$A$2:$A$801,$A377))</f>
        <v/>
      </c>
      <c r="J377">
        <f>IF($F377="Paid",0, IF($C377="","", MAX(0, TODAY()-$C377)))</f>
        <v/>
      </c>
    </row>
    <row r="378">
      <c r="C378" s="6">
        <f>IF(AND($A378&lt;&gt;"",$B378&lt;&gt;""), XLOOKUP($A378,Loan_Register!$A$2:$A$301,Loan_Register!$M$2:$M$301,"") + 7*($B378-1), "")</f>
        <v/>
      </c>
      <c r="D378" s="8">
        <f>IF($A378&lt;&gt;"", XLOOKUP($A378,Loan_Register!$A$2:$A$301,Loan_Register!$N$2:$N$301,""), "")</f>
        <v/>
      </c>
      <c r="E378" s="8" t="n"/>
      <c r="F378">
        <f>IF($A378="","", IF($E378&gt;=$D378,"Paid", IF(TODAY()&gt;$C378,"Overdue","Pending")))</f>
        <v/>
      </c>
      <c r="G378" s="6" t="n"/>
      <c r="I378" s="8">
        <f>IF($A378="","", SUMIFS($D$2:$D$801,$A$2:$A$801,$A378) - SUMIFS($E$2:$E$801,$A$2:$A$801,$A378))</f>
        <v/>
      </c>
      <c r="J378">
        <f>IF($F378="Paid",0, IF($C378="","", MAX(0, TODAY()-$C378)))</f>
        <v/>
      </c>
    </row>
    <row r="379">
      <c r="C379" s="6">
        <f>IF(AND($A379&lt;&gt;"",$B379&lt;&gt;""), XLOOKUP($A379,Loan_Register!$A$2:$A$301,Loan_Register!$M$2:$M$301,"") + 7*($B379-1), "")</f>
        <v/>
      </c>
      <c r="D379" s="8">
        <f>IF($A379&lt;&gt;"", XLOOKUP($A379,Loan_Register!$A$2:$A$301,Loan_Register!$N$2:$N$301,""), "")</f>
        <v/>
      </c>
      <c r="E379" s="8" t="n"/>
      <c r="F379">
        <f>IF($A379="","", IF($E379&gt;=$D379,"Paid", IF(TODAY()&gt;$C379,"Overdue","Pending")))</f>
        <v/>
      </c>
      <c r="G379" s="6" t="n"/>
      <c r="I379" s="8">
        <f>IF($A379="","", SUMIFS($D$2:$D$801,$A$2:$A$801,$A379) - SUMIFS($E$2:$E$801,$A$2:$A$801,$A379))</f>
        <v/>
      </c>
      <c r="J379">
        <f>IF($F379="Paid",0, IF($C379="","", MAX(0, TODAY()-$C379)))</f>
        <v/>
      </c>
    </row>
    <row r="380">
      <c r="C380" s="6">
        <f>IF(AND($A380&lt;&gt;"",$B380&lt;&gt;""), XLOOKUP($A380,Loan_Register!$A$2:$A$301,Loan_Register!$M$2:$M$301,"") + 7*($B380-1), "")</f>
        <v/>
      </c>
      <c r="D380" s="8">
        <f>IF($A380&lt;&gt;"", XLOOKUP($A380,Loan_Register!$A$2:$A$301,Loan_Register!$N$2:$N$301,""), "")</f>
        <v/>
      </c>
      <c r="E380" s="8" t="n"/>
      <c r="F380">
        <f>IF($A380="","", IF($E380&gt;=$D380,"Paid", IF(TODAY()&gt;$C380,"Overdue","Pending")))</f>
        <v/>
      </c>
      <c r="G380" s="6" t="n"/>
      <c r="I380" s="8">
        <f>IF($A380="","", SUMIFS($D$2:$D$801,$A$2:$A$801,$A380) - SUMIFS($E$2:$E$801,$A$2:$A$801,$A380))</f>
        <v/>
      </c>
      <c r="J380">
        <f>IF($F380="Paid",0, IF($C380="","", MAX(0, TODAY()-$C380)))</f>
        <v/>
      </c>
    </row>
    <row r="381">
      <c r="C381" s="6">
        <f>IF(AND($A381&lt;&gt;"",$B381&lt;&gt;""), XLOOKUP($A381,Loan_Register!$A$2:$A$301,Loan_Register!$M$2:$M$301,"") + 7*($B381-1), "")</f>
        <v/>
      </c>
      <c r="D381" s="8">
        <f>IF($A381&lt;&gt;"", XLOOKUP($A381,Loan_Register!$A$2:$A$301,Loan_Register!$N$2:$N$301,""), "")</f>
        <v/>
      </c>
      <c r="E381" s="8" t="n"/>
      <c r="F381">
        <f>IF($A381="","", IF($E381&gt;=$D381,"Paid", IF(TODAY()&gt;$C381,"Overdue","Pending")))</f>
        <v/>
      </c>
      <c r="G381" s="6" t="n"/>
      <c r="I381" s="8">
        <f>IF($A381="","", SUMIFS($D$2:$D$801,$A$2:$A$801,$A381) - SUMIFS($E$2:$E$801,$A$2:$A$801,$A381))</f>
        <v/>
      </c>
      <c r="J381">
        <f>IF($F381="Paid",0, IF($C381="","", MAX(0, TODAY()-$C381)))</f>
        <v/>
      </c>
    </row>
    <row r="382">
      <c r="C382" s="6">
        <f>IF(AND($A382&lt;&gt;"",$B382&lt;&gt;""), XLOOKUP($A382,Loan_Register!$A$2:$A$301,Loan_Register!$M$2:$M$301,"") + 7*($B382-1), "")</f>
        <v/>
      </c>
      <c r="D382" s="8">
        <f>IF($A382&lt;&gt;"", XLOOKUP($A382,Loan_Register!$A$2:$A$301,Loan_Register!$N$2:$N$301,""), "")</f>
        <v/>
      </c>
      <c r="E382" s="8" t="n"/>
      <c r="F382">
        <f>IF($A382="","", IF($E382&gt;=$D382,"Paid", IF(TODAY()&gt;$C382,"Overdue","Pending")))</f>
        <v/>
      </c>
      <c r="G382" s="6" t="n"/>
      <c r="I382" s="8">
        <f>IF($A382="","", SUMIFS($D$2:$D$801,$A$2:$A$801,$A382) - SUMIFS($E$2:$E$801,$A$2:$A$801,$A382))</f>
        <v/>
      </c>
      <c r="J382">
        <f>IF($F382="Paid",0, IF($C382="","", MAX(0, TODAY()-$C382)))</f>
        <v/>
      </c>
    </row>
    <row r="383">
      <c r="C383" s="6">
        <f>IF(AND($A383&lt;&gt;"",$B383&lt;&gt;""), XLOOKUP($A383,Loan_Register!$A$2:$A$301,Loan_Register!$M$2:$M$301,"") + 7*($B383-1), "")</f>
        <v/>
      </c>
      <c r="D383" s="8">
        <f>IF($A383&lt;&gt;"", XLOOKUP($A383,Loan_Register!$A$2:$A$301,Loan_Register!$N$2:$N$301,""), "")</f>
        <v/>
      </c>
      <c r="E383" s="8" t="n"/>
      <c r="F383">
        <f>IF($A383="","", IF($E383&gt;=$D383,"Paid", IF(TODAY()&gt;$C383,"Overdue","Pending")))</f>
        <v/>
      </c>
      <c r="G383" s="6" t="n"/>
      <c r="I383" s="8">
        <f>IF($A383="","", SUMIFS($D$2:$D$801,$A$2:$A$801,$A383) - SUMIFS($E$2:$E$801,$A$2:$A$801,$A383))</f>
        <v/>
      </c>
      <c r="J383">
        <f>IF($F383="Paid",0, IF($C383="","", MAX(0, TODAY()-$C383)))</f>
        <v/>
      </c>
    </row>
    <row r="384">
      <c r="C384" s="6">
        <f>IF(AND($A384&lt;&gt;"",$B384&lt;&gt;""), XLOOKUP($A384,Loan_Register!$A$2:$A$301,Loan_Register!$M$2:$M$301,"") + 7*($B384-1), "")</f>
        <v/>
      </c>
      <c r="D384" s="8">
        <f>IF($A384&lt;&gt;"", XLOOKUP($A384,Loan_Register!$A$2:$A$301,Loan_Register!$N$2:$N$301,""), "")</f>
        <v/>
      </c>
      <c r="E384" s="8" t="n"/>
      <c r="F384">
        <f>IF($A384="","", IF($E384&gt;=$D384,"Paid", IF(TODAY()&gt;$C384,"Overdue","Pending")))</f>
        <v/>
      </c>
      <c r="G384" s="6" t="n"/>
      <c r="I384" s="8">
        <f>IF($A384="","", SUMIFS($D$2:$D$801,$A$2:$A$801,$A384) - SUMIFS($E$2:$E$801,$A$2:$A$801,$A384))</f>
        <v/>
      </c>
      <c r="J384">
        <f>IF($F384="Paid",0, IF($C384="","", MAX(0, TODAY()-$C384)))</f>
        <v/>
      </c>
    </row>
    <row r="385">
      <c r="C385" s="6">
        <f>IF(AND($A385&lt;&gt;"",$B385&lt;&gt;""), XLOOKUP($A385,Loan_Register!$A$2:$A$301,Loan_Register!$M$2:$M$301,"") + 7*($B385-1), "")</f>
        <v/>
      </c>
      <c r="D385" s="8">
        <f>IF($A385&lt;&gt;"", XLOOKUP($A385,Loan_Register!$A$2:$A$301,Loan_Register!$N$2:$N$301,""), "")</f>
        <v/>
      </c>
      <c r="E385" s="8" t="n"/>
      <c r="F385">
        <f>IF($A385="","", IF($E385&gt;=$D385,"Paid", IF(TODAY()&gt;$C385,"Overdue","Pending")))</f>
        <v/>
      </c>
      <c r="G385" s="6" t="n"/>
      <c r="I385" s="8">
        <f>IF($A385="","", SUMIFS($D$2:$D$801,$A$2:$A$801,$A385) - SUMIFS($E$2:$E$801,$A$2:$A$801,$A385))</f>
        <v/>
      </c>
      <c r="J385">
        <f>IF($F385="Paid",0, IF($C385="","", MAX(0, TODAY()-$C385)))</f>
        <v/>
      </c>
    </row>
    <row r="386">
      <c r="C386" s="6">
        <f>IF(AND($A386&lt;&gt;"",$B386&lt;&gt;""), XLOOKUP($A386,Loan_Register!$A$2:$A$301,Loan_Register!$M$2:$M$301,"") + 7*($B386-1), "")</f>
        <v/>
      </c>
      <c r="D386" s="8">
        <f>IF($A386&lt;&gt;"", XLOOKUP($A386,Loan_Register!$A$2:$A$301,Loan_Register!$N$2:$N$301,""), "")</f>
        <v/>
      </c>
      <c r="E386" s="8" t="n"/>
      <c r="F386">
        <f>IF($A386="","", IF($E386&gt;=$D386,"Paid", IF(TODAY()&gt;$C386,"Overdue","Pending")))</f>
        <v/>
      </c>
      <c r="G386" s="6" t="n"/>
      <c r="I386" s="8">
        <f>IF($A386="","", SUMIFS($D$2:$D$801,$A$2:$A$801,$A386) - SUMIFS($E$2:$E$801,$A$2:$A$801,$A386))</f>
        <v/>
      </c>
      <c r="J386">
        <f>IF($F386="Paid",0, IF($C386="","", MAX(0, TODAY()-$C386)))</f>
        <v/>
      </c>
    </row>
    <row r="387">
      <c r="C387" s="6">
        <f>IF(AND($A387&lt;&gt;"",$B387&lt;&gt;""), XLOOKUP($A387,Loan_Register!$A$2:$A$301,Loan_Register!$M$2:$M$301,"") + 7*($B387-1), "")</f>
        <v/>
      </c>
      <c r="D387" s="8">
        <f>IF($A387&lt;&gt;"", XLOOKUP($A387,Loan_Register!$A$2:$A$301,Loan_Register!$N$2:$N$301,""), "")</f>
        <v/>
      </c>
      <c r="E387" s="8" t="n"/>
      <c r="F387">
        <f>IF($A387="","", IF($E387&gt;=$D387,"Paid", IF(TODAY()&gt;$C387,"Overdue","Pending")))</f>
        <v/>
      </c>
      <c r="G387" s="6" t="n"/>
      <c r="I387" s="8">
        <f>IF($A387="","", SUMIFS($D$2:$D$801,$A$2:$A$801,$A387) - SUMIFS($E$2:$E$801,$A$2:$A$801,$A387))</f>
        <v/>
      </c>
      <c r="J387">
        <f>IF($F387="Paid",0, IF($C387="","", MAX(0, TODAY()-$C387)))</f>
        <v/>
      </c>
    </row>
    <row r="388">
      <c r="C388" s="6">
        <f>IF(AND($A388&lt;&gt;"",$B388&lt;&gt;""), XLOOKUP($A388,Loan_Register!$A$2:$A$301,Loan_Register!$M$2:$M$301,"") + 7*($B388-1), "")</f>
        <v/>
      </c>
      <c r="D388" s="8">
        <f>IF($A388&lt;&gt;"", XLOOKUP($A388,Loan_Register!$A$2:$A$301,Loan_Register!$N$2:$N$301,""), "")</f>
        <v/>
      </c>
      <c r="E388" s="8" t="n"/>
      <c r="F388">
        <f>IF($A388="","", IF($E388&gt;=$D388,"Paid", IF(TODAY()&gt;$C388,"Overdue","Pending")))</f>
        <v/>
      </c>
      <c r="G388" s="6" t="n"/>
      <c r="I388" s="8">
        <f>IF($A388="","", SUMIFS($D$2:$D$801,$A$2:$A$801,$A388) - SUMIFS($E$2:$E$801,$A$2:$A$801,$A388))</f>
        <v/>
      </c>
      <c r="J388">
        <f>IF($F388="Paid",0, IF($C388="","", MAX(0, TODAY()-$C388)))</f>
        <v/>
      </c>
    </row>
    <row r="389">
      <c r="C389" s="6">
        <f>IF(AND($A389&lt;&gt;"",$B389&lt;&gt;""), XLOOKUP($A389,Loan_Register!$A$2:$A$301,Loan_Register!$M$2:$M$301,"") + 7*($B389-1), "")</f>
        <v/>
      </c>
      <c r="D389" s="8">
        <f>IF($A389&lt;&gt;"", XLOOKUP($A389,Loan_Register!$A$2:$A$301,Loan_Register!$N$2:$N$301,""), "")</f>
        <v/>
      </c>
      <c r="E389" s="8" t="n"/>
      <c r="F389">
        <f>IF($A389="","", IF($E389&gt;=$D389,"Paid", IF(TODAY()&gt;$C389,"Overdue","Pending")))</f>
        <v/>
      </c>
      <c r="G389" s="6" t="n"/>
      <c r="I389" s="8">
        <f>IF($A389="","", SUMIFS($D$2:$D$801,$A$2:$A$801,$A389) - SUMIFS($E$2:$E$801,$A$2:$A$801,$A389))</f>
        <v/>
      </c>
      <c r="J389">
        <f>IF($F389="Paid",0, IF($C389="","", MAX(0, TODAY()-$C389)))</f>
        <v/>
      </c>
    </row>
    <row r="390">
      <c r="C390" s="6">
        <f>IF(AND($A390&lt;&gt;"",$B390&lt;&gt;""), XLOOKUP($A390,Loan_Register!$A$2:$A$301,Loan_Register!$M$2:$M$301,"") + 7*($B390-1), "")</f>
        <v/>
      </c>
      <c r="D390" s="8">
        <f>IF($A390&lt;&gt;"", XLOOKUP($A390,Loan_Register!$A$2:$A$301,Loan_Register!$N$2:$N$301,""), "")</f>
        <v/>
      </c>
      <c r="E390" s="8" t="n"/>
      <c r="F390">
        <f>IF($A390="","", IF($E390&gt;=$D390,"Paid", IF(TODAY()&gt;$C390,"Overdue","Pending")))</f>
        <v/>
      </c>
      <c r="G390" s="6" t="n"/>
      <c r="I390" s="8">
        <f>IF($A390="","", SUMIFS($D$2:$D$801,$A$2:$A$801,$A390) - SUMIFS($E$2:$E$801,$A$2:$A$801,$A390))</f>
        <v/>
      </c>
      <c r="J390">
        <f>IF($F390="Paid",0, IF($C390="","", MAX(0, TODAY()-$C390)))</f>
        <v/>
      </c>
    </row>
    <row r="391">
      <c r="C391" s="6">
        <f>IF(AND($A391&lt;&gt;"",$B391&lt;&gt;""), XLOOKUP($A391,Loan_Register!$A$2:$A$301,Loan_Register!$M$2:$M$301,"") + 7*($B391-1), "")</f>
        <v/>
      </c>
      <c r="D391" s="8">
        <f>IF($A391&lt;&gt;"", XLOOKUP($A391,Loan_Register!$A$2:$A$301,Loan_Register!$N$2:$N$301,""), "")</f>
        <v/>
      </c>
      <c r="E391" s="8" t="n"/>
      <c r="F391">
        <f>IF($A391="","", IF($E391&gt;=$D391,"Paid", IF(TODAY()&gt;$C391,"Overdue","Pending")))</f>
        <v/>
      </c>
      <c r="G391" s="6" t="n"/>
      <c r="I391" s="8">
        <f>IF($A391="","", SUMIFS($D$2:$D$801,$A$2:$A$801,$A391) - SUMIFS($E$2:$E$801,$A$2:$A$801,$A391))</f>
        <v/>
      </c>
      <c r="J391">
        <f>IF($F391="Paid",0, IF($C391="","", MAX(0, TODAY()-$C391)))</f>
        <v/>
      </c>
    </row>
    <row r="392">
      <c r="C392" s="6">
        <f>IF(AND($A392&lt;&gt;"",$B392&lt;&gt;""), XLOOKUP($A392,Loan_Register!$A$2:$A$301,Loan_Register!$M$2:$M$301,"") + 7*($B392-1), "")</f>
        <v/>
      </c>
      <c r="D392" s="8">
        <f>IF($A392&lt;&gt;"", XLOOKUP($A392,Loan_Register!$A$2:$A$301,Loan_Register!$N$2:$N$301,""), "")</f>
        <v/>
      </c>
      <c r="E392" s="8" t="n"/>
      <c r="F392">
        <f>IF($A392="","", IF($E392&gt;=$D392,"Paid", IF(TODAY()&gt;$C392,"Overdue","Pending")))</f>
        <v/>
      </c>
      <c r="G392" s="6" t="n"/>
      <c r="I392" s="8">
        <f>IF($A392="","", SUMIFS($D$2:$D$801,$A$2:$A$801,$A392) - SUMIFS($E$2:$E$801,$A$2:$A$801,$A392))</f>
        <v/>
      </c>
      <c r="J392">
        <f>IF($F392="Paid",0, IF($C392="","", MAX(0, TODAY()-$C392)))</f>
        <v/>
      </c>
    </row>
    <row r="393">
      <c r="C393" s="6">
        <f>IF(AND($A393&lt;&gt;"",$B393&lt;&gt;""), XLOOKUP($A393,Loan_Register!$A$2:$A$301,Loan_Register!$M$2:$M$301,"") + 7*($B393-1), "")</f>
        <v/>
      </c>
      <c r="D393" s="8">
        <f>IF($A393&lt;&gt;"", XLOOKUP($A393,Loan_Register!$A$2:$A$301,Loan_Register!$N$2:$N$301,""), "")</f>
        <v/>
      </c>
      <c r="E393" s="8" t="n"/>
      <c r="F393">
        <f>IF($A393="","", IF($E393&gt;=$D393,"Paid", IF(TODAY()&gt;$C393,"Overdue","Pending")))</f>
        <v/>
      </c>
      <c r="G393" s="6" t="n"/>
      <c r="I393" s="8">
        <f>IF($A393="","", SUMIFS($D$2:$D$801,$A$2:$A$801,$A393) - SUMIFS($E$2:$E$801,$A$2:$A$801,$A393))</f>
        <v/>
      </c>
      <c r="J393">
        <f>IF($F393="Paid",0, IF($C393="","", MAX(0, TODAY()-$C393)))</f>
        <v/>
      </c>
    </row>
    <row r="394">
      <c r="C394" s="6">
        <f>IF(AND($A394&lt;&gt;"",$B394&lt;&gt;""), XLOOKUP($A394,Loan_Register!$A$2:$A$301,Loan_Register!$M$2:$M$301,"") + 7*($B394-1), "")</f>
        <v/>
      </c>
      <c r="D394" s="8">
        <f>IF($A394&lt;&gt;"", XLOOKUP($A394,Loan_Register!$A$2:$A$301,Loan_Register!$N$2:$N$301,""), "")</f>
        <v/>
      </c>
      <c r="E394" s="8" t="n"/>
      <c r="F394">
        <f>IF($A394="","", IF($E394&gt;=$D394,"Paid", IF(TODAY()&gt;$C394,"Overdue","Pending")))</f>
        <v/>
      </c>
      <c r="G394" s="6" t="n"/>
      <c r="I394" s="8">
        <f>IF($A394="","", SUMIFS($D$2:$D$801,$A$2:$A$801,$A394) - SUMIFS($E$2:$E$801,$A$2:$A$801,$A394))</f>
        <v/>
      </c>
      <c r="J394">
        <f>IF($F394="Paid",0, IF($C394="","", MAX(0, TODAY()-$C394)))</f>
        <v/>
      </c>
    </row>
    <row r="395">
      <c r="C395" s="6">
        <f>IF(AND($A395&lt;&gt;"",$B395&lt;&gt;""), XLOOKUP($A395,Loan_Register!$A$2:$A$301,Loan_Register!$M$2:$M$301,"") + 7*($B395-1), "")</f>
        <v/>
      </c>
      <c r="D395" s="8">
        <f>IF($A395&lt;&gt;"", XLOOKUP($A395,Loan_Register!$A$2:$A$301,Loan_Register!$N$2:$N$301,""), "")</f>
        <v/>
      </c>
      <c r="E395" s="8" t="n"/>
      <c r="F395">
        <f>IF($A395="","", IF($E395&gt;=$D395,"Paid", IF(TODAY()&gt;$C395,"Overdue","Pending")))</f>
        <v/>
      </c>
      <c r="G395" s="6" t="n"/>
      <c r="I395" s="8">
        <f>IF($A395="","", SUMIFS($D$2:$D$801,$A$2:$A$801,$A395) - SUMIFS($E$2:$E$801,$A$2:$A$801,$A395))</f>
        <v/>
      </c>
      <c r="J395">
        <f>IF($F395="Paid",0, IF($C395="","", MAX(0, TODAY()-$C395)))</f>
        <v/>
      </c>
    </row>
    <row r="396">
      <c r="C396" s="6">
        <f>IF(AND($A396&lt;&gt;"",$B396&lt;&gt;""), XLOOKUP($A396,Loan_Register!$A$2:$A$301,Loan_Register!$M$2:$M$301,"") + 7*($B396-1), "")</f>
        <v/>
      </c>
      <c r="D396" s="8">
        <f>IF($A396&lt;&gt;"", XLOOKUP($A396,Loan_Register!$A$2:$A$301,Loan_Register!$N$2:$N$301,""), "")</f>
        <v/>
      </c>
      <c r="E396" s="8" t="n"/>
      <c r="F396">
        <f>IF($A396="","", IF($E396&gt;=$D396,"Paid", IF(TODAY()&gt;$C396,"Overdue","Pending")))</f>
        <v/>
      </c>
      <c r="G396" s="6" t="n"/>
      <c r="I396" s="8">
        <f>IF($A396="","", SUMIFS($D$2:$D$801,$A$2:$A$801,$A396) - SUMIFS($E$2:$E$801,$A$2:$A$801,$A396))</f>
        <v/>
      </c>
      <c r="J396">
        <f>IF($F396="Paid",0, IF($C396="","", MAX(0, TODAY()-$C396)))</f>
        <v/>
      </c>
    </row>
    <row r="397">
      <c r="C397" s="6">
        <f>IF(AND($A397&lt;&gt;"",$B397&lt;&gt;""), XLOOKUP($A397,Loan_Register!$A$2:$A$301,Loan_Register!$M$2:$M$301,"") + 7*($B397-1), "")</f>
        <v/>
      </c>
      <c r="D397" s="8">
        <f>IF($A397&lt;&gt;"", XLOOKUP($A397,Loan_Register!$A$2:$A$301,Loan_Register!$N$2:$N$301,""), "")</f>
        <v/>
      </c>
      <c r="E397" s="8" t="n"/>
      <c r="F397">
        <f>IF($A397="","", IF($E397&gt;=$D397,"Paid", IF(TODAY()&gt;$C397,"Overdue","Pending")))</f>
        <v/>
      </c>
      <c r="G397" s="6" t="n"/>
      <c r="I397" s="8">
        <f>IF($A397="","", SUMIFS($D$2:$D$801,$A$2:$A$801,$A397) - SUMIFS($E$2:$E$801,$A$2:$A$801,$A397))</f>
        <v/>
      </c>
      <c r="J397">
        <f>IF($F397="Paid",0, IF($C397="","", MAX(0, TODAY()-$C397)))</f>
        <v/>
      </c>
    </row>
    <row r="398">
      <c r="C398" s="6">
        <f>IF(AND($A398&lt;&gt;"",$B398&lt;&gt;""), XLOOKUP($A398,Loan_Register!$A$2:$A$301,Loan_Register!$M$2:$M$301,"") + 7*($B398-1), "")</f>
        <v/>
      </c>
      <c r="D398" s="8">
        <f>IF($A398&lt;&gt;"", XLOOKUP($A398,Loan_Register!$A$2:$A$301,Loan_Register!$N$2:$N$301,""), "")</f>
        <v/>
      </c>
      <c r="E398" s="8" t="n"/>
      <c r="F398">
        <f>IF($A398="","", IF($E398&gt;=$D398,"Paid", IF(TODAY()&gt;$C398,"Overdue","Pending")))</f>
        <v/>
      </c>
      <c r="G398" s="6" t="n"/>
      <c r="I398" s="8">
        <f>IF($A398="","", SUMIFS($D$2:$D$801,$A$2:$A$801,$A398) - SUMIFS($E$2:$E$801,$A$2:$A$801,$A398))</f>
        <v/>
      </c>
      <c r="J398">
        <f>IF($F398="Paid",0, IF($C398="","", MAX(0, TODAY()-$C398)))</f>
        <v/>
      </c>
    </row>
    <row r="399">
      <c r="C399" s="6">
        <f>IF(AND($A399&lt;&gt;"",$B399&lt;&gt;""), XLOOKUP($A399,Loan_Register!$A$2:$A$301,Loan_Register!$M$2:$M$301,"") + 7*($B399-1), "")</f>
        <v/>
      </c>
      <c r="D399" s="8">
        <f>IF($A399&lt;&gt;"", XLOOKUP($A399,Loan_Register!$A$2:$A$301,Loan_Register!$N$2:$N$301,""), "")</f>
        <v/>
      </c>
      <c r="E399" s="8" t="n"/>
      <c r="F399">
        <f>IF($A399="","", IF($E399&gt;=$D399,"Paid", IF(TODAY()&gt;$C399,"Overdue","Pending")))</f>
        <v/>
      </c>
      <c r="G399" s="6" t="n"/>
      <c r="I399" s="8">
        <f>IF($A399="","", SUMIFS($D$2:$D$801,$A$2:$A$801,$A399) - SUMIFS($E$2:$E$801,$A$2:$A$801,$A399))</f>
        <v/>
      </c>
      <c r="J399">
        <f>IF($F399="Paid",0, IF($C399="","", MAX(0, TODAY()-$C399)))</f>
        <v/>
      </c>
    </row>
    <row r="400">
      <c r="C400" s="6">
        <f>IF(AND($A400&lt;&gt;"",$B400&lt;&gt;""), XLOOKUP($A400,Loan_Register!$A$2:$A$301,Loan_Register!$M$2:$M$301,"") + 7*($B400-1), "")</f>
        <v/>
      </c>
      <c r="D400" s="8">
        <f>IF($A400&lt;&gt;"", XLOOKUP($A400,Loan_Register!$A$2:$A$301,Loan_Register!$N$2:$N$301,""), "")</f>
        <v/>
      </c>
      <c r="E400" s="8" t="n"/>
      <c r="F400">
        <f>IF($A400="","", IF($E400&gt;=$D400,"Paid", IF(TODAY()&gt;$C400,"Overdue","Pending")))</f>
        <v/>
      </c>
      <c r="G400" s="6" t="n"/>
      <c r="I400" s="8">
        <f>IF($A400="","", SUMIFS($D$2:$D$801,$A$2:$A$801,$A400) - SUMIFS($E$2:$E$801,$A$2:$A$801,$A400))</f>
        <v/>
      </c>
      <c r="J400">
        <f>IF($F400="Paid",0, IF($C400="","", MAX(0, TODAY()-$C400)))</f>
        <v/>
      </c>
    </row>
    <row r="401">
      <c r="C401" s="6">
        <f>IF(AND($A401&lt;&gt;"",$B401&lt;&gt;""), XLOOKUP($A401,Loan_Register!$A$2:$A$301,Loan_Register!$M$2:$M$301,"") + 7*($B401-1), "")</f>
        <v/>
      </c>
      <c r="D401" s="8">
        <f>IF($A401&lt;&gt;"", XLOOKUP($A401,Loan_Register!$A$2:$A$301,Loan_Register!$N$2:$N$301,""), "")</f>
        <v/>
      </c>
      <c r="E401" s="8" t="n"/>
      <c r="F401">
        <f>IF($A401="","", IF($E401&gt;=$D401,"Paid", IF(TODAY()&gt;$C401,"Overdue","Pending")))</f>
        <v/>
      </c>
      <c r="G401" s="6" t="n"/>
      <c r="I401" s="8">
        <f>IF($A401="","", SUMIFS($D$2:$D$801,$A$2:$A$801,$A401) - SUMIFS($E$2:$E$801,$A$2:$A$801,$A401))</f>
        <v/>
      </c>
      <c r="J401">
        <f>IF($F401="Paid",0, IF($C401="","", MAX(0, TODAY()-$C401)))</f>
        <v/>
      </c>
    </row>
    <row r="402">
      <c r="C402" s="6">
        <f>IF(AND($A402&lt;&gt;"",$B402&lt;&gt;""), XLOOKUP($A402,Loan_Register!$A$2:$A$301,Loan_Register!$M$2:$M$301,"") + 7*($B402-1), "")</f>
        <v/>
      </c>
      <c r="D402" s="8">
        <f>IF($A402&lt;&gt;"", XLOOKUP($A402,Loan_Register!$A$2:$A$301,Loan_Register!$N$2:$N$301,""), "")</f>
        <v/>
      </c>
      <c r="E402" s="8" t="n"/>
      <c r="F402">
        <f>IF($A402="","", IF($E402&gt;=$D402,"Paid", IF(TODAY()&gt;$C402,"Overdue","Pending")))</f>
        <v/>
      </c>
      <c r="G402" s="6" t="n"/>
      <c r="I402" s="8">
        <f>IF($A402="","", SUMIFS($D$2:$D$801,$A$2:$A$801,$A402) - SUMIFS($E$2:$E$801,$A$2:$A$801,$A402))</f>
        <v/>
      </c>
      <c r="J402">
        <f>IF($F402="Paid",0, IF($C402="","", MAX(0, TODAY()-$C402)))</f>
        <v/>
      </c>
    </row>
    <row r="403">
      <c r="C403" s="6">
        <f>IF(AND($A403&lt;&gt;"",$B403&lt;&gt;""), XLOOKUP($A403,Loan_Register!$A$2:$A$301,Loan_Register!$M$2:$M$301,"") + 7*($B403-1), "")</f>
        <v/>
      </c>
      <c r="D403" s="8">
        <f>IF($A403&lt;&gt;"", XLOOKUP($A403,Loan_Register!$A$2:$A$301,Loan_Register!$N$2:$N$301,""), "")</f>
        <v/>
      </c>
      <c r="E403" s="8" t="n"/>
      <c r="F403">
        <f>IF($A403="","", IF($E403&gt;=$D403,"Paid", IF(TODAY()&gt;$C403,"Overdue","Pending")))</f>
        <v/>
      </c>
      <c r="G403" s="6" t="n"/>
      <c r="I403" s="8">
        <f>IF($A403="","", SUMIFS($D$2:$D$801,$A$2:$A$801,$A403) - SUMIFS($E$2:$E$801,$A$2:$A$801,$A403))</f>
        <v/>
      </c>
      <c r="J403">
        <f>IF($F403="Paid",0, IF($C403="","", MAX(0, TODAY()-$C403)))</f>
        <v/>
      </c>
    </row>
    <row r="404">
      <c r="C404" s="6">
        <f>IF(AND($A404&lt;&gt;"",$B404&lt;&gt;""), XLOOKUP($A404,Loan_Register!$A$2:$A$301,Loan_Register!$M$2:$M$301,"") + 7*($B404-1), "")</f>
        <v/>
      </c>
      <c r="D404" s="8">
        <f>IF($A404&lt;&gt;"", XLOOKUP($A404,Loan_Register!$A$2:$A$301,Loan_Register!$N$2:$N$301,""), "")</f>
        <v/>
      </c>
      <c r="E404" s="8" t="n"/>
      <c r="F404">
        <f>IF($A404="","", IF($E404&gt;=$D404,"Paid", IF(TODAY()&gt;$C404,"Overdue","Pending")))</f>
        <v/>
      </c>
      <c r="G404" s="6" t="n"/>
      <c r="I404" s="8">
        <f>IF($A404="","", SUMIFS($D$2:$D$801,$A$2:$A$801,$A404) - SUMIFS($E$2:$E$801,$A$2:$A$801,$A404))</f>
        <v/>
      </c>
      <c r="J404">
        <f>IF($F404="Paid",0, IF($C404="","", MAX(0, TODAY()-$C404)))</f>
        <v/>
      </c>
    </row>
    <row r="405">
      <c r="C405" s="6">
        <f>IF(AND($A405&lt;&gt;"",$B405&lt;&gt;""), XLOOKUP($A405,Loan_Register!$A$2:$A$301,Loan_Register!$M$2:$M$301,"") + 7*($B405-1), "")</f>
        <v/>
      </c>
      <c r="D405" s="8">
        <f>IF($A405&lt;&gt;"", XLOOKUP($A405,Loan_Register!$A$2:$A$301,Loan_Register!$N$2:$N$301,""), "")</f>
        <v/>
      </c>
      <c r="E405" s="8" t="n"/>
      <c r="F405">
        <f>IF($A405="","", IF($E405&gt;=$D405,"Paid", IF(TODAY()&gt;$C405,"Overdue","Pending")))</f>
        <v/>
      </c>
      <c r="G405" s="6" t="n"/>
      <c r="I405" s="8">
        <f>IF($A405="","", SUMIFS($D$2:$D$801,$A$2:$A$801,$A405) - SUMIFS($E$2:$E$801,$A$2:$A$801,$A405))</f>
        <v/>
      </c>
      <c r="J405">
        <f>IF($F405="Paid",0, IF($C405="","", MAX(0, TODAY()-$C405)))</f>
        <v/>
      </c>
    </row>
    <row r="406">
      <c r="C406" s="6">
        <f>IF(AND($A406&lt;&gt;"",$B406&lt;&gt;""), XLOOKUP($A406,Loan_Register!$A$2:$A$301,Loan_Register!$M$2:$M$301,"") + 7*($B406-1), "")</f>
        <v/>
      </c>
      <c r="D406" s="8">
        <f>IF($A406&lt;&gt;"", XLOOKUP($A406,Loan_Register!$A$2:$A$301,Loan_Register!$N$2:$N$301,""), "")</f>
        <v/>
      </c>
      <c r="E406" s="8" t="n"/>
      <c r="F406">
        <f>IF($A406="","", IF($E406&gt;=$D406,"Paid", IF(TODAY()&gt;$C406,"Overdue","Pending")))</f>
        <v/>
      </c>
      <c r="G406" s="6" t="n"/>
      <c r="I406" s="8">
        <f>IF($A406="","", SUMIFS($D$2:$D$801,$A$2:$A$801,$A406) - SUMIFS($E$2:$E$801,$A$2:$A$801,$A406))</f>
        <v/>
      </c>
      <c r="J406">
        <f>IF($F406="Paid",0, IF($C406="","", MAX(0, TODAY()-$C406)))</f>
        <v/>
      </c>
    </row>
    <row r="407">
      <c r="C407" s="6">
        <f>IF(AND($A407&lt;&gt;"",$B407&lt;&gt;""), XLOOKUP($A407,Loan_Register!$A$2:$A$301,Loan_Register!$M$2:$M$301,"") + 7*($B407-1), "")</f>
        <v/>
      </c>
      <c r="D407" s="8">
        <f>IF($A407&lt;&gt;"", XLOOKUP($A407,Loan_Register!$A$2:$A$301,Loan_Register!$N$2:$N$301,""), "")</f>
        <v/>
      </c>
      <c r="E407" s="8" t="n"/>
      <c r="F407">
        <f>IF($A407="","", IF($E407&gt;=$D407,"Paid", IF(TODAY()&gt;$C407,"Overdue","Pending")))</f>
        <v/>
      </c>
      <c r="G407" s="6" t="n"/>
      <c r="I407" s="8">
        <f>IF($A407="","", SUMIFS($D$2:$D$801,$A$2:$A$801,$A407) - SUMIFS($E$2:$E$801,$A$2:$A$801,$A407))</f>
        <v/>
      </c>
      <c r="J407">
        <f>IF($F407="Paid",0, IF($C407="","", MAX(0, TODAY()-$C407)))</f>
        <v/>
      </c>
    </row>
    <row r="408">
      <c r="C408" s="6">
        <f>IF(AND($A408&lt;&gt;"",$B408&lt;&gt;""), XLOOKUP($A408,Loan_Register!$A$2:$A$301,Loan_Register!$M$2:$M$301,"") + 7*($B408-1), "")</f>
        <v/>
      </c>
      <c r="D408" s="8">
        <f>IF($A408&lt;&gt;"", XLOOKUP($A408,Loan_Register!$A$2:$A$301,Loan_Register!$N$2:$N$301,""), "")</f>
        <v/>
      </c>
      <c r="E408" s="8" t="n"/>
      <c r="F408">
        <f>IF($A408="","", IF($E408&gt;=$D408,"Paid", IF(TODAY()&gt;$C408,"Overdue","Pending")))</f>
        <v/>
      </c>
      <c r="G408" s="6" t="n"/>
      <c r="I408" s="8">
        <f>IF($A408="","", SUMIFS($D$2:$D$801,$A$2:$A$801,$A408) - SUMIFS($E$2:$E$801,$A$2:$A$801,$A408))</f>
        <v/>
      </c>
      <c r="J408">
        <f>IF($F408="Paid",0, IF($C408="","", MAX(0, TODAY()-$C408)))</f>
        <v/>
      </c>
    </row>
    <row r="409">
      <c r="C409" s="6">
        <f>IF(AND($A409&lt;&gt;"",$B409&lt;&gt;""), XLOOKUP($A409,Loan_Register!$A$2:$A$301,Loan_Register!$M$2:$M$301,"") + 7*($B409-1), "")</f>
        <v/>
      </c>
      <c r="D409" s="8">
        <f>IF($A409&lt;&gt;"", XLOOKUP($A409,Loan_Register!$A$2:$A$301,Loan_Register!$N$2:$N$301,""), "")</f>
        <v/>
      </c>
      <c r="E409" s="8" t="n"/>
      <c r="F409">
        <f>IF($A409="","", IF($E409&gt;=$D409,"Paid", IF(TODAY()&gt;$C409,"Overdue","Pending")))</f>
        <v/>
      </c>
      <c r="G409" s="6" t="n"/>
      <c r="I409" s="8">
        <f>IF($A409="","", SUMIFS($D$2:$D$801,$A$2:$A$801,$A409) - SUMIFS($E$2:$E$801,$A$2:$A$801,$A409))</f>
        <v/>
      </c>
      <c r="J409">
        <f>IF($F409="Paid",0, IF($C409="","", MAX(0, TODAY()-$C409)))</f>
        <v/>
      </c>
    </row>
    <row r="410">
      <c r="C410" s="6">
        <f>IF(AND($A410&lt;&gt;"",$B410&lt;&gt;""), XLOOKUP($A410,Loan_Register!$A$2:$A$301,Loan_Register!$M$2:$M$301,"") + 7*($B410-1), "")</f>
        <v/>
      </c>
      <c r="D410" s="8">
        <f>IF($A410&lt;&gt;"", XLOOKUP($A410,Loan_Register!$A$2:$A$301,Loan_Register!$N$2:$N$301,""), "")</f>
        <v/>
      </c>
      <c r="E410" s="8" t="n"/>
      <c r="F410">
        <f>IF($A410="","", IF($E410&gt;=$D410,"Paid", IF(TODAY()&gt;$C410,"Overdue","Pending")))</f>
        <v/>
      </c>
      <c r="G410" s="6" t="n"/>
      <c r="I410" s="8">
        <f>IF($A410="","", SUMIFS($D$2:$D$801,$A$2:$A$801,$A410) - SUMIFS($E$2:$E$801,$A$2:$A$801,$A410))</f>
        <v/>
      </c>
      <c r="J410">
        <f>IF($F410="Paid",0, IF($C410="","", MAX(0, TODAY()-$C410)))</f>
        <v/>
      </c>
    </row>
    <row r="411">
      <c r="C411" s="6">
        <f>IF(AND($A411&lt;&gt;"",$B411&lt;&gt;""), XLOOKUP($A411,Loan_Register!$A$2:$A$301,Loan_Register!$M$2:$M$301,"") + 7*($B411-1), "")</f>
        <v/>
      </c>
      <c r="D411" s="8">
        <f>IF($A411&lt;&gt;"", XLOOKUP($A411,Loan_Register!$A$2:$A$301,Loan_Register!$N$2:$N$301,""), "")</f>
        <v/>
      </c>
      <c r="E411" s="8" t="n"/>
      <c r="F411">
        <f>IF($A411="","", IF($E411&gt;=$D411,"Paid", IF(TODAY()&gt;$C411,"Overdue","Pending")))</f>
        <v/>
      </c>
      <c r="G411" s="6" t="n"/>
      <c r="I411" s="8">
        <f>IF($A411="","", SUMIFS($D$2:$D$801,$A$2:$A$801,$A411) - SUMIFS($E$2:$E$801,$A$2:$A$801,$A411))</f>
        <v/>
      </c>
      <c r="J411">
        <f>IF($F411="Paid",0, IF($C411="","", MAX(0, TODAY()-$C411)))</f>
        <v/>
      </c>
    </row>
    <row r="412">
      <c r="C412" s="6">
        <f>IF(AND($A412&lt;&gt;"",$B412&lt;&gt;""), XLOOKUP($A412,Loan_Register!$A$2:$A$301,Loan_Register!$M$2:$M$301,"") + 7*($B412-1), "")</f>
        <v/>
      </c>
      <c r="D412" s="8">
        <f>IF($A412&lt;&gt;"", XLOOKUP($A412,Loan_Register!$A$2:$A$301,Loan_Register!$N$2:$N$301,""), "")</f>
        <v/>
      </c>
      <c r="E412" s="8" t="n"/>
      <c r="F412">
        <f>IF($A412="","", IF($E412&gt;=$D412,"Paid", IF(TODAY()&gt;$C412,"Overdue","Pending")))</f>
        <v/>
      </c>
      <c r="G412" s="6" t="n"/>
      <c r="I412" s="8">
        <f>IF($A412="","", SUMIFS($D$2:$D$801,$A$2:$A$801,$A412) - SUMIFS($E$2:$E$801,$A$2:$A$801,$A412))</f>
        <v/>
      </c>
      <c r="J412">
        <f>IF($F412="Paid",0, IF($C412="","", MAX(0, TODAY()-$C412)))</f>
        <v/>
      </c>
    </row>
    <row r="413">
      <c r="C413" s="6">
        <f>IF(AND($A413&lt;&gt;"",$B413&lt;&gt;""), XLOOKUP($A413,Loan_Register!$A$2:$A$301,Loan_Register!$M$2:$M$301,"") + 7*($B413-1), "")</f>
        <v/>
      </c>
      <c r="D413" s="8">
        <f>IF($A413&lt;&gt;"", XLOOKUP($A413,Loan_Register!$A$2:$A$301,Loan_Register!$N$2:$N$301,""), "")</f>
        <v/>
      </c>
      <c r="E413" s="8" t="n"/>
      <c r="F413">
        <f>IF($A413="","", IF($E413&gt;=$D413,"Paid", IF(TODAY()&gt;$C413,"Overdue","Pending")))</f>
        <v/>
      </c>
      <c r="G413" s="6" t="n"/>
      <c r="I413" s="8">
        <f>IF($A413="","", SUMIFS($D$2:$D$801,$A$2:$A$801,$A413) - SUMIFS($E$2:$E$801,$A$2:$A$801,$A413))</f>
        <v/>
      </c>
      <c r="J413">
        <f>IF($F413="Paid",0, IF($C413="","", MAX(0, TODAY()-$C413)))</f>
        <v/>
      </c>
    </row>
    <row r="414">
      <c r="C414" s="6">
        <f>IF(AND($A414&lt;&gt;"",$B414&lt;&gt;""), XLOOKUP($A414,Loan_Register!$A$2:$A$301,Loan_Register!$M$2:$M$301,"") + 7*($B414-1), "")</f>
        <v/>
      </c>
      <c r="D414" s="8">
        <f>IF($A414&lt;&gt;"", XLOOKUP($A414,Loan_Register!$A$2:$A$301,Loan_Register!$N$2:$N$301,""), "")</f>
        <v/>
      </c>
      <c r="E414" s="8" t="n"/>
      <c r="F414">
        <f>IF($A414="","", IF($E414&gt;=$D414,"Paid", IF(TODAY()&gt;$C414,"Overdue","Pending")))</f>
        <v/>
      </c>
      <c r="G414" s="6" t="n"/>
      <c r="I414" s="8">
        <f>IF($A414="","", SUMIFS($D$2:$D$801,$A$2:$A$801,$A414) - SUMIFS($E$2:$E$801,$A$2:$A$801,$A414))</f>
        <v/>
      </c>
      <c r="J414">
        <f>IF($F414="Paid",0, IF($C414="","", MAX(0, TODAY()-$C414)))</f>
        <v/>
      </c>
    </row>
    <row r="415">
      <c r="C415" s="6">
        <f>IF(AND($A415&lt;&gt;"",$B415&lt;&gt;""), XLOOKUP($A415,Loan_Register!$A$2:$A$301,Loan_Register!$M$2:$M$301,"") + 7*($B415-1), "")</f>
        <v/>
      </c>
      <c r="D415" s="8">
        <f>IF($A415&lt;&gt;"", XLOOKUP($A415,Loan_Register!$A$2:$A$301,Loan_Register!$N$2:$N$301,""), "")</f>
        <v/>
      </c>
      <c r="E415" s="8" t="n"/>
      <c r="F415">
        <f>IF($A415="","", IF($E415&gt;=$D415,"Paid", IF(TODAY()&gt;$C415,"Overdue","Pending")))</f>
        <v/>
      </c>
      <c r="G415" s="6" t="n"/>
      <c r="I415" s="8">
        <f>IF($A415="","", SUMIFS($D$2:$D$801,$A$2:$A$801,$A415) - SUMIFS($E$2:$E$801,$A$2:$A$801,$A415))</f>
        <v/>
      </c>
      <c r="J415">
        <f>IF($F415="Paid",0, IF($C415="","", MAX(0, TODAY()-$C415)))</f>
        <v/>
      </c>
    </row>
    <row r="416">
      <c r="C416" s="6">
        <f>IF(AND($A416&lt;&gt;"",$B416&lt;&gt;""), XLOOKUP($A416,Loan_Register!$A$2:$A$301,Loan_Register!$M$2:$M$301,"") + 7*($B416-1), "")</f>
        <v/>
      </c>
      <c r="D416" s="8">
        <f>IF($A416&lt;&gt;"", XLOOKUP($A416,Loan_Register!$A$2:$A$301,Loan_Register!$N$2:$N$301,""), "")</f>
        <v/>
      </c>
      <c r="E416" s="8" t="n"/>
      <c r="F416">
        <f>IF($A416="","", IF($E416&gt;=$D416,"Paid", IF(TODAY()&gt;$C416,"Overdue","Pending")))</f>
        <v/>
      </c>
      <c r="G416" s="6" t="n"/>
      <c r="I416" s="8">
        <f>IF($A416="","", SUMIFS($D$2:$D$801,$A$2:$A$801,$A416) - SUMIFS($E$2:$E$801,$A$2:$A$801,$A416))</f>
        <v/>
      </c>
      <c r="J416">
        <f>IF($F416="Paid",0, IF($C416="","", MAX(0, TODAY()-$C416)))</f>
        <v/>
      </c>
    </row>
    <row r="417">
      <c r="C417" s="6">
        <f>IF(AND($A417&lt;&gt;"",$B417&lt;&gt;""), XLOOKUP($A417,Loan_Register!$A$2:$A$301,Loan_Register!$M$2:$M$301,"") + 7*($B417-1), "")</f>
        <v/>
      </c>
      <c r="D417" s="8">
        <f>IF($A417&lt;&gt;"", XLOOKUP($A417,Loan_Register!$A$2:$A$301,Loan_Register!$N$2:$N$301,""), "")</f>
        <v/>
      </c>
      <c r="E417" s="8" t="n"/>
      <c r="F417">
        <f>IF($A417="","", IF($E417&gt;=$D417,"Paid", IF(TODAY()&gt;$C417,"Overdue","Pending")))</f>
        <v/>
      </c>
      <c r="G417" s="6" t="n"/>
      <c r="I417" s="8">
        <f>IF($A417="","", SUMIFS($D$2:$D$801,$A$2:$A$801,$A417) - SUMIFS($E$2:$E$801,$A$2:$A$801,$A417))</f>
        <v/>
      </c>
      <c r="J417">
        <f>IF($F417="Paid",0, IF($C417="","", MAX(0, TODAY()-$C417)))</f>
        <v/>
      </c>
    </row>
    <row r="418">
      <c r="C418" s="6">
        <f>IF(AND($A418&lt;&gt;"",$B418&lt;&gt;""), XLOOKUP($A418,Loan_Register!$A$2:$A$301,Loan_Register!$M$2:$M$301,"") + 7*($B418-1), "")</f>
        <v/>
      </c>
      <c r="D418" s="8">
        <f>IF($A418&lt;&gt;"", XLOOKUP($A418,Loan_Register!$A$2:$A$301,Loan_Register!$N$2:$N$301,""), "")</f>
        <v/>
      </c>
      <c r="E418" s="8" t="n"/>
      <c r="F418">
        <f>IF($A418="","", IF($E418&gt;=$D418,"Paid", IF(TODAY()&gt;$C418,"Overdue","Pending")))</f>
        <v/>
      </c>
      <c r="G418" s="6" t="n"/>
      <c r="I418" s="8">
        <f>IF($A418="","", SUMIFS($D$2:$D$801,$A$2:$A$801,$A418) - SUMIFS($E$2:$E$801,$A$2:$A$801,$A418))</f>
        <v/>
      </c>
      <c r="J418">
        <f>IF($F418="Paid",0, IF($C418="","", MAX(0, TODAY()-$C418)))</f>
        <v/>
      </c>
    </row>
    <row r="419">
      <c r="C419" s="6">
        <f>IF(AND($A419&lt;&gt;"",$B419&lt;&gt;""), XLOOKUP($A419,Loan_Register!$A$2:$A$301,Loan_Register!$M$2:$M$301,"") + 7*($B419-1), "")</f>
        <v/>
      </c>
      <c r="D419" s="8">
        <f>IF($A419&lt;&gt;"", XLOOKUP($A419,Loan_Register!$A$2:$A$301,Loan_Register!$N$2:$N$301,""), "")</f>
        <v/>
      </c>
      <c r="E419" s="8" t="n"/>
      <c r="F419">
        <f>IF($A419="","", IF($E419&gt;=$D419,"Paid", IF(TODAY()&gt;$C419,"Overdue","Pending")))</f>
        <v/>
      </c>
      <c r="G419" s="6" t="n"/>
      <c r="I419" s="8">
        <f>IF($A419="","", SUMIFS($D$2:$D$801,$A$2:$A$801,$A419) - SUMIFS($E$2:$E$801,$A$2:$A$801,$A419))</f>
        <v/>
      </c>
      <c r="J419">
        <f>IF($F419="Paid",0, IF($C419="","", MAX(0, TODAY()-$C419)))</f>
        <v/>
      </c>
    </row>
    <row r="420">
      <c r="C420" s="6">
        <f>IF(AND($A420&lt;&gt;"",$B420&lt;&gt;""), XLOOKUP($A420,Loan_Register!$A$2:$A$301,Loan_Register!$M$2:$M$301,"") + 7*($B420-1), "")</f>
        <v/>
      </c>
      <c r="D420" s="8">
        <f>IF($A420&lt;&gt;"", XLOOKUP($A420,Loan_Register!$A$2:$A$301,Loan_Register!$N$2:$N$301,""), "")</f>
        <v/>
      </c>
      <c r="E420" s="8" t="n"/>
      <c r="F420">
        <f>IF($A420="","", IF($E420&gt;=$D420,"Paid", IF(TODAY()&gt;$C420,"Overdue","Pending")))</f>
        <v/>
      </c>
      <c r="G420" s="6" t="n"/>
      <c r="I420" s="8">
        <f>IF($A420="","", SUMIFS($D$2:$D$801,$A$2:$A$801,$A420) - SUMIFS($E$2:$E$801,$A$2:$A$801,$A420))</f>
        <v/>
      </c>
      <c r="J420">
        <f>IF($F420="Paid",0, IF($C420="","", MAX(0, TODAY()-$C420)))</f>
        <v/>
      </c>
    </row>
    <row r="421">
      <c r="C421" s="6">
        <f>IF(AND($A421&lt;&gt;"",$B421&lt;&gt;""), XLOOKUP($A421,Loan_Register!$A$2:$A$301,Loan_Register!$M$2:$M$301,"") + 7*($B421-1), "")</f>
        <v/>
      </c>
      <c r="D421" s="8">
        <f>IF($A421&lt;&gt;"", XLOOKUP($A421,Loan_Register!$A$2:$A$301,Loan_Register!$N$2:$N$301,""), "")</f>
        <v/>
      </c>
      <c r="E421" s="8" t="n"/>
      <c r="F421">
        <f>IF($A421="","", IF($E421&gt;=$D421,"Paid", IF(TODAY()&gt;$C421,"Overdue","Pending")))</f>
        <v/>
      </c>
      <c r="G421" s="6" t="n"/>
      <c r="I421" s="8">
        <f>IF($A421="","", SUMIFS($D$2:$D$801,$A$2:$A$801,$A421) - SUMIFS($E$2:$E$801,$A$2:$A$801,$A421))</f>
        <v/>
      </c>
      <c r="J421">
        <f>IF($F421="Paid",0, IF($C421="","", MAX(0, TODAY()-$C421)))</f>
        <v/>
      </c>
    </row>
    <row r="422">
      <c r="C422" s="6">
        <f>IF(AND($A422&lt;&gt;"",$B422&lt;&gt;""), XLOOKUP($A422,Loan_Register!$A$2:$A$301,Loan_Register!$M$2:$M$301,"") + 7*($B422-1), "")</f>
        <v/>
      </c>
      <c r="D422" s="8">
        <f>IF($A422&lt;&gt;"", XLOOKUP($A422,Loan_Register!$A$2:$A$301,Loan_Register!$N$2:$N$301,""), "")</f>
        <v/>
      </c>
      <c r="E422" s="8" t="n"/>
      <c r="F422">
        <f>IF($A422="","", IF($E422&gt;=$D422,"Paid", IF(TODAY()&gt;$C422,"Overdue","Pending")))</f>
        <v/>
      </c>
      <c r="G422" s="6" t="n"/>
      <c r="I422" s="8">
        <f>IF($A422="","", SUMIFS($D$2:$D$801,$A$2:$A$801,$A422) - SUMIFS($E$2:$E$801,$A$2:$A$801,$A422))</f>
        <v/>
      </c>
      <c r="J422">
        <f>IF($F422="Paid",0, IF($C422="","", MAX(0, TODAY()-$C422)))</f>
        <v/>
      </c>
    </row>
    <row r="423">
      <c r="C423" s="6">
        <f>IF(AND($A423&lt;&gt;"",$B423&lt;&gt;""), XLOOKUP($A423,Loan_Register!$A$2:$A$301,Loan_Register!$M$2:$M$301,"") + 7*($B423-1), "")</f>
        <v/>
      </c>
      <c r="D423" s="8">
        <f>IF($A423&lt;&gt;"", XLOOKUP($A423,Loan_Register!$A$2:$A$301,Loan_Register!$N$2:$N$301,""), "")</f>
        <v/>
      </c>
      <c r="E423" s="8" t="n"/>
      <c r="F423">
        <f>IF($A423="","", IF($E423&gt;=$D423,"Paid", IF(TODAY()&gt;$C423,"Overdue","Pending")))</f>
        <v/>
      </c>
      <c r="G423" s="6" t="n"/>
      <c r="I423" s="8">
        <f>IF($A423="","", SUMIFS($D$2:$D$801,$A$2:$A$801,$A423) - SUMIFS($E$2:$E$801,$A$2:$A$801,$A423))</f>
        <v/>
      </c>
      <c r="J423">
        <f>IF($F423="Paid",0, IF($C423="","", MAX(0, TODAY()-$C423)))</f>
        <v/>
      </c>
    </row>
    <row r="424">
      <c r="C424" s="6">
        <f>IF(AND($A424&lt;&gt;"",$B424&lt;&gt;""), XLOOKUP($A424,Loan_Register!$A$2:$A$301,Loan_Register!$M$2:$M$301,"") + 7*($B424-1), "")</f>
        <v/>
      </c>
      <c r="D424" s="8">
        <f>IF($A424&lt;&gt;"", XLOOKUP($A424,Loan_Register!$A$2:$A$301,Loan_Register!$N$2:$N$301,""), "")</f>
        <v/>
      </c>
      <c r="E424" s="8" t="n"/>
      <c r="F424">
        <f>IF($A424="","", IF($E424&gt;=$D424,"Paid", IF(TODAY()&gt;$C424,"Overdue","Pending")))</f>
        <v/>
      </c>
      <c r="G424" s="6" t="n"/>
      <c r="I424" s="8">
        <f>IF($A424="","", SUMIFS($D$2:$D$801,$A$2:$A$801,$A424) - SUMIFS($E$2:$E$801,$A$2:$A$801,$A424))</f>
        <v/>
      </c>
      <c r="J424">
        <f>IF($F424="Paid",0, IF($C424="","", MAX(0, TODAY()-$C424)))</f>
        <v/>
      </c>
    </row>
    <row r="425">
      <c r="C425" s="6">
        <f>IF(AND($A425&lt;&gt;"",$B425&lt;&gt;""), XLOOKUP($A425,Loan_Register!$A$2:$A$301,Loan_Register!$M$2:$M$301,"") + 7*($B425-1), "")</f>
        <v/>
      </c>
      <c r="D425" s="8">
        <f>IF($A425&lt;&gt;"", XLOOKUP($A425,Loan_Register!$A$2:$A$301,Loan_Register!$N$2:$N$301,""), "")</f>
        <v/>
      </c>
      <c r="E425" s="8" t="n"/>
      <c r="F425">
        <f>IF($A425="","", IF($E425&gt;=$D425,"Paid", IF(TODAY()&gt;$C425,"Overdue","Pending")))</f>
        <v/>
      </c>
      <c r="G425" s="6" t="n"/>
      <c r="I425" s="8">
        <f>IF($A425="","", SUMIFS($D$2:$D$801,$A$2:$A$801,$A425) - SUMIFS($E$2:$E$801,$A$2:$A$801,$A425))</f>
        <v/>
      </c>
      <c r="J425">
        <f>IF($F425="Paid",0, IF($C425="","", MAX(0, TODAY()-$C425)))</f>
        <v/>
      </c>
    </row>
    <row r="426">
      <c r="C426" s="6">
        <f>IF(AND($A426&lt;&gt;"",$B426&lt;&gt;""), XLOOKUP($A426,Loan_Register!$A$2:$A$301,Loan_Register!$M$2:$M$301,"") + 7*($B426-1), "")</f>
        <v/>
      </c>
      <c r="D426" s="8">
        <f>IF($A426&lt;&gt;"", XLOOKUP($A426,Loan_Register!$A$2:$A$301,Loan_Register!$N$2:$N$301,""), "")</f>
        <v/>
      </c>
      <c r="E426" s="8" t="n"/>
      <c r="F426">
        <f>IF($A426="","", IF($E426&gt;=$D426,"Paid", IF(TODAY()&gt;$C426,"Overdue","Pending")))</f>
        <v/>
      </c>
      <c r="G426" s="6" t="n"/>
      <c r="I426" s="8">
        <f>IF($A426="","", SUMIFS($D$2:$D$801,$A$2:$A$801,$A426) - SUMIFS($E$2:$E$801,$A$2:$A$801,$A426))</f>
        <v/>
      </c>
      <c r="J426">
        <f>IF($F426="Paid",0, IF($C426="","", MAX(0, TODAY()-$C426)))</f>
        <v/>
      </c>
    </row>
    <row r="427">
      <c r="C427" s="6">
        <f>IF(AND($A427&lt;&gt;"",$B427&lt;&gt;""), XLOOKUP($A427,Loan_Register!$A$2:$A$301,Loan_Register!$M$2:$M$301,"") + 7*($B427-1), "")</f>
        <v/>
      </c>
      <c r="D427" s="8">
        <f>IF($A427&lt;&gt;"", XLOOKUP($A427,Loan_Register!$A$2:$A$301,Loan_Register!$N$2:$N$301,""), "")</f>
        <v/>
      </c>
      <c r="E427" s="8" t="n"/>
      <c r="F427">
        <f>IF($A427="","", IF($E427&gt;=$D427,"Paid", IF(TODAY()&gt;$C427,"Overdue","Pending")))</f>
        <v/>
      </c>
      <c r="G427" s="6" t="n"/>
      <c r="I427" s="8">
        <f>IF($A427="","", SUMIFS($D$2:$D$801,$A$2:$A$801,$A427) - SUMIFS($E$2:$E$801,$A$2:$A$801,$A427))</f>
        <v/>
      </c>
      <c r="J427">
        <f>IF($F427="Paid",0, IF($C427="","", MAX(0, TODAY()-$C427)))</f>
        <v/>
      </c>
    </row>
    <row r="428">
      <c r="C428" s="6">
        <f>IF(AND($A428&lt;&gt;"",$B428&lt;&gt;""), XLOOKUP($A428,Loan_Register!$A$2:$A$301,Loan_Register!$M$2:$M$301,"") + 7*($B428-1), "")</f>
        <v/>
      </c>
      <c r="D428" s="8">
        <f>IF($A428&lt;&gt;"", XLOOKUP($A428,Loan_Register!$A$2:$A$301,Loan_Register!$N$2:$N$301,""), "")</f>
        <v/>
      </c>
      <c r="E428" s="8" t="n"/>
      <c r="F428">
        <f>IF($A428="","", IF($E428&gt;=$D428,"Paid", IF(TODAY()&gt;$C428,"Overdue","Pending")))</f>
        <v/>
      </c>
      <c r="G428" s="6" t="n"/>
      <c r="I428" s="8">
        <f>IF($A428="","", SUMIFS($D$2:$D$801,$A$2:$A$801,$A428) - SUMIFS($E$2:$E$801,$A$2:$A$801,$A428))</f>
        <v/>
      </c>
      <c r="J428">
        <f>IF($F428="Paid",0, IF($C428="","", MAX(0, TODAY()-$C428)))</f>
        <v/>
      </c>
    </row>
    <row r="429">
      <c r="C429" s="6">
        <f>IF(AND($A429&lt;&gt;"",$B429&lt;&gt;""), XLOOKUP($A429,Loan_Register!$A$2:$A$301,Loan_Register!$M$2:$M$301,"") + 7*($B429-1), "")</f>
        <v/>
      </c>
      <c r="D429" s="8">
        <f>IF($A429&lt;&gt;"", XLOOKUP($A429,Loan_Register!$A$2:$A$301,Loan_Register!$N$2:$N$301,""), "")</f>
        <v/>
      </c>
      <c r="E429" s="8" t="n"/>
      <c r="F429">
        <f>IF($A429="","", IF($E429&gt;=$D429,"Paid", IF(TODAY()&gt;$C429,"Overdue","Pending")))</f>
        <v/>
      </c>
      <c r="G429" s="6" t="n"/>
      <c r="I429" s="8">
        <f>IF($A429="","", SUMIFS($D$2:$D$801,$A$2:$A$801,$A429) - SUMIFS($E$2:$E$801,$A$2:$A$801,$A429))</f>
        <v/>
      </c>
      <c r="J429">
        <f>IF($F429="Paid",0, IF($C429="","", MAX(0, TODAY()-$C429)))</f>
        <v/>
      </c>
    </row>
    <row r="430">
      <c r="C430" s="6">
        <f>IF(AND($A430&lt;&gt;"",$B430&lt;&gt;""), XLOOKUP($A430,Loan_Register!$A$2:$A$301,Loan_Register!$M$2:$M$301,"") + 7*($B430-1), "")</f>
        <v/>
      </c>
      <c r="D430" s="8">
        <f>IF($A430&lt;&gt;"", XLOOKUP($A430,Loan_Register!$A$2:$A$301,Loan_Register!$N$2:$N$301,""), "")</f>
        <v/>
      </c>
      <c r="E430" s="8" t="n"/>
      <c r="F430">
        <f>IF($A430="","", IF($E430&gt;=$D430,"Paid", IF(TODAY()&gt;$C430,"Overdue","Pending")))</f>
        <v/>
      </c>
      <c r="G430" s="6" t="n"/>
      <c r="I430" s="8">
        <f>IF($A430="","", SUMIFS($D$2:$D$801,$A$2:$A$801,$A430) - SUMIFS($E$2:$E$801,$A$2:$A$801,$A430))</f>
        <v/>
      </c>
      <c r="J430">
        <f>IF($F430="Paid",0, IF($C430="","", MAX(0, TODAY()-$C430)))</f>
        <v/>
      </c>
    </row>
    <row r="431">
      <c r="C431" s="6">
        <f>IF(AND($A431&lt;&gt;"",$B431&lt;&gt;""), XLOOKUP($A431,Loan_Register!$A$2:$A$301,Loan_Register!$M$2:$M$301,"") + 7*($B431-1), "")</f>
        <v/>
      </c>
      <c r="D431" s="8">
        <f>IF($A431&lt;&gt;"", XLOOKUP($A431,Loan_Register!$A$2:$A$301,Loan_Register!$N$2:$N$301,""), "")</f>
        <v/>
      </c>
      <c r="E431" s="8" t="n"/>
      <c r="F431">
        <f>IF($A431="","", IF($E431&gt;=$D431,"Paid", IF(TODAY()&gt;$C431,"Overdue","Pending")))</f>
        <v/>
      </c>
      <c r="G431" s="6" t="n"/>
      <c r="I431" s="8">
        <f>IF($A431="","", SUMIFS($D$2:$D$801,$A$2:$A$801,$A431) - SUMIFS($E$2:$E$801,$A$2:$A$801,$A431))</f>
        <v/>
      </c>
      <c r="J431">
        <f>IF($F431="Paid",0, IF($C431="","", MAX(0, TODAY()-$C431)))</f>
        <v/>
      </c>
    </row>
    <row r="432">
      <c r="C432" s="6">
        <f>IF(AND($A432&lt;&gt;"",$B432&lt;&gt;""), XLOOKUP($A432,Loan_Register!$A$2:$A$301,Loan_Register!$M$2:$M$301,"") + 7*($B432-1), "")</f>
        <v/>
      </c>
      <c r="D432" s="8">
        <f>IF($A432&lt;&gt;"", XLOOKUP($A432,Loan_Register!$A$2:$A$301,Loan_Register!$N$2:$N$301,""), "")</f>
        <v/>
      </c>
      <c r="E432" s="8" t="n"/>
      <c r="F432">
        <f>IF($A432="","", IF($E432&gt;=$D432,"Paid", IF(TODAY()&gt;$C432,"Overdue","Pending")))</f>
        <v/>
      </c>
      <c r="G432" s="6" t="n"/>
      <c r="I432" s="8">
        <f>IF($A432="","", SUMIFS($D$2:$D$801,$A$2:$A$801,$A432) - SUMIFS($E$2:$E$801,$A$2:$A$801,$A432))</f>
        <v/>
      </c>
      <c r="J432">
        <f>IF($F432="Paid",0, IF($C432="","", MAX(0, TODAY()-$C432)))</f>
        <v/>
      </c>
    </row>
    <row r="433">
      <c r="C433" s="6">
        <f>IF(AND($A433&lt;&gt;"",$B433&lt;&gt;""), XLOOKUP($A433,Loan_Register!$A$2:$A$301,Loan_Register!$M$2:$M$301,"") + 7*($B433-1), "")</f>
        <v/>
      </c>
      <c r="D433" s="8">
        <f>IF($A433&lt;&gt;"", XLOOKUP($A433,Loan_Register!$A$2:$A$301,Loan_Register!$N$2:$N$301,""), "")</f>
        <v/>
      </c>
      <c r="E433" s="8" t="n"/>
      <c r="F433">
        <f>IF($A433="","", IF($E433&gt;=$D433,"Paid", IF(TODAY()&gt;$C433,"Overdue","Pending")))</f>
        <v/>
      </c>
      <c r="G433" s="6" t="n"/>
      <c r="I433" s="8">
        <f>IF($A433="","", SUMIFS($D$2:$D$801,$A$2:$A$801,$A433) - SUMIFS($E$2:$E$801,$A$2:$A$801,$A433))</f>
        <v/>
      </c>
      <c r="J433">
        <f>IF($F433="Paid",0, IF($C433="","", MAX(0, TODAY()-$C433)))</f>
        <v/>
      </c>
    </row>
    <row r="434">
      <c r="C434" s="6">
        <f>IF(AND($A434&lt;&gt;"",$B434&lt;&gt;""), XLOOKUP($A434,Loan_Register!$A$2:$A$301,Loan_Register!$M$2:$M$301,"") + 7*($B434-1), "")</f>
        <v/>
      </c>
      <c r="D434" s="8">
        <f>IF($A434&lt;&gt;"", XLOOKUP($A434,Loan_Register!$A$2:$A$301,Loan_Register!$N$2:$N$301,""), "")</f>
        <v/>
      </c>
      <c r="E434" s="8" t="n"/>
      <c r="F434">
        <f>IF($A434="","", IF($E434&gt;=$D434,"Paid", IF(TODAY()&gt;$C434,"Overdue","Pending")))</f>
        <v/>
      </c>
      <c r="G434" s="6" t="n"/>
      <c r="I434" s="8">
        <f>IF($A434="","", SUMIFS($D$2:$D$801,$A$2:$A$801,$A434) - SUMIFS($E$2:$E$801,$A$2:$A$801,$A434))</f>
        <v/>
      </c>
      <c r="J434">
        <f>IF($F434="Paid",0, IF($C434="","", MAX(0, TODAY()-$C434)))</f>
        <v/>
      </c>
    </row>
    <row r="435">
      <c r="C435" s="6">
        <f>IF(AND($A435&lt;&gt;"",$B435&lt;&gt;""), XLOOKUP($A435,Loan_Register!$A$2:$A$301,Loan_Register!$M$2:$M$301,"") + 7*($B435-1), "")</f>
        <v/>
      </c>
      <c r="D435" s="8">
        <f>IF($A435&lt;&gt;"", XLOOKUP($A435,Loan_Register!$A$2:$A$301,Loan_Register!$N$2:$N$301,""), "")</f>
        <v/>
      </c>
      <c r="E435" s="8" t="n"/>
      <c r="F435">
        <f>IF($A435="","", IF($E435&gt;=$D435,"Paid", IF(TODAY()&gt;$C435,"Overdue","Pending")))</f>
        <v/>
      </c>
      <c r="G435" s="6" t="n"/>
      <c r="I435" s="8">
        <f>IF($A435="","", SUMIFS($D$2:$D$801,$A$2:$A$801,$A435) - SUMIFS($E$2:$E$801,$A$2:$A$801,$A435))</f>
        <v/>
      </c>
      <c r="J435">
        <f>IF($F435="Paid",0, IF($C435="","", MAX(0, TODAY()-$C435)))</f>
        <v/>
      </c>
    </row>
    <row r="436">
      <c r="C436" s="6">
        <f>IF(AND($A436&lt;&gt;"",$B436&lt;&gt;""), XLOOKUP($A436,Loan_Register!$A$2:$A$301,Loan_Register!$M$2:$M$301,"") + 7*($B436-1), "")</f>
        <v/>
      </c>
      <c r="D436" s="8">
        <f>IF($A436&lt;&gt;"", XLOOKUP($A436,Loan_Register!$A$2:$A$301,Loan_Register!$N$2:$N$301,""), "")</f>
        <v/>
      </c>
      <c r="E436" s="8" t="n"/>
      <c r="F436">
        <f>IF($A436="","", IF($E436&gt;=$D436,"Paid", IF(TODAY()&gt;$C436,"Overdue","Pending")))</f>
        <v/>
      </c>
      <c r="G436" s="6" t="n"/>
      <c r="I436" s="8">
        <f>IF($A436="","", SUMIFS($D$2:$D$801,$A$2:$A$801,$A436) - SUMIFS($E$2:$E$801,$A$2:$A$801,$A436))</f>
        <v/>
      </c>
      <c r="J436">
        <f>IF($F436="Paid",0, IF($C436="","", MAX(0, TODAY()-$C436)))</f>
        <v/>
      </c>
    </row>
    <row r="437">
      <c r="C437" s="6">
        <f>IF(AND($A437&lt;&gt;"",$B437&lt;&gt;""), XLOOKUP($A437,Loan_Register!$A$2:$A$301,Loan_Register!$M$2:$M$301,"") + 7*($B437-1), "")</f>
        <v/>
      </c>
      <c r="D437" s="8">
        <f>IF($A437&lt;&gt;"", XLOOKUP($A437,Loan_Register!$A$2:$A$301,Loan_Register!$N$2:$N$301,""), "")</f>
        <v/>
      </c>
      <c r="E437" s="8" t="n"/>
      <c r="F437">
        <f>IF($A437="","", IF($E437&gt;=$D437,"Paid", IF(TODAY()&gt;$C437,"Overdue","Pending")))</f>
        <v/>
      </c>
      <c r="G437" s="6" t="n"/>
      <c r="I437" s="8">
        <f>IF($A437="","", SUMIFS($D$2:$D$801,$A$2:$A$801,$A437) - SUMIFS($E$2:$E$801,$A$2:$A$801,$A437))</f>
        <v/>
      </c>
      <c r="J437">
        <f>IF($F437="Paid",0, IF($C437="","", MAX(0, TODAY()-$C437)))</f>
        <v/>
      </c>
    </row>
    <row r="438">
      <c r="C438" s="6">
        <f>IF(AND($A438&lt;&gt;"",$B438&lt;&gt;""), XLOOKUP($A438,Loan_Register!$A$2:$A$301,Loan_Register!$M$2:$M$301,"") + 7*($B438-1), "")</f>
        <v/>
      </c>
      <c r="D438" s="8">
        <f>IF($A438&lt;&gt;"", XLOOKUP($A438,Loan_Register!$A$2:$A$301,Loan_Register!$N$2:$N$301,""), "")</f>
        <v/>
      </c>
      <c r="E438" s="8" t="n"/>
      <c r="F438">
        <f>IF($A438="","", IF($E438&gt;=$D438,"Paid", IF(TODAY()&gt;$C438,"Overdue","Pending")))</f>
        <v/>
      </c>
      <c r="G438" s="6" t="n"/>
      <c r="I438" s="8">
        <f>IF($A438="","", SUMIFS($D$2:$D$801,$A$2:$A$801,$A438) - SUMIFS($E$2:$E$801,$A$2:$A$801,$A438))</f>
        <v/>
      </c>
      <c r="J438">
        <f>IF($F438="Paid",0, IF($C438="","", MAX(0, TODAY()-$C438)))</f>
        <v/>
      </c>
    </row>
    <row r="439">
      <c r="C439" s="6">
        <f>IF(AND($A439&lt;&gt;"",$B439&lt;&gt;""), XLOOKUP($A439,Loan_Register!$A$2:$A$301,Loan_Register!$M$2:$M$301,"") + 7*($B439-1), "")</f>
        <v/>
      </c>
      <c r="D439" s="8">
        <f>IF($A439&lt;&gt;"", XLOOKUP($A439,Loan_Register!$A$2:$A$301,Loan_Register!$N$2:$N$301,""), "")</f>
        <v/>
      </c>
      <c r="E439" s="8" t="n"/>
      <c r="F439">
        <f>IF($A439="","", IF($E439&gt;=$D439,"Paid", IF(TODAY()&gt;$C439,"Overdue","Pending")))</f>
        <v/>
      </c>
      <c r="G439" s="6" t="n"/>
      <c r="I439" s="8">
        <f>IF($A439="","", SUMIFS($D$2:$D$801,$A$2:$A$801,$A439) - SUMIFS($E$2:$E$801,$A$2:$A$801,$A439))</f>
        <v/>
      </c>
      <c r="J439">
        <f>IF($F439="Paid",0, IF($C439="","", MAX(0, TODAY()-$C439)))</f>
        <v/>
      </c>
    </row>
    <row r="440">
      <c r="C440" s="6">
        <f>IF(AND($A440&lt;&gt;"",$B440&lt;&gt;""), XLOOKUP($A440,Loan_Register!$A$2:$A$301,Loan_Register!$M$2:$M$301,"") + 7*($B440-1), "")</f>
        <v/>
      </c>
      <c r="D440" s="8">
        <f>IF($A440&lt;&gt;"", XLOOKUP($A440,Loan_Register!$A$2:$A$301,Loan_Register!$N$2:$N$301,""), "")</f>
        <v/>
      </c>
      <c r="E440" s="8" t="n"/>
      <c r="F440">
        <f>IF($A440="","", IF($E440&gt;=$D440,"Paid", IF(TODAY()&gt;$C440,"Overdue","Pending")))</f>
        <v/>
      </c>
      <c r="G440" s="6" t="n"/>
      <c r="I440" s="8">
        <f>IF($A440="","", SUMIFS($D$2:$D$801,$A$2:$A$801,$A440) - SUMIFS($E$2:$E$801,$A$2:$A$801,$A440))</f>
        <v/>
      </c>
      <c r="J440">
        <f>IF($F440="Paid",0, IF($C440="","", MAX(0, TODAY()-$C440)))</f>
        <v/>
      </c>
    </row>
    <row r="441">
      <c r="C441" s="6">
        <f>IF(AND($A441&lt;&gt;"",$B441&lt;&gt;""), XLOOKUP($A441,Loan_Register!$A$2:$A$301,Loan_Register!$M$2:$M$301,"") + 7*($B441-1), "")</f>
        <v/>
      </c>
      <c r="D441" s="8">
        <f>IF($A441&lt;&gt;"", XLOOKUP($A441,Loan_Register!$A$2:$A$301,Loan_Register!$N$2:$N$301,""), "")</f>
        <v/>
      </c>
      <c r="E441" s="8" t="n"/>
      <c r="F441">
        <f>IF($A441="","", IF($E441&gt;=$D441,"Paid", IF(TODAY()&gt;$C441,"Overdue","Pending")))</f>
        <v/>
      </c>
      <c r="G441" s="6" t="n"/>
      <c r="I441" s="8">
        <f>IF($A441="","", SUMIFS($D$2:$D$801,$A$2:$A$801,$A441) - SUMIFS($E$2:$E$801,$A$2:$A$801,$A441))</f>
        <v/>
      </c>
      <c r="J441">
        <f>IF($F441="Paid",0, IF($C441="","", MAX(0, TODAY()-$C441)))</f>
        <v/>
      </c>
    </row>
    <row r="442">
      <c r="C442" s="6">
        <f>IF(AND($A442&lt;&gt;"",$B442&lt;&gt;""), XLOOKUP($A442,Loan_Register!$A$2:$A$301,Loan_Register!$M$2:$M$301,"") + 7*($B442-1), "")</f>
        <v/>
      </c>
      <c r="D442" s="8">
        <f>IF($A442&lt;&gt;"", XLOOKUP($A442,Loan_Register!$A$2:$A$301,Loan_Register!$N$2:$N$301,""), "")</f>
        <v/>
      </c>
      <c r="E442" s="8" t="n"/>
      <c r="F442">
        <f>IF($A442="","", IF($E442&gt;=$D442,"Paid", IF(TODAY()&gt;$C442,"Overdue","Pending")))</f>
        <v/>
      </c>
      <c r="G442" s="6" t="n"/>
      <c r="I442" s="8">
        <f>IF($A442="","", SUMIFS($D$2:$D$801,$A$2:$A$801,$A442) - SUMIFS($E$2:$E$801,$A$2:$A$801,$A442))</f>
        <v/>
      </c>
      <c r="J442">
        <f>IF($F442="Paid",0, IF($C442="","", MAX(0, TODAY()-$C442)))</f>
        <v/>
      </c>
    </row>
    <row r="443">
      <c r="C443" s="6">
        <f>IF(AND($A443&lt;&gt;"",$B443&lt;&gt;""), XLOOKUP($A443,Loan_Register!$A$2:$A$301,Loan_Register!$M$2:$M$301,"") + 7*($B443-1), "")</f>
        <v/>
      </c>
      <c r="D443" s="8">
        <f>IF($A443&lt;&gt;"", XLOOKUP($A443,Loan_Register!$A$2:$A$301,Loan_Register!$N$2:$N$301,""), "")</f>
        <v/>
      </c>
      <c r="E443" s="8" t="n"/>
      <c r="F443">
        <f>IF($A443="","", IF($E443&gt;=$D443,"Paid", IF(TODAY()&gt;$C443,"Overdue","Pending")))</f>
        <v/>
      </c>
      <c r="G443" s="6" t="n"/>
      <c r="I443" s="8">
        <f>IF($A443="","", SUMIFS($D$2:$D$801,$A$2:$A$801,$A443) - SUMIFS($E$2:$E$801,$A$2:$A$801,$A443))</f>
        <v/>
      </c>
      <c r="J443">
        <f>IF($F443="Paid",0, IF($C443="","", MAX(0, TODAY()-$C443)))</f>
        <v/>
      </c>
    </row>
    <row r="444">
      <c r="C444" s="6">
        <f>IF(AND($A444&lt;&gt;"",$B444&lt;&gt;""), XLOOKUP($A444,Loan_Register!$A$2:$A$301,Loan_Register!$M$2:$M$301,"") + 7*($B444-1), "")</f>
        <v/>
      </c>
      <c r="D444" s="8">
        <f>IF($A444&lt;&gt;"", XLOOKUP($A444,Loan_Register!$A$2:$A$301,Loan_Register!$N$2:$N$301,""), "")</f>
        <v/>
      </c>
      <c r="E444" s="8" t="n"/>
      <c r="F444">
        <f>IF($A444="","", IF($E444&gt;=$D444,"Paid", IF(TODAY()&gt;$C444,"Overdue","Pending")))</f>
        <v/>
      </c>
      <c r="G444" s="6" t="n"/>
      <c r="I444" s="8">
        <f>IF($A444="","", SUMIFS($D$2:$D$801,$A$2:$A$801,$A444) - SUMIFS($E$2:$E$801,$A$2:$A$801,$A444))</f>
        <v/>
      </c>
      <c r="J444">
        <f>IF($F444="Paid",0, IF($C444="","", MAX(0, TODAY()-$C444)))</f>
        <v/>
      </c>
    </row>
    <row r="445">
      <c r="C445" s="6">
        <f>IF(AND($A445&lt;&gt;"",$B445&lt;&gt;""), XLOOKUP($A445,Loan_Register!$A$2:$A$301,Loan_Register!$M$2:$M$301,"") + 7*($B445-1), "")</f>
        <v/>
      </c>
      <c r="D445" s="8">
        <f>IF($A445&lt;&gt;"", XLOOKUP($A445,Loan_Register!$A$2:$A$301,Loan_Register!$N$2:$N$301,""), "")</f>
        <v/>
      </c>
      <c r="E445" s="8" t="n"/>
      <c r="F445">
        <f>IF($A445="","", IF($E445&gt;=$D445,"Paid", IF(TODAY()&gt;$C445,"Overdue","Pending")))</f>
        <v/>
      </c>
      <c r="G445" s="6" t="n"/>
      <c r="I445" s="8">
        <f>IF($A445="","", SUMIFS($D$2:$D$801,$A$2:$A$801,$A445) - SUMIFS($E$2:$E$801,$A$2:$A$801,$A445))</f>
        <v/>
      </c>
      <c r="J445">
        <f>IF($F445="Paid",0, IF($C445="","", MAX(0, TODAY()-$C445)))</f>
        <v/>
      </c>
    </row>
    <row r="446">
      <c r="C446" s="6">
        <f>IF(AND($A446&lt;&gt;"",$B446&lt;&gt;""), XLOOKUP($A446,Loan_Register!$A$2:$A$301,Loan_Register!$M$2:$M$301,"") + 7*($B446-1), "")</f>
        <v/>
      </c>
      <c r="D446" s="8">
        <f>IF($A446&lt;&gt;"", XLOOKUP($A446,Loan_Register!$A$2:$A$301,Loan_Register!$N$2:$N$301,""), "")</f>
        <v/>
      </c>
      <c r="E446" s="8" t="n"/>
      <c r="F446">
        <f>IF($A446="","", IF($E446&gt;=$D446,"Paid", IF(TODAY()&gt;$C446,"Overdue","Pending")))</f>
        <v/>
      </c>
      <c r="G446" s="6" t="n"/>
      <c r="I446" s="8">
        <f>IF($A446="","", SUMIFS($D$2:$D$801,$A$2:$A$801,$A446) - SUMIFS($E$2:$E$801,$A$2:$A$801,$A446))</f>
        <v/>
      </c>
      <c r="J446">
        <f>IF($F446="Paid",0, IF($C446="","", MAX(0, TODAY()-$C446)))</f>
        <v/>
      </c>
    </row>
    <row r="447">
      <c r="C447" s="6">
        <f>IF(AND($A447&lt;&gt;"",$B447&lt;&gt;""), XLOOKUP($A447,Loan_Register!$A$2:$A$301,Loan_Register!$M$2:$M$301,"") + 7*($B447-1), "")</f>
        <v/>
      </c>
      <c r="D447" s="8">
        <f>IF($A447&lt;&gt;"", XLOOKUP($A447,Loan_Register!$A$2:$A$301,Loan_Register!$N$2:$N$301,""), "")</f>
        <v/>
      </c>
      <c r="E447" s="8" t="n"/>
      <c r="F447">
        <f>IF($A447="","", IF($E447&gt;=$D447,"Paid", IF(TODAY()&gt;$C447,"Overdue","Pending")))</f>
        <v/>
      </c>
      <c r="G447" s="6" t="n"/>
      <c r="I447" s="8">
        <f>IF($A447="","", SUMIFS($D$2:$D$801,$A$2:$A$801,$A447) - SUMIFS($E$2:$E$801,$A$2:$A$801,$A447))</f>
        <v/>
      </c>
      <c r="J447">
        <f>IF($F447="Paid",0, IF($C447="","", MAX(0, TODAY()-$C447)))</f>
        <v/>
      </c>
    </row>
    <row r="448">
      <c r="C448" s="6">
        <f>IF(AND($A448&lt;&gt;"",$B448&lt;&gt;""), XLOOKUP($A448,Loan_Register!$A$2:$A$301,Loan_Register!$M$2:$M$301,"") + 7*($B448-1), "")</f>
        <v/>
      </c>
      <c r="D448" s="8">
        <f>IF($A448&lt;&gt;"", XLOOKUP($A448,Loan_Register!$A$2:$A$301,Loan_Register!$N$2:$N$301,""), "")</f>
        <v/>
      </c>
      <c r="E448" s="8" t="n"/>
      <c r="F448">
        <f>IF($A448="","", IF($E448&gt;=$D448,"Paid", IF(TODAY()&gt;$C448,"Overdue","Pending")))</f>
        <v/>
      </c>
      <c r="G448" s="6" t="n"/>
      <c r="I448" s="8">
        <f>IF($A448="","", SUMIFS($D$2:$D$801,$A$2:$A$801,$A448) - SUMIFS($E$2:$E$801,$A$2:$A$801,$A448))</f>
        <v/>
      </c>
      <c r="J448">
        <f>IF($F448="Paid",0, IF($C448="","", MAX(0, TODAY()-$C448)))</f>
        <v/>
      </c>
    </row>
    <row r="449">
      <c r="C449" s="6">
        <f>IF(AND($A449&lt;&gt;"",$B449&lt;&gt;""), XLOOKUP($A449,Loan_Register!$A$2:$A$301,Loan_Register!$M$2:$M$301,"") + 7*($B449-1), "")</f>
        <v/>
      </c>
      <c r="D449" s="8">
        <f>IF($A449&lt;&gt;"", XLOOKUP($A449,Loan_Register!$A$2:$A$301,Loan_Register!$N$2:$N$301,""), "")</f>
        <v/>
      </c>
      <c r="E449" s="8" t="n"/>
      <c r="F449">
        <f>IF($A449="","", IF($E449&gt;=$D449,"Paid", IF(TODAY()&gt;$C449,"Overdue","Pending")))</f>
        <v/>
      </c>
      <c r="G449" s="6" t="n"/>
      <c r="I449" s="8">
        <f>IF($A449="","", SUMIFS($D$2:$D$801,$A$2:$A$801,$A449) - SUMIFS($E$2:$E$801,$A$2:$A$801,$A449))</f>
        <v/>
      </c>
      <c r="J449">
        <f>IF($F449="Paid",0, IF($C449="","", MAX(0, TODAY()-$C449)))</f>
        <v/>
      </c>
    </row>
    <row r="450">
      <c r="C450" s="6">
        <f>IF(AND($A450&lt;&gt;"",$B450&lt;&gt;""), XLOOKUP($A450,Loan_Register!$A$2:$A$301,Loan_Register!$M$2:$M$301,"") + 7*($B450-1), "")</f>
        <v/>
      </c>
      <c r="D450" s="8">
        <f>IF($A450&lt;&gt;"", XLOOKUP($A450,Loan_Register!$A$2:$A$301,Loan_Register!$N$2:$N$301,""), "")</f>
        <v/>
      </c>
      <c r="E450" s="8" t="n"/>
      <c r="F450">
        <f>IF($A450="","", IF($E450&gt;=$D450,"Paid", IF(TODAY()&gt;$C450,"Overdue","Pending")))</f>
        <v/>
      </c>
      <c r="G450" s="6" t="n"/>
      <c r="I450" s="8">
        <f>IF($A450="","", SUMIFS($D$2:$D$801,$A$2:$A$801,$A450) - SUMIFS($E$2:$E$801,$A$2:$A$801,$A450))</f>
        <v/>
      </c>
      <c r="J450">
        <f>IF($F450="Paid",0, IF($C450="","", MAX(0, TODAY()-$C450)))</f>
        <v/>
      </c>
    </row>
    <row r="451">
      <c r="C451" s="6">
        <f>IF(AND($A451&lt;&gt;"",$B451&lt;&gt;""), XLOOKUP($A451,Loan_Register!$A$2:$A$301,Loan_Register!$M$2:$M$301,"") + 7*($B451-1), "")</f>
        <v/>
      </c>
      <c r="D451" s="8">
        <f>IF($A451&lt;&gt;"", XLOOKUP($A451,Loan_Register!$A$2:$A$301,Loan_Register!$N$2:$N$301,""), "")</f>
        <v/>
      </c>
      <c r="E451" s="8" t="n"/>
      <c r="F451">
        <f>IF($A451="","", IF($E451&gt;=$D451,"Paid", IF(TODAY()&gt;$C451,"Overdue","Pending")))</f>
        <v/>
      </c>
      <c r="G451" s="6" t="n"/>
      <c r="I451" s="8">
        <f>IF($A451="","", SUMIFS($D$2:$D$801,$A$2:$A$801,$A451) - SUMIFS($E$2:$E$801,$A$2:$A$801,$A451))</f>
        <v/>
      </c>
      <c r="J451">
        <f>IF($F451="Paid",0, IF($C451="","", MAX(0, TODAY()-$C451)))</f>
        <v/>
      </c>
    </row>
    <row r="452">
      <c r="C452" s="6">
        <f>IF(AND($A452&lt;&gt;"",$B452&lt;&gt;""), XLOOKUP($A452,Loan_Register!$A$2:$A$301,Loan_Register!$M$2:$M$301,"") + 7*($B452-1), "")</f>
        <v/>
      </c>
      <c r="D452" s="8">
        <f>IF($A452&lt;&gt;"", XLOOKUP($A452,Loan_Register!$A$2:$A$301,Loan_Register!$N$2:$N$301,""), "")</f>
        <v/>
      </c>
      <c r="E452" s="8" t="n"/>
      <c r="F452">
        <f>IF($A452="","", IF($E452&gt;=$D452,"Paid", IF(TODAY()&gt;$C452,"Overdue","Pending")))</f>
        <v/>
      </c>
      <c r="G452" s="6" t="n"/>
      <c r="I452" s="8">
        <f>IF($A452="","", SUMIFS($D$2:$D$801,$A$2:$A$801,$A452) - SUMIFS($E$2:$E$801,$A$2:$A$801,$A452))</f>
        <v/>
      </c>
      <c r="J452">
        <f>IF($F452="Paid",0, IF($C452="","", MAX(0, TODAY()-$C452)))</f>
        <v/>
      </c>
    </row>
    <row r="453">
      <c r="C453" s="6">
        <f>IF(AND($A453&lt;&gt;"",$B453&lt;&gt;""), XLOOKUP($A453,Loan_Register!$A$2:$A$301,Loan_Register!$M$2:$M$301,"") + 7*($B453-1), "")</f>
        <v/>
      </c>
      <c r="D453" s="8">
        <f>IF($A453&lt;&gt;"", XLOOKUP($A453,Loan_Register!$A$2:$A$301,Loan_Register!$N$2:$N$301,""), "")</f>
        <v/>
      </c>
      <c r="E453" s="8" t="n"/>
      <c r="F453">
        <f>IF($A453="","", IF($E453&gt;=$D453,"Paid", IF(TODAY()&gt;$C453,"Overdue","Pending")))</f>
        <v/>
      </c>
      <c r="G453" s="6" t="n"/>
      <c r="I453" s="8">
        <f>IF($A453="","", SUMIFS($D$2:$D$801,$A$2:$A$801,$A453) - SUMIFS($E$2:$E$801,$A$2:$A$801,$A453))</f>
        <v/>
      </c>
      <c r="J453">
        <f>IF($F453="Paid",0, IF($C453="","", MAX(0, TODAY()-$C453)))</f>
        <v/>
      </c>
    </row>
    <row r="454">
      <c r="C454" s="6">
        <f>IF(AND($A454&lt;&gt;"",$B454&lt;&gt;""), XLOOKUP($A454,Loan_Register!$A$2:$A$301,Loan_Register!$M$2:$M$301,"") + 7*($B454-1), "")</f>
        <v/>
      </c>
      <c r="D454" s="8">
        <f>IF($A454&lt;&gt;"", XLOOKUP($A454,Loan_Register!$A$2:$A$301,Loan_Register!$N$2:$N$301,""), "")</f>
        <v/>
      </c>
      <c r="E454" s="8" t="n"/>
      <c r="F454">
        <f>IF($A454="","", IF($E454&gt;=$D454,"Paid", IF(TODAY()&gt;$C454,"Overdue","Pending")))</f>
        <v/>
      </c>
      <c r="G454" s="6" t="n"/>
      <c r="I454" s="8">
        <f>IF($A454="","", SUMIFS($D$2:$D$801,$A$2:$A$801,$A454) - SUMIFS($E$2:$E$801,$A$2:$A$801,$A454))</f>
        <v/>
      </c>
      <c r="J454">
        <f>IF($F454="Paid",0, IF($C454="","", MAX(0, TODAY()-$C454)))</f>
        <v/>
      </c>
    </row>
    <row r="455">
      <c r="C455" s="6">
        <f>IF(AND($A455&lt;&gt;"",$B455&lt;&gt;""), XLOOKUP($A455,Loan_Register!$A$2:$A$301,Loan_Register!$M$2:$M$301,"") + 7*($B455-1), "")</f>
        <v/>
      </c>
      <c r="D455" s="8">
        <f>IF($A455&lt;&gt;"", XLOOKUP($A455,Loan_Register!$A$2:$A$301,Loan_Register!$N$2:$N$301,""), "")</f>
        <v/>
      </c>
      <c r="E455" s="8" t="n"/>
      <c r="F455">
        <f>IF($A455="","", IF($E455&gt;=$D455,"Paid", IF(TODAY()&gt;$C455,"Overdue","Pending")))</f>
        <v/>
      </c>
      <c r="G455" s="6" t="n"/>
      <c r="I455" s="8">
        <f>IF($A455="","", SUMIFS($D$2:$D$801,$A$2:$A$801,$A455) - SUMIFS($E$2:$E$801,$A$2:$A$801,$A455))</f>
        <v/>
      </c>
      <c r="J455">
        <f>IF($F455="Paid",0, IF($C455="","", MAX(0, TODAY()-$C455)))</f>
        <v/>
      </c>
    </row>
    <row r="456">
      <c r="C456" s="6">
        <f>IF(AND($A456&lt;&gt;"",$B456&lt;&gt;""), XLOOKUP($A456,Loan_Register!$A$2:$A$301,Loan_Register!$M$2:$M$301,"") + 7*($B456-1), "")</f>
        <v/>
      </c>
      <c r="D456" s="8">
        <f>IF($A456&lt;&gt;"", XLOOKUP($A456,Loan_Register!$A$2:$A$301,Loan_Register!$N$2:$N$301,""), "")</f>
        <v/>
      </c>
      <c r="E456" s="8" t="n"/>
      <c r="F456">
        <f>IF($A456="","", IF($E456&gt;=$D456,"Paid", IF(TODAY()&gt;$C456,"Overdue","Pending")))</f>
        <v/>
      </c>
      <c r="G456" s="6" t="n"/>
      <c r="I456" s="8">
        <f>IF($A456="","", SUMIFS($D$2:$D$801,$A$2:$A$801,$A456) - SUMIFS($E$2:$E$801,$A$2:$A$801,$A456))</f>
        <v/>
      </c>
      <c r="J456">
        <f>IF($F456="Paid",0, IF($C456="","", MAX(0, TODAY()-$C456)))</f>
        <v/>
      </c>
    </row>
    <row r="457">
      <c r="C457" s="6">
        <f>IF(AND($A457&lt;&gt;"",$B457&lt;&gt;""), XLOOKUP($A457,Loan_Register!$A$2:$A$301,Loan_Register!$M$2:$M$301,"") + 7*($B457-1), "")</f>
        <v/>
      </c>
      <c r="D457" s="8">
        <f>IF($A457&lt;&gt;"", XLOOKUP($A457,Loan_Register!$A$2:$A$301,Loan_Register!$N$2:$N$301,""), "")</f>
        <v/>
      </c>
      <c r="E457" s="8" t="n"/>
      <c r="F457">
        <f>IF($A457="","", IF($E457&gt;=$D457,"Paid", IF(TODAY()&gt;$C457,"Overdue","Pending")))</f>
        <v/>
      </c>
      <c r="G457" s="6" t="n"/>
      <c r="I457" s="8">
        <f>IF($A457="","", SUMIFS($D$2:$D$801,$A$2:$A$801,$A457) - SUMIFS($E$2:$E$801,$A$2:$A$801,$A457))</f>
        <v/>
      </c>
      <c r="J457">
        <f>IF($F457="Paid",0, IF($C457="","", MAX(0, TODAY()-$C457)))</f>
        <v/>
      </c>
    </row>
    <row r="458">
      <c r="C458" s="6">
        <f>IF(AND($A458&lt;&gt;"",$B458&lt;&gt;""), XLOOKUP($A458,Loan_Register!$A$2:$A$301,Loan_Register!$M$2:$M$301,"") + 7*($B458-1), "")</f>
        <v/>
      </c>
      <c r="D458" s="8">
        <f>IF($A458&lt;&gt;"", XLOOKUP($A458,Loan_Register!$A$2:$A$301,Loan_Register!$N$2:$N$301,""), "")</f>
        <v/>
      </c>
      <c r="E458" s="8" t="n"/>
      <c r="F458">
        <f>IF($A458="","", IF($E458&gt;=$D458,"Paid", IF(TODAY()&gt;$C458,"Overdue","Pending")))</f>
        <v/>
      </c>
      <c r="G458" s="6" t="n"/>
      <c r="I458" s="8">
        <f>IF($A458="","", SUMIFS($D$2:$D$801,$A$2:$A$801,$A458) - SUMIFS($E$2:$E$801,$A$2:$A$801,$A458))</f>
        <v/>
      </c>
      <c r="J458">
        <f>IF($F458="Paid",0, IF($C458="","", MAX(0, TODAY()-$C458)))</f>
        <v/>
      </c>
    </row>
    <row r="459">
      <c r="C459" s="6">
        <f>IF(AND($A459&lt;&gt;"",$B459&lt;&gt;""), XLOOKUP($A459,Loan_Register!$A$2:$A$301,Loan_Register!$M$2:$M$301,"") + 7*($B459-1), "")</f>
        <v/>
      </c>
      <c r="D459" s="8">
        <f>IF($A459&lt;&gt;"", XLOOKUP($A459,Loan_Register!$A$2:$A$301,Loan_Register!$N$2:$N$301,""), "")</f>
        <v/>
      </c>
      <c r="E459" s="8" t="n"/>
      <c r="F459">
        <f>IF($A459="","", IF($E459&gt;=$D459,"Paid", IF(TODAY()&gt;$C459,"Overdue","Pending")))</f>
        <v/>
      </c>
      <c r="G459" s="6" t="n"/>
      <c r="I459" s="8">
        <f>IF($A459="","", SUMIFS($D$2:$D$801,$A$2:$A$801,$A459) - SUMIFS($E$2:$E$801,$A$2:$A$801,$A459))</f>
        <v/>
      </c>
      <c r="J459">
        <f>IF($F459="Paid",0, IF($C459="","", MAX(0, TODAY()-$C459)))</f>
        <v/>
      </c>
    </row>
    <row r="460">
      <c r="C460" s="6">
        <f>IF(AND($A460&lt;&gt;"",$B460&lt;&gt;""), XLOOKUP($A460,Loan_Register!$A$2:$A$301,Loan_Register!$M$2:$M$301,"") + 7*($B460-1), "")</f>
        <v/>
      </c>
      <c r="D460" s="8">
        <f>IF($A460&lt;&gt;"", XLOOKUP($A460,Loan_Register!$A$2:$A$301,Loan_Register!$N$2:$N$301,""), "")</f>
        <v/>
      </c>
      <c r="E460" s="8" t="n"/>
      <c r="F460">
        <f>IF($A460="","", IF($E460&gt;=$D460,"Paid", IF(TODAY()&gt;$C460,"Overdue","Pending")))</f>
        <v/>
      </c>
      <c r="G460" s="6" t="n"/>
      <c r="I460" s="8">
        <f>IF($A460="","", SUMIFS($D$2:$D$801,$A$2:$A$801,$A460) - SUMIFS($E$2:$E$801,$A$2:$A$801,$A460))</f>
        <v/>
      </c>
      <c r="J460">
        <f>IF($F460="Paid",0, IF($C460="","", MAX(0, TODAY()-$C460)))</f>
        <v/>
      </c>
    </row>
    <row r="461">
      <c r="C461" s="6">
        <f>IF(AND($A461&lt;&gt;"",$B461&lt;&gt;""), XLOOKUP($A461,Loan_Register!$A$2:$A$301,Loan_Register!$M$2:$M$301,"") + 7*($B461-1), "")</f>
        <v/>
      </c>
      <c r="D461" s="8">
        <f>IF($A461&lt;&gt;"", XLOOKUP($A461,Loan_Register!$A$2:$A$301,Loan_Register!$N$2:$N$301,""), "")</f>
        <v/>
      </c>
      <c r="E461" s="8" t="n"/>
      <c r="F461">
        <f>IF($A461="","", IF($E461&gt;=$D461,"Paid", IF(TODAY()&gt;$C461,"Overdue","Pending")))</f>
        <v/>
      </c>
      <c r="G461" s="6" t="n"/>
      <c r="I461" s="8">
        <f>IF($A461="","", SUMIFS($D$2:$D$801,$A$2:$A$801,$A461) - SUMIFS($E$2:$E$801,$A$2:$A$801,$A461))</f>
        <v/>
      </c>
      <c r="J461">
        <f>IF($F461="Paid",0, IF($C461="","", MAX(0, TODAY()-$C461)))</f>
        <v/>
      </c>
    </row>
    <row r="462">
      <c r="C462" s="6">
        <f>IF(AND($A462&lt;&gt;"",$B462&lt;&gt;""), XLOOKUP($A462,Loan_Register!$A$2:$A$301,Loan_Register!$M$2:$M$301,"") + 7*($B462-1), "")</f>
        <v/>
      </c>
      <c r="D462" s="8">
        <f>IF($A462&lt;&gt;"", XLOOKUP($A462,Loan_Register!$A$2:$A$301,Loan_Register!$N$2:$N$301,""), "")</f>
        <v/>
      </c>
      <c r="E462" s="8" t="n"/>
      <c r="F462">
        <f>IF($A462="","", IF($E462&gt;=$D462,"Paid", IF(TODAY()&gt;$C462,"Overdue","Pending")))</f>
        <v/>
      </c>
      <c r="G462" s="6" t="n"/>
      <c r="I462" s="8">
        <f>IF($A462="","", SUMIFS($D$2:$D$801,$A$2:$A$801,$A462) - SUMIFS($E$2:$E$801,$A$2:$A$801,$A462))</f>
        <v/>
      </c>
      <c r="J462">
        <f>IF($F462="Paid",0, IF($C462="","", MAX(0, TODAY()-$C462)))</f>
        <v/>
      </c>
    </row>
    <row r="463">
      <c r="C463" s="6">
        <f>IF(AND($A463&lt;&gt;"",$B463&lt;&gt;""), XLOOKUP($A463,Loan_Register!$A$2:$A$301,Loan_Register!$M$2:$M$301,"") + 7*($B463-1), "")</f>
        <v/>
      </c>
      <c r="D463" s="8">
        <f>IF($A463&lt;&gt;"", XLOOKUP($A463,Loan_Register!$A$2:$A$301,Loan_Register!$N$2:$N$301,""), "")</f>
        <v/>
      </c>
      <c r="E463" s="8" t="n"/>
      <c r="F463">
        <f>IF($A463="","", IF($E463&gt;=$D463,"Paid", IF(TODAY()&gt;$C463,"Overdue","Pending")))</f>
        <v/>
      </c>
      <c r="G463" s="6" t="n"/>
      <c r="I463" s="8">
        <f>IF($A463="","", SUMIFS($D$2:$D$801,$A$2:$A$801,$A463) - SUMIFS($E$2:$E$801,$A$2:$A$801,$A463))</f>
        <v/>
      </c>
      <c r="J463">
        <f>IF($F463="Paid",0, IF($C463="","", MAX(0, TODAY()-$C463)))</f>
        <v/>
      </c>
    </row>
    <row r="464">
      <c r="C464" s="6">
        <f>IF(AND($A464&lt;&gt;"",$B464&lt;&gt;""), XLOOKUP($A464,Loan_Register!$A$2:$A$301,Loan_Register!$M$2:$M$301,"") + 7*($B464-1), "")</f>
        <v/>
      </c>
      <c r="D464" s="8">
        <f>IF($A464&lt;&gt;"", XLOOKUP($A464,Loan_Register!$A$2:$A$301,Loan_Register!$N$2:$N$301,""), "")</f>
        <v/>
      </c>
      <c r="E464" s="8" t="n"/>
      <c r="F464">
        <f>IF($A464="","", IF($E464&gt;=$D464,"Paid", IF(TODAY()&gt;$C464,"Overdue","Pending")))</f>
        <v/>
      </c>
      <c r="G464" s="6" t="n"/>
      <c r="I464" s="8">
        <f>IF($A464="","", SUMIFS($D$2:$D$801,$A$2:$A$801,$A464) - SUMIFS($E$2:$E$801,$A$2:$A$801,$A464))</f>
        <v/>
      </c>
      <c r="J464">
        <f>IF($F464="Paid",0, IF($C464="","", MAX(0, TODAY()-$C464)))</f>
        <v/>
      </c>
    </row>
    <row r="465">
      <c r="C465" s="6">
        <f>IF(AND($A465&lt;&gt;"",$B465&lt;&gt;""), XLOOKUP($A465,Loan_Register!$A$2:$A$301,Loan_Register!$M$2:$M$301,"") + 7*($B465-1), "")</f>
        <v/>
      </c>
      <c r="D465" s="8">
        <f>IF($A465&lt;&gt;"", XLOOKUP($A465,Loan_Register!$A$2:$A$301,Loan_Register!$N$2:$N$301,""), "")</f>
        <v/>
      </c>
      <c r="E465" s="8" t="n"/>
      <c r="F465">
        <f>IF($A465="","", IF($E465&gt;=$D465,"Paid", IF(TODAY()&gt;$C465,"Overdue","Pending")))</f>
        <v/>
      </c>
      <c r="G465" s="6" t="n"/>
      <c r="I465" s="8">
        <f>IF($A465="","", SUMIFS($D$2:$D$801,$A$2:$A$801,$A465) - SUMIFS($E$2:$E$801,$A$2:$A$801,$A465))</f>
        <v/>
      </c>
      <c r="J465">
        <f>IF($F465="Paid",0, IF($C465="","", MAX(0, TODAY()-$C465)))</f>
        <v/>
      </c>
    </row>
    <row r="466">
      <c r="C466" s="6">
        <f>IF(AND($A466&lt;&gt;"",$B466&lt;&gt;""), XLOOKUP($A466,Loan_Register!$A$2:$A$301,Loan_Register!$M$2:$M$301,"") + 7*($B466-1), "")</f>
        <v/>
      </c>
      <c r="D466" s="8">
        <f>IF($A466&lt;&gt;"", XLOOKUP($A466,Loan_Register!$A$2:$A$301,Loan_Register!$N$2:$N$301,""), "")</f>
        <v/>
      </c>
      <c r="E466" s="8" t="n"/>
      <c r="F466">
        <f>IF($A466="","", IF($E466&gt;=$D466,"Paid", IF(TODAY()&gt;$C466,"Overdue","Pending")))</f>
        <v/>
      </c>
      <c r="G466" s="6" t="n"/>
      <c r="I466" s="8">
        <f>IF($A466="","", SUMIFS($D$2:$D$801,$A$2:$A$801,$A466) - SUMIFS($E$2:$E$801,$A$2:$A$801,$A466))</f>
        <v/>
      </c>
      <c r="J466">
        <f>IF($F466="Paid",0, IF($C466="","", MAX(0, TODAY()-$C466)))</f>
        <v/>
      </c>
    </row>
    <row r="467">
      <c r="C467" s="6">
        <f>IF(AND($A467&lt;&gt;"",$B467&lt;&gt;""), XLOOKUP($A467,Loan_Register!$A$2:$A$301,Loan_Register!$M$2:$M$301,"") + 7*($B467-1), "")</f>
        <v/>
      </c>
      <c r="D467" s="8">
        <f>IF($A467&lt;&gt;"", XLOOKUP($A467,Loan_Register!$A$2:$A$301,Loan_Register!$N$2:$N$301,""), "")</f>
        <v/>
      </c>
      <c r="E467" s="8" t="n"/>
      <c r="F467">
        <f>IF($A467="","", IF($E467&gt;=$D467,"Paid", IF(TODAY()&gt;$C467,"Overdue","Pending")))</f>
        <v/>
      </c>
      <c r="G467" s="6" t="n"/>
      <c r="I467" s="8">
        <f>IF($A467="","", SUMIFS($D$2:$D$801,$A$2:$A$801,$A467) - SUMIFS($E$2:$E$801,$A$2:$A$801,$A467))</f>
        <v/>
      </c>
      <c r="J467">
        <f>IF($F467="Paid",0, IF($C467="","", MAX(0, TODAY()-$C467)))</f>
        <v/>
      </c>
    </row>
    <row r="468">
      <c r="C468" s="6">
        <f>IF(AND($A468&lt;&gt;"",$B468&lt;&gt;""), XLOOKUP($A468,Loan_Register!$A$2:$A$301,Loan_Register!$M$2:$M$301,"") + 7*($B468-1), "")</f>
        <v/>
      </c>
      <c r="D468" s="8">
        <f>IF($A468&lt;&gt;"", XLOOKUP($A468,Loan_Register!$A$2:$A$301,Loan_Register!$N$2:$N$301,""), "")</f>
        <v/>
      </c>
      <c r="E468" s="8" t="n"/>
      <c r="F468">
        <f>IF($A468="","", IF($E468&gt;=$D468,"Paid", IF(TODAY()&gt;$C468,"Overdue","Pending")))</f>
        <v/>
      </c>
      <c r="G468" s="6" t="n"/>
      <c r="I468" s="8">
        <f>IF($A468="","", SUMIFS($D$2:$D$801,$A$2:$A$801,$A468) - SUMIFS($E$2:$E$801,$A$2:$A$801,$A468))</f>
        <v/>
      </c>
      <c r="J468">
        <f>IF($F468="Paid",0, IF($C468="","", MAX(0, TODAY()-$C468)))</f>
        <v/>
      </c>
    </row>
    <row r="469">
      <c r="C469" s="6">
        <f>IF(AND($A469&lt;&gt;"",$B469&lt;&gt;""), XLOOKUP($A469,Loan_Register!$A$2:$A$301,Loan_Register!$M$2:$M$301,"") + 7*($B469-1), "")</f>
        <v/>
      </c>
      <c r="D469" s="8">
        <f>IF($A469&lt;&gt;"", XLOOKUP($A469,Loan_Register!$A$2:$A$301,Loan_Register!$N$2:$N$301,""), "")</f>
        <v/>
      </c>
      <c r="E469" s="8" t="n"/>
      <c r="F469">
        <f>IF($A469="","", IF($E469&gt;=$D469,"Paid", IF(TODAY()&gt;$C469,"Overdue","Pending")))</f>
        <v/>
      </c>
      <c r="G469" s="6" t="n"/>
      <c r="I469" s="8">
        <f>IF($A469="","", SUMIFS($D$2:$D$801,$A$2:$A$801,$A469) - SUMIFS($E$2:$E$801,$A$2:$A$801,$A469))</f>
        <v/>
      </c>
      <c r="J469">
        <f>IF($F469="Paid",0, IF($C469="","", MAX(0, TODAY()-$C469)))</f>
        <v/>
      </c>
    </row>
    <row r="470">
      <c r="C470" s="6">
        <f>IF(AND($A470&lt;&gt;"",$B470&lt;&gt;""), XLOOKUP($A470,Loan_Register!$A$2:$A$301,Loan_Register!$M$2:$M$301,"") + 7*($B470-1), "")</f>
        <v/>
      </c>
      <c r="D470" s="8">
        <f>IF($A470&lt;&gt;"", XLOOKUP($A470,Loan_Register!$A$2:$A$301,Loan_Register!$N$2:$N$301,""), "")</f>
        <v/>
      </c>
      <c r="E470" s="8" t="n"/>
      <c r="F470">
        <f>IF($A470="","", IF($E470&gt;=$D470,"Paid", IF(TODAY()&gt;$C470,"Overdue","Pending")))</f>
        <v/>
      </c>
      <c r="G470" s="6" t="n"/>
      <c r="I470" s="8">
        <f>IF($A470="","", SUMIFS($D$2:$D$801,$A$2:$A$801,$A470) - SUMIFS($E$2:$E$801,$A$2:$A$801,$A470))</f>
        <v/>
      </c>
      <c r="J470">
        <f>IF($F470="Paid",0, IF($C470="","", MAX(0, TODAY()-$C470)))</f>
        <v/>
      </c>
    </row>
    <row r="471">
      <c r="C471" s="6">
        <f>IF(AND($A471&lt;&gt;"",$B471&lt;&gt;""), XLOOKUP($A471,Loan_Register!$A$2:$A$301,Loan_Register!$M$2:$M$301,"") + 7*($B471-1), "")</f>
        <v/>
      </c>
      <c r="D471" s="8">
        <f>IF($A471&lt;&gt;"", XLOOKUP($A471,Loan_Register!$A$2:$A$301,Loan_Register!$N$2:$N$301,""), "")</f>
        <v/>
      </c>
      <c r="E471" s="8" t="n"/>
      <c r="F471">
        <f>IF($A471="","", IF($E471&gt;=$D471,"Paid", IF(TODAY()&gt;$C471,"Overdue","Pending")))</f>
        <v/>
      </c>
      <c r="G471" s="6" t="n"/>
      <c r="I471" s="8">
        <f>IF($A471="","", SUMIFS($D$2:$D$801,$A$2:$A$801,$A471) - SUMIFS($E$2:$E$801,$A$2:$A$801,$A471))</f>
        <v/>
      </c>
      <c r="J471">
        <f>IF($F471="Paid",0, IF($C471="","", MAX(0, TODAY()-$C471)))</f>
        <v/>
      </c>
    </row>
    <row r="472">
      <c r="C472" s="6">
        <f>IF(AND($A472&lt;&gt;"",$B472&lt;&gt;""), XLOOKUP($A472,Loan_Register!$A$2:$A$301,Loan_Register!$M$2:$M$301,"") + 7*($B472-1), "")</f>
        <v/>
      </c>
      <c r="D472" s="8">
        <f>IF($A472&lt;&gt;"", XLOOKUP($A472,Loan_Register!$A$2:$A$301,Loan_Register!$N$2:$N$301,""), "")</f>
        <v/>
      </c>
      <c r="E472" s="8" t="n"/>
      <c r="F472">
        <f>IF($A472="","", IF($E472&gt;=$D472,"Paid", IF(TODAY()&gt;$C472,"Overdue","Pending")))</f>
        <v/>
      </c>
      <c r="G472" s="6" t="n"/>
      <c r="I472" s="8">
        <f>IF($A472="","", SUMIFS($D$2:$D$801,$A$2:$A$801,$A472) - SUMIFS($E$2:$E$801,$A$2:$A$801,$A472))</f>
        <v/>
      </c>
      <c r="J472">
        <f>IF($F472="Paid",0, IF($C472="","", MAX(0, TODAY()-$C472)))</f>
        <v/>
      </c>
    </row>
    <row r="473">
      <c r="C473" s="6">
        <f>IF(AND($A473&lt;&gt;"",$B473&lt;&gt;""), XLOOKUP($A473,Loan_Register!$A$2:$A$301,Loan_Register!$M$2:$M$301,"") + 7*($B473-1), "")</f>
        <v/>
      </c>
      <c r="D473" s="8">
        <f>IF($A473&lt;&gt;"", XLOOKUP($A473,Loan_Register!$A$2:$A$301,Loan_Register!$N$2:$N$301,""), "")</f>
        <v/>
      </c>
      <c r="E473" s="8" t="n"/>
      <c r="F473">
        <f>IF($A473="","", IF($E473&gt;=$D473,"Paid", IF(TODAY()&gt;$C473,"Overdue","Pending")))</f>
        <v/>
      </c>
      <c r="G473" s="6" t="n"/>
      <c r="I473" s="8">
        <f>IF($A473="","", SUMIFS($D$2:$D$801,$A$2:$A$801,$A473) - SUMIFS($E$2:$E$801,$A$2:$A$801,$A473))</f>
        <v/>
      </c>
      <c r="J473">
        <f>IF($F473="Paid",0, IF($C473="","", MAX(0, TODAY()-$C473)))</f>
        <v/>
      </c>
    </row>
    <row r="474">
      <c r="C474" s="6">
        <f>IF(AND($A474&lt;&gt;"",$B474&lt;&gt;""), XLOOKUP($A474,Loan_Register!$A$2:$A$301,Loan_Register!$M$2:$M$301,"") + 7*($B474-1), "")</f>
        <v/>
      </c>
      <c r="D474" s="8">
        <f>IF($A474&lt;&gt;"", XLOOKUP($A474,Loan_Register!$A$2:$A$301,Loan_Register!$N$2:$N$301,""), "")</f>
        <v/>
      </c>
      <c r="E474" s="8" t="n"/>
      <c r="F474">
        <f>IF($A474="","", IF($E474&gt;=$D474,"Paid", IF(TODAY()&gt;$C474,"Overdue","Pending")))</f>
        <v/>
      </c>
      <c r="G474" s="6" t="n"/>
      <c r="I474" s="8">
        <f>IF($A474="","", SUMIFS($D$2:$D$801,$A$2:$A$801,$A474) - SUMIFS($E$2:$E$801,$A$2:$A$801,$A474))</f>
        <v/>
      </c>
      <c r="J474">
        <f>IF($F474="Paid",0, IF($C474="","", MAX(0, TODAY()-$C474)))</f>
        <v/>
      </c>
    </row>
    <row r="475">
      <c r="C475" s="6">
        <f>IF(AND($A475&lt;&gt;"",$B475&lt;&gt;""), XLOOKUP($A475,Loan_Register!$A$2:$A$301,Loan_Register!$M$2:$M$301,"") + 7*($B475-1), "")</f>
        <v/>
      </c>
      <c r="D475" s="8">
        <f>IF($A475&lt;&gt;"", XLOOKUP($A475,Loan_Register!$A$2:$A$301,Loan_Register!$N$2:$N$301,""), "")</f>
        <v/>
      </c>
      <c r="E475" s="8" t="n"/>
      <c r="F475">
        <f>IF($A475="","", IF($E475&gt;=$D475,"Paid", IF(TODAY()&gt;$C475,"Overdue","Pending")))</f>
        <v/>
      </c>
      <c r="G475" s="6" t="n"/>
      <c r="I475" s="8">
        <f>IF($A475="","", SUMIFS($D$2:$D$801,$A$2:$A$801,$A475) - SUMIFS($E$2:$E$801,$A$2:$A$801,$A475))</f>
        <v/>
      </c>
      <c r="J475">
        <f>IF($F475="Paid",0, IF($C475="","", MAX(0, TODAY()-$C475)))</f>
        <v/>
      </c>
    </row>
    <row r="476">
      <c r="C476" s="6">
        <f>IF(AND($A476&lt;&gt;"",$B476&lt;&gt;""), XLOOKUP($A476,Loan_Register!$A$2:$A$301,Loan_Register!$M$2:$M$301,"") + 7*($B476-1), "")</f>
        <v/>
      </c>
      <c r="D476" s="8">
        <f>IF($A476&lt;&gt;"", XLOOKUP($A476,Loan_Register!$A$2:$A$301,Loan_Register!$N$2:$N$301,""), "")</f>
        <v/>
      </c>
      <c r="E476" s="8" t="n"/>
      <c r="F476">
        <f>IF($A476="","", IF($E476&gt;=$D476,"Paid", IF(TODAY()&gt;$C476,"Overdue","Pending")))</f>
        <v/>
      </c>
      <c r="G476" s="6" t="n"/>
      <c r="I476" s="8">
        <f>IF($A476="","", SUMIFS($D$2:$D$801,$A$2:$A$801,$A476) - SUMIFS($E$2:$E$801,$A$2:$A$801,$A476))</f>
        <v/>
      </c>
      <c r="J476">
        <f>IF($F476="Paid",0, IF($C476="","", MAX(0, TODAY()-$C476)))</f>
        <v/>
      </c>
    </row>
    <row r="477">
      <c r="C477" s="6">
        <f>IF(AND($A477&lt;&gt;"",$B477&lt;&gt;""), XLOOKUP($A477,Loan_Register!$A$2:$A$301,Loan_Register!$M$2:$M$301,"") + 7*($B477-1), "")</f>
        <v/>
      </c>
      <c r="D477" s="8">
        <f>IF($A477&lt;&gt;"", XLOOKUP($A477,Loan_Register!$A$2:$A$301,Loan_Register!$N$2:$N$301,""), "")</f>
        <v/>
      </c>
      <c r="E477" s="8" t="n"/>
      <c r="F477">
        <f>IF($A477="","", IF($E477&gt;=$D477,"Paid", IF(TODAY()&gt;$C477,"Overdue","Pending")))</f>
        <v/>
      </c>
      <c r="G477" s="6" t="n"/>
      <c r="I477" s="8">
        <f>IF($A477="","", SUMIFS($D$2:$D$801,$A$2:$A$801,$A477) - SUMIFS($E$2:$E$801,$A$2:$A$801,$A477))</f>
        <v/>
      </c>
      <c r="J477">
        <f>IF($F477="Paid",0, IF($C477="","", MAX(0, TODAY()-$C477)))</f>
        <v/>
      </c>
    </row>
    <row r="478">
      <c r="C478" s="6">
        <f>IF(AND($A478&lt;&gt;"",$B478&lt;&gt;""), XLOOKUP($A478,Loan_Register!$A$2:$A$301,Loan_Register!$M$2:$M$301,"") + 7*($B478-1), "")</f>
        <v/>
      </c>
      <c r="D478" s="8">
        <f>IF($A478&lt;&gt;"", XLOOKUP($A478,Loan_Register!$A$2:$A$301,Loan_Register!$N$2:$N$301,""), "")</f>
        <v/>
      </c>
      <c r="E478" s="8" t="n"/>
      <c r="F478">
        <f>IF($A478="","", IF($E478&gt;=$D478,"Paid", IF(TODAY()&gt;$C478,"Overdue","Pending")))</f>
        <v/>
      </c>
      <c r="G478" s="6" t="n"/>
      <c r="I478" s="8">
        <f>IF($A478="","", SUMIFS($D$2:$D$801,$A$2:$A$801,$A478) - SUMIFS($E$2:$E$801,$A$2:$A$801,$A478))</f>
        <v/>
      </c>
      <c r="J478">
        <f>IF($F478="Paid",0, IF($C478="","", MAX(0, TODAY()-$C478)))</f>
        <v/>
      </c>
    </row>
    <row r="479">
      <c r="C479" s="6">
        <f>IF(AND($A479&lt;&gt;"",$B479&lt;&gt;""), XLOOKUP($A479,Loan_Register!$A$2:$A$301,Loan_Register!$M$2:$M$301,"") + 7*($B479-1), "")</f>
        <v/>
      </c>
      <c r="D479" s="8">
        <f>IF($A479&lt;&gt;"", XLOOKUP($A479,Loan_Register!$A$2:$A$301,Loan_Register!$N$2:$N$301,""), "")</f>
        <v/>
      </c>
      <c r="E479" s="8" t="n"/>
      <c r="F479">
        <f>IF($A479="","", IF($E479&gt;=$D479,"Paid", IF(TODAY()&gt;$C479,"Overdue","Pending")))</f>
        <v/>
      </c>
      <c r="G479" s="6" t="n"/>
      <c r="I479" s="8">
        <f>IF($A479="","", SUMIFS($D$2:$D$801,$A$2:$A$801,$A479) - SUMIFS($E$2:$E$801,$A$2:$A$801,$A479))</f>
        <v/>
      </c>
      <c r="J479">
        <f>IF($F479="Paid",0, IF($C479="","", MAX(0, TODAY()-$C479)))</f>
        <v/>
      </c>
    </row>
    <row r="480">
      <c r="C480" s="6">
        <f>IF(AND($A480&lt;&gt;"",$B480&lt;&gt;""), XLOOKUP($A480,Loan_Register!$A$2:$A$301,Loan_Register!$M$2:$M$301,"") + 7*($B480-1), "")</f>
        <v/>
      </c>
      <c r="D480" s="8">
        <f>IF($A480&lt;&gt;"", XLOOKUP($A480,Loan_Register!$A$2:$A$301,Loan_Register!$N$2:$N$301,""), "")</f>
        <v/>
      </c>
      <c r="E480" s="8" t="n"/>
      <c r="F480">
        <f>IF($A480="","", IF($E480&gt;=$D480,"Paid", IF(TODAY()&gt;$C480,"Overdue","Pending")))</f>
        <v/>
      </c>
      <c r="G480" s="6" t="n"/>
      <c r="I480" s="8">
        <f>IF($A480="","", SUMIFS($D$2:$D$801,$A$2:$A$801,$A480) - SUMIFS($E$2:$E$801,$A$2:$A$801,$A480))</f>
        <v/>
      </c>
      <c r="J480">
        <f>IF($F480="Paid",0, IF($C480="","", MAX(0, TODAY()-$C480)))</f>
        <v/>
      </c>
    </row>
    <row r="481">
      <c r="C481" s="6">
        <f>IF(AND($A481&lt;&gt;"",$B481&lt;&gt;""), XLOOKUP($A481,Loan_Register!$A$2:$A$301,Loan_Register!$M$2:$M$301,"") + 7*($B481-1), "")</f>
        <v/>
      </c>
      <c r="D481" s="8">
        <f>IF($A481&lt;&gt;"", XLOOKUP($A481,Loan_Register!$A$2:$A$301,Loan_Register!$N$2:$N$301,""), "")</f>
        <v/>
      </c>
      <c r="E481" s="8" t="n"/>
      <c r="F481">
        <f>IF($A481="","", IF($E481&gt;=$D481,"Paid", IF(TODAY()&gt;$C481,"Overdue","Pending")))</f>
        <v/>
      </c>
      <c r="G481" s="6" t="n"/>
      <c r="I481" s="8">
        <f>IF($A481="","", SUMIFS($D$2:$D$801,$A$2:$A$801,$A481) - SUMIFS($E$2:$E$801,$A$2:$A$801,$A481))</f>
        <v/>
      </c>
      <c r="J481">
        <f>IF($F481="Paid",0, IF($C481="","", MAX(0, TODAY()-$C481)))</f>
        <v/>
      </c>
    </row>
    <row r="482">
      <c r="C482" s="6">
        <f>IF(AND($A482&lt;&gt;"",$B482&lt;&gt;""), XLOOKUP($A482,Loan_Register!$A$2:$A$301,Loan_Register!$M$2:$M$301,"") + 7*($B482-1), "")</f>
        <v/>
      </c>
      <c r="D482" s="8">
        <f>IF($A482&lt;&gt;"", XLOOKUP($A482,Loan_Register!$A$2:$A$301,Loan_Register!$N$2:$N$301,""), "")</f>
        <v/>
      </c>
      <c r="E482" s="8" t="n"/>
      <c r="F482">
        <f>IF($A482="","", IF($E482&gt;=$D482,"Paid", IF(TODAY()&gt;$C482,"Overdue","Pending")))</f>
        <v/>
      </c>
      <c r="G482" s="6" t="n"/>
      <c r="I482" s="8">
        <f>IF($A482="","", SUMIFS($D$2:$D$801,$A$2:$A$801,$A482) - SUMIFS($E$2:$E$801,$A$2:$A$801,$A482))</f>
        <v/>
      </c>
      <c r="J482">
        <f>IF($F482="Paid",0, IF($C482="","", MAX(0, TODAY()-$C482)))</f>
        <v/>
      </c>
    </row>
    <row r="483">
      <c r="C483" s="6">
        <f>IF(AND($A483&lt;&gt;"",$B483&lt;&gt;""), XLOOKUP($A483,Loan_Register!$A$2:$A$301,Loan_Register!$M$2:$M$301,"") + 7*($B483-1), "")</f>
        <v/>
      </c>
      <c r="D483" s="8">
        <f>IF($A483&lt;&gt;"", XLOOKUP($A483,Loan_Register!$A$2:$A$301,Loan_Register!$N$2:$N$301,""), "")</f>
        <v/>
      </c>
      <c r="E483" s="8" t="n"/>
      <c r="F483">
        <f>IF($A483="","", IF($E483&gt;=$D483,"Paid", IF(TODAY()&gt;$C483,"Overdue","Pending")))</f>
        <v/>
      </c>
      <c r="G483" s="6" t="n"/>
      <c r="I483" s="8">
        <f>IF($A483="","", SUMIFS($D$2:$D$801,$A$2:$A$801,$A483) - SUMIFS($E$2:$E$801,$A$2:$A$801,$A483))</f>
        <v/>
      </c>
      <c r="J483">
        <f>IF($F483="Paid",0, IF($C483="","", MAX(0, TODAY()-$C483)))</f>
        <v/>
      </c>
    </row>
    <row r="484">
      <c r="C484" s="6">
        <f>IF(AND($A484&lt;&gt;"",$B484&lt;&gt;""), XLOOKUP($A484,Loan_Register!$A$2:$A$301,Loan_Register!$M$2:$M$301,"") + 7*($B484-1), "")</f>
        <v/>
      </c>
      <c r="D484" s="8">
        <f>IF($A484&lt;&gt;"", XLOOKUP($A484,Loan_Register!$A$2:$A$301,Loan_Register!$N$2:$N$301,""), "")</f>
        <v/>
      </c>
      <c r="E484" s="8" t="n"/>
      <c r="F484">
        <f>IF($A484="","", IF($E484&gt;=$D484,"Paid", IF(TODAY()&gt;$C484,"Overdue","Pending")))</f>
        <v/>
      </c>
      <c r="G484" s="6" t="n"/>
      <c r="I484" s="8">
        <f>IF($A484="","", SUMIFS($D$2:$D$801,$A$2:$A$801,$A484) - SUMIFS($E$2:$E$801,$A$2:$A$801,$A484))</f>
        <v/>
      </c>
      <c r="J484">
        <f>IF($F484="Paid",0, IF($C484="","", MAX(0, TODAY()-$C484)))</f>
        <v/>
      </c>
    </row>
    <row r="485">
      <c r="C485" s="6">
        <f>IF(AND($A485&lt;&gt;"",$B485&lt;&gt;""), XLOOKUP($A485,Loan_Register!$A$2:$A$301,Loan_Register!$M$2:$M$301,"") + 7*($B485-1), "")</f>
        <v/>
      </c>
      <c r="D485" s="8">
        <f>IF($A485&lt;&gt;"", XLOOKUP($A485,Loan_Register!$A$2:$A$301,Loan_Register!$N$2:$N$301,""), "")</f>
        <v/>
      </c>
      <c r="E485" s="8" t="n"/>
      <c r="F485">
        <f>IF($A485="","", IF($E485&gt;=$D485,"Paid", IF(TODAY()&gt;$C485,"Overdue","Pending")))</f>
        <v/>
      </c>
      <c r="G485" s="6" t="n"/>
      <c r="I485" s="8">
        <f>IF($A485="","", SUMIFS($D$2:$D$801,$A$2:$A$801,$A485) - SUMIFS($E$2:$E$801,$A$2:$A$801,$A485))</f>
        <v/>
      </c>
      <c r="J485">
        <f>IF($F485="Paid",0, IF($C485="","", MAX(0, TODAY()-$C485)))</f>
        <v/>
      </c>
    </row>
    <row r="486">
      <c r="C486" s="6">
        <f>IF(AND($A486&lt;&gt;"",$B486&lt;&gt;""), XLOOKUP($A486,Loan_Register!$A$2:$A$301,Loan_Register!$M$2:$M$301,"") + 7*($B486-1), "")</f>
        <v/>
      </c>
      <c r="D486" s="8">
        <f>IF($A486&lt;&gt;"", XLOOKUP($A486,Loan_Register!$A$2:$A$301,Loan_Register!$N$2:$N$301,""), "")</f>
        <v/>
      </c>
      <c r="E486" s="8" t="n"/>
      <c r="F486">
        <f>IF($A486="","", IF($E486&gt;=$D486,"Paid", IF(TODAY()&gt;$C486,"Overdue","Pending")))</f>
        <v/>
      </c>
      <c r="G486" s="6" t="n"/>
      <c r="I486" s="8">
        <f>IF($A486="","", SUMIFS($D$2:$D$801,$A$2:$A$801,$A486) - SUMIFS($E$2:$E$801,$A$2:$A$801,$A486))</f>
        <v/>
      </c>
      <c r="J486">
        <f>IF($F486="Paid",0, IF($C486="","", MAX(0, TODAY()-$C486)))</f>
        <v/>
      </c>
    </row>
    <row r="487">
      <c r="C487" s="6">
        <f>IF(AND($A487&lt;&gt;"",$B487&lt;&gt;""), XLOOKUP($A487,Loan_Register!$A$2:$A$301,Loan_Register!$M$2:$M$301,"") + 7*($B487-1), "")</f>
        <v/>
      </c>
      <c r="D487" s="8">
        <f>IF($A487&lt;&gt;"", XLOOKUP($A487,Loan_Register!$A$2:$A$301,Loan_Register!$N$2:$N$301,""), "")</f>
        <v/>
      </c>
      <c r="E487" s="8" t="n"/>
      <c r="F487">
        <f>IF($A487="","", IF($E487&gt;=$D487,"Paid", IF(TODAY()&gt;$C487,"Overdue","Pending")))</f>
        <v/>
      </c>
      <c r="G487" s="6" t="n"/>
      <c r="I487" s="8">
        <f>IF($A487="","", SUMIFS($D$2:$D$801,$A$2:$A$801,$A487) - SUMIFS($E$2:$E$801,$A$2:$A$801,$A487))</f>
        <v/>
      </c>
      <c r="J487">
        <f>IF($F487="Paid",0, IF($C487="","", MAX(0, TODAY()-$C487)))</f>
        <v/>
      </c>
    </row>
    <row r="488">
      <c r="C488" s="6">
        <f>IF(AND($A488&lt;&gt;"",$B488&lt;&gt;""), XLOOKUP($A488,Loan_Register!$A$2:$A$301,Loan_Register!$M$2:$M$301,"") + 7*($B488-1), "")</f>
        <v/>
      </c>
      <c r="D488" s="8">
        <f>IF($A488&lt;&gt;"", XLOOKUP($A488,Loan_Register!$A$2:$A$301,Loan_Register!$N$2:$N$301,""), "")</f>
        <v/>
      </c>
      <c r="E488" s="8" t="n"/>
      <c r="F488">
        <f>IF($A488="","", IF($E488&gt;=$D488,"Paid", IF(TODAY()&gt;$C488,"Overdue","Pending")))</f>
        <v/>
      </c>
      <c r="G488" s="6" t="n"/>
      <c r="I488" s="8">
        <f>IF($A488="","", SUMIFS($D$2:$D$801,$A$2:$A$801,$A488) - SUMIFS($E$2:$E$801,$A$2:$A$801,$A488))</f>
        <v/>
      </c>
      <c r="J488">
        <f>IF($F488="Paid",0, IF($C488="","", MAX(0, TODAY()-$C488)))</f>
        <v/>
      </c>
    </row>
    <row r="489">
      <c r="C489" s="6">
        <f>IF(AND($A489&lt;&gt;"",$B489&lt;&gt;""), XLOOKUP($A489,Loan_Register!$A$2:$A$301,Loan_Register!$M$2:$M$301,"") + 7*($B489-1), "")</f>
        <v/>
      </c>
      <c r="D489" s="8">
        <f>IF($A489&lt;&gt;"", XLOOKUP($A489,Loan_Register!$A$2:$A$301,Loan_Register!$N$2:$N$301,""), "")</f>
        <v/>
      </c>
      <c r="E489" s="8" t="n"/>
      <c r="F489">
        <f>IF($A489="","", IF($E489&gt;=$D489,"Paid", IF(TODAY()&gt;$C489,"Overdue","Pending")))</f>
        <v/>
      </c>
      <c r="G489" s="6" t="n"/>
      <c r="I489" s="8">
        <f>IF($A489="","", SUMIFS($D$2:$D$801,$A$2:$A$801,$A489) - SUMIFS($E$2:$E$801,$A$2:$A$801,$A489))</f>
        <v/>
      </c>
      <c r="J489">
        <f>IF($F489="Paid",0, IF($C489="","", MAX(0, TODAY()-$C489)))</f>
        <v/>
      </c>
    </row>
    <row r="490">
      <c r="C490" s="6">
        <f>IF(AND($A490&lt;&gt;"",$B490&lt;&gt;""), XLOOKUP($A490,Loan_Register!$A$2:$A$301,Loan_Register!$M$2:$M$301,"") + 7*($B490-1), "")</f>
        <v/>
      </c>
      <c r="D490" s="8">
        <f>IF($A490&lt;&gt;"", XLOOKUP($A490,Loan_Register!$A$2:$A$301,Loan_Register!$N$2:$N$301,""), "")</f>
        <v/>
      </c>
      <c r="E490" s="8" t="n"/>
      <c r="F490">
        <f>IF($A490="","", IF($E490&gt;=$D490,"Paid", IF(TODAY()&gt;$C490,"Overdue","Pending")))</f>
        <v/>
      </c>
      <c r="G490" s="6" t="n"/>
      <c r="I490" s="8">
        <f>IF($A490="","", SUMIFS($D$2:$D$801,$A$2:$A$801,$A490) - SUMIFS($E$2:$E$801,$A$2:$A$801,$A490))</f>
        <v/>
      </c>
      <c r="J490">
        <f>IF($F490="Paid",0, IF($C490="","", MAX(0, TODAY()-$C490)))</f>
        <v/>
      </c>
    </row>
    <row r="491">
      <c r="C491" s="6">
        <f>IF(AND($A491&lt;&gt;"",$B491&lt;&gt;""), XLOOKUP($A491,Loan_Register!$A$2:$A$301,Loan_Register!$M$2:$M$301,"") + 7*($B491-1), "")</f>
        <v/>
      </c>
      <c r="D491" s="8">
        <f>IF($A491&lt;&gt;"", XLOOKUP($A491,Loan_Register!$A$2:$A$301,Loan_Register!$N$2:$N$301,""), "")</f>
        <v/>
      </c>
      <c r="E491" s="8" t="n"/>
      <c r="F491">
        <f>IF($A491="","", IF($E491&gt;=$D491,"Paid", IF(TODAY()&gt;$C491,"Overdue","Pending")))</f>
        <v/>
      </c>
      <c r="G491" s="6" t="n"/>
      <c r="I491" s="8">
        <f>IF($A491="","", SUMIFS($D$2:$D$801,$A$2:$A$801,$A491) - SUMIFS($E$2:$E$801,$A$2:$A$801,$A491))</f>
        <v/>
      </c>
      <c r="J491">
        <f>IF($F491="Paid",0, IF($C491="","", MAX(0, TODAY()-$C491)))</f>
        <v/>
      </c>
    </row>
    <row r="492">
      <c r="C492" s="6">
        <f>IF(AND($A492&lt;&gt;"",$B492&lt;&gt;""), XLOOKUP($A492,Loan_Register!$A$2:$A$301,Loan_Register!$M$2:$M$301,"") + 7*($B492-1), "")</f>
        <v/>
      </c>
      <c r="D492" s="8">
        <f>IF($A492&lt;&gt;"", XLOOKUP($A492,Loan_Register!$A$2:$A$301,Loan_Register!$N$2:$N$301,""), "")</f>
        <v/>
      </c>
      <c r="E492" s="8" t="n"/>
      <c r="F492">
        <f>IF($A492="","", IF($E492&gt;=$D492,"Paid", IF(TODAY()&gt;$C492,"Overdue","Pending")))</f>
        <v/>
      </c>
      <c r="G492" s="6" t="n"/>
      <c r="I492" s="8">
        <f>IF($A492="","", SUMIFS($D$2:$D$801,$A$2:$A$801,$A492) - SUMIFS($E$2:$E$801,$A$2:$A$801,$A492))</f>
        <v/>
      </c>
      <c r="J492">
        <f>IF($F492="Paid",0, IF($C492="","", MAX(0, TODAY()-$C492)))</f>
        <v/>
      </c>
    </row>
    <row r="493">
      <c r="C493" s="6">
        <f>IF(AND($A493&lt;&gt;"",$B493&lt;&gt;""), XLOOKUP($A493,Loan_Register!$A$2:$A$301,Loan_Register!$M$2:$M$301,"") + 7*($B493-1), "")</f>
        <v/>
      </c>
      <c r="D493" s="8">
        <f>IF($A493&lt;&gt;"", XLOOKUP($A493,Loan_Register!$A$2:$A$301,Loan_Register!$N$2:$N$301,""), "")</f>
        <v/>
      </c>
      <c r="E493" s="8" t="n"/>
      <c r="F493">
        <f>IF($A493="","", IF($E493&gt;=$D493,"Paid", IF(TODAY()&gt;$C493,"Overdue","Pending")))</f>
        <v/>
      </c>
      <c r="G493" s="6" t="n"/>
      <c r="I493" s="8">
        <f>IF($A493="","", SUMIFS($D$2:$D$801,$A$2:$A$801,$A493) - SUMIFS($E$2:$E$801,$A$2:$A$801,$A493))</f>
        <v/>
      </c>
      <c r="J493">
        <f>IF($F493="Paid",0, IF($C493="","", MAX(0, TODAY()-$C493)))</f>
        <v/>
      </c>
    </row>
    <row r="494">
      <c r="C494" s="6">
        <f>IF(AND($A494&lt;&gt;"",$B494&lt;&gt;""), XLOOKUP($A494,Loan_Register!$A$2:$A$301,Loan_Register!$M$2:$M$301,"") + 7*($B494-1), "")</f>
        <v/>
      </c>
      <c r="D494" s="8">
        <f>IF($A494&lt;&gt;"", XLOOKUP($A494,Loan_Register!$A$2:$A$301,Loan_Register!$N$2:$N$301,""), "")</f>
        <v/>
      </c>
      <c r="E494" s="8" t="n"/>
      <c r="F494">
        <f>IF($A494="","", IF($E494&gt;=$D494,"Paid", IF(TODAY()&gt;$C494,"Overdue","Pending")))</f>
        <v/>
      </c>
      <c r="G494" s="6" t="n"/>
      <c r="I494" s="8">
        <f>IF($A494="","", SUMIFS($D$2:$D$801,$A$2:$A$801,$A494) - SUMIFS($E$2:$E$801,$A$2:$A$801,$A494))</f>
        <v/>
      </c>
      <c r="J494">
        <f>IF($F494="Paid",0, IF($C494="","", MAX(0, TODAY()-$C494)))</f>
        <v/>
      </c>
    </row>
    <row r="495">
      <c r="C495" s="6">
        <f>IF(AND($A495&lt;&gt;"",$B495&lt;&gt;""), XLOOKUP($A495,Loan_Register!$A$2:$A$301,Loan_Register!$M$2:$M$301,"") + 7*($B495-1), "")</f>
        <v/>
      </c>
      <c r="D495" s="8">
        <f>IF($A495&lt;&gt;"", XLOOKUP($A495,Loan_Register!$A$2:$A$301,Loan_Register!$N$2:$N$301,""), "")</f>
        <v/>
      </c>
      <c r="E495" s="8" t="n"/>
      <c r="F495">
        <f>IF($A495="","", IF($E495&gt;=$D495,"Paid", IF(TODAY()&gt;$C495,"Overdue","Pending")))</f>
        <v/>
      </c>
      <c r="G495" s="6" t="n"/>
      <c r="I495" s="8">
        <f>IF($A495="","", SUMIFS($D$2:$D$801,$A$2:$A$801,$A495) - SUMIFS($E$2:$E$801,$A$2:$A$801,$A495))</f>
        <v/>
      </c>
      <c r="J495">
        <f>IF($F495="Paid",0, IF($C495="","", MAX(0, TODAY()-$C495)))</f>
        <v/>
      </c>
    </row>
    <row r="496">
      <c r="C496" s="6">
        <f>IF(AND($A496&lt;&gt;"",$B496&lt;&gt;""), XLOOKUP($A496,Loan_Register!$A$2:$A$301,Loan_Register!$M$2:$M$301,"") + 7*($B496-1), "")</f>
        <v/>
      </c>
      <c r="D496" s="8">
        <f>IF($A496&lt;&gt;"", XLOOKUP($A496,Loan_Register!$A$2:$A$301,Loan_Register!$N$2:$N$301,""), "")</f>
        <v/>
      </c>
      <c r="E496" s="8" t="n"/>
      <c r="F496">
        <f>IF($A496="","", IF($E496&gt;=$D496,"Paid", IF(TODAY()&gt;$C496,"Overdue","Pending")))</f>
        <v/>
      </c>
      <c r="G496" s="6" t="n"/>
      <c r="I496" s="8">
        <f>IF($A496="","", SUMIFS($D$2:$D$801,$A$2:$A$801,$A496) - SUMIFS($E$2:$E$801,$A$2:$A$801,$A496))</f>
        <v/>
      </c>
      <c r="J496">
        <f>IF($F496="Paid",0, IF($C496="","", MAX(0, TODAY()-$C496)))</f>
        <v/>
      </c>
    </row>
    <row r="497">
      <c r="C497" s="6">
        <f>IF(AND($A497&lt;&gt;"",$B497&lt;&gt;""), XLOOKUP($A497,Loan_Register!$A$2:$A$301,Loan_Register!$M$2:$M$301,"") + 7*($B497-1), "")</f>
        <v/>
      </c>
      <c r="D497" s="8">
        <f>IF($A497&lt;&gt;"", XLOOKUP($A497,Loan_Register!$A$2:$A$301,Loan_Register!$N$2:$N$301,""), "")</f>
        <v/>
      </c>
      <c r="E497" s="8" t="n"/>
      <c r="F497">
        <f>IF($A497="","", IF($E497&gt;=$D497,"Paid", IF(TODAY()&gt;$C497,"Overdue","Pending")))</f>
        <v/>
      </c>
      <c r="G497" s="6" t="n"/>
      <c r="I497" s="8">
        <f>IF($A497="","", SUMIFS($D$2:$D$801,$A$2:$A$801,$A497) - SUMIFS($E$2:$E$801,$A$2:$A$801,$A497))</f>
        <v/>
      </c>
      <c r="J497">
        <f>IF($F497="Paid",0, IF($C497="","", MAX(0, TODAY()-$C497)))</f>
        <v/>
      </c>
    </row>
    <row r="498">
      <c r="C498" s="6">
        <f>IF(AND($A498&lt;&gt;"",$B498&lt;&gt;""), XLOOKUP($A498,Loan_Register!$A$2:$A$301,Loan_Register!$M$2:$M$301,"") + 7*($B498-1), "")</f>
        <v/>
      </c>
      <c r="D498" s="8">
        <f>IF($A498&lt;&gt;"", XLOOKUP($A498,Loan_Register!$A$2:$A$301,Loan_Register!$N$2:$N$301,""), "")</f>
        <v/>
      </c>
      <c r="E498" s="8" t="n"/>
      <c r="F498">
        <f>IF($A498="","", IF($E498&gt;=$D498,"Paid", IF(TODAY()&gt;$C498,"Overdue","Pending")))</f>
        <v/>
      </c>
      <c r="G498" s="6" t="n"/>
      <c r="I498" s="8">
        <f>IF($A498="","", SUMIFS($D$2:$D$801,$A$2:$A$801,$A498) - SUMIFS($E$2:$E$801,$A$2:$A$801,$A498))</f>
        <v/>
      </c>
      <c r="J498">
        <f>IF($F498="Paid",0, IF($C498="","", MAX(0, TODAY()-$C498)))</f>
        <v/>
      </c>
    </row>
    <row r="499">
      <c r="C499" s="6">
        <f>IF(AND($A499&lt;&gt;"",$B499&lt;&gt;""), XLOOKUP($A499,Loan_Register!$A$2:$A$301,Loan_Register!$M$2:$M$301,"") + 7*($B499-1), "")</f>
        <v/>
      </c>
      <c r="D499" s="8">
        <f>IF($A499&lt;&gt;"", XLOOKUP($A499,Loan_Register!$A$2:$A$301,Loan_Register!$N$2:$N$301,""), "")</f>
        <v/>
      </c>
      <c r="E499" s="8" t="n"/>
      <c r="F499">
        <f>IF($A499="","", IF($E499&gt;=$D499,"Paid", IF(TODAY()&gt;$C499,"Overdue","Pending")))</f>
        <v/>
      </c>
      <c r="G499" s="6" t="n"/>
      <c r="I499" s="8">
        <f>IF($A499="","", SUMIFS($D$2:$D$801,$A$2:$A$801,$A499) - SUMIFS($E$2:$E$801,$A$2:$A$801,$A499))</f>
        <v/>
      </c>
      <c r="J499">
        <f>IF($F499="Paid",0, IF($C499="","", MAX(0, TODAY()-$C499)))</f>
        <v/>
      </c>
    </row>
    <row r="500">
      <c r="C500" s="6">
        <f>IF(AND($A500&lt;&gt;"",$B500&lt;&gt;""), XLOOKUP($A500,Loan_Register!$A$2:$A$301,Loan_Register!$M$2:$M$301,"") + 7*($B500-1), "")</f>
        <v/>
      </c>
      <c r="D500" s="8">
        <f>IF($A500&lt;&gt;"", XLOOKUP($A500,Loan_Register!$A$2:$A$301,Loan_Register!$N$2:$N$301,""), "")</f>
        <v/>
      </c>
      <c r="E500" s="8" t="n"/>
      <c r="F500">
        <f>IF($A500="","", IF($E500&gt;=$D500,"Paid", IF(TODAY()&gt;$C500,"Overdue","Pending")))</f>
        <v/>
      </c>
      <c r="G500" s="6" t="n"/>
      <c r="I500" s="8">
        <f>IF($A500="","", SUMIFS($D$2:$D$801,$A$2:$A$801,$A500) - SUMIFS($E$2:$E$801,$A$2:$A$801,$A500))</f>
        <v/>
      </c>
      <c r="J500">
        <f>IF($F500="Paid",0, IF($C500="","", MAX(0, TODAY()-$C500)))</f>
        <v/>
      </c>
    </row>
    <row r="501">
      <c r="C501" s="6">
        <f>IF(AND($A501&lt;&gt;"",$B501&lt;&gt;""), XLOOKUP($A501,Loan_Register!$A$2:$A$301,Loan_Register!$M$2:$M$301,"") + 7*($B501-1), "")</f>
        <v/>
      </c>
      <c r="D501" s="8">
        <f>IF($A501&lt;&gt;"", XLOOKUP($A501,Loan_Register!$A$2:$A$301,Loan_Register!$N$2:$N$301,""), "")</f>
        <v/>
      </c>
      <c r="E501" s="8" t="n"/>
      <c r="F501">
        <f>IF($A501="","", IF($E501&gt;=$D501,"Paid", IF(TODAY()&gt;$C501,"Overdue","Pending")))</f>
        <v/>
      </c>
      <c r="G501" s="6" t="n"/>
      <c r="I501" s="8">
        <f>IF($A501="","", SUMIFS($D$2:$D$801,$A$2:$A$801,$A501) - SUMIFS($E$2:$E$801,$A$2:$A$801,$A501))</f>
        <v/>
      </c>
      <c r="J501">
        <f>IF($F501="Paid",0, IF($C501="","", MAX(0, TODAY()-$C501)))</f>
        <v/>
      </c>
    </row>
    <row r="502">
      <c r="C502" s="6">
        <f>IF(AND($A502&lt;&gt;"",$B502&lt;&gt;""), XLOOKUP($A502,Loan_Register!$A$2:$A$301,Loan_Register!$M$2:$M$301,"") + 7*($B502-1), "")</f>
        <v/>
      </c>
      <c r="D502" s="8">
        <f>IF($A502&lt;&gt;"", XLOOKUP($A502,Loan_Register!$A$2:$A$301,Loan_Register!$N$2:$N$301,""), "")</f>
        <v/>
      </c>
      <c r="E502" s="8" t="n"/>
      <c r="F502">
        <f>IF($A502="","", IF($E502&gt;=$D502,"Paid", IF(TODAY()&gt;$C502,"Overdue","Pending")))</f>
        <v/>
      </c>
      <c r="G502" s="6" t="n"/>
      <c r="I502" s="8">
        <f>IF($A502="","", SUMIFS($D$2:$D$801,$A$2:$A$801,$A502) - SUMIFS($E$2:$E$801,$A$2:$A$801,$A502))</f>
        <v/>
      </c>
      <c r="J502">
        <f>IF($F502="Paid",0, IF($C502="","", MAX(0, TODAY()-$C502)))</f>
        <v/>
      </c>
    </row>
    <row r="503">
      <c r="C503" s="6">
        <f>IF(AND($A503&lt;&gt;"",$B503&lt;&gt;""), XLOOKUP($A503,Loan_Register!$A$2:$A$301,Loan_Register!$M$2:$M$301,"") + 7*($B503-1), "")</f>
        <v/>
      </c>
      <c r="D503" s="8">
        <f>IF($A503&lt;&gt;"", XLOOKUP($A503,Loan_Register!$A$2:$A$301,Loan_Register!$N$2:$N$301,""), "")</f>
        <v/>
      </c>
      <c r="E503" s="8" t="n"/>
      <c r="F503">
        <f>IF($A503="","", IF($E503&gt;=$D503,"Paid", IF(TODAY()&gt;$C503,"Overdue","Pending")))</f>
        <v/>
      </c>
      <c r="G503" s="6" t="n"/>
      <c r="I503" s="8">
        <f>IF($A503="","", SUMIFS($D$2:$D$801,$A$2:$A$801,$A503) - SUMIFS($E$2:$E$801,$A$2:$A$801,$A503))</f>
        <v/>
      </c>
      <c r="J503">
        <f>IF($F503="Paid",0, IF($C503="","", MAX(0, TODAY()-$C503)))</f>
        <v/>
      </c>
    </row>
    <row r="504">
      <c r="C504" s="6">
        <f>IF(AND($A504&lt;&gt;"",$B504&lt;&gt;""), XLOOKUP($A504,Loan_Register!$A$2:$A$301,Loan_Register!$M$2:$M$301,"") + 7*($B504-1), "")</f>
        <v/>
      </c>
      <c r="D504" s="8">
        <f>IF($A504&lt;&gt;"", XLOOKUP($A504,Loan_Register!$A$2:$A$301,Loan_Register!$N$2:$N$301,""), "")</f>
        <v/>
      </c>
      <c r="E504" s="8" t="n"/>
      <c r="F504">
        <f>IF($A504="","", IF($E504&gt;=$D504,"Paid", IF(TODAY()&gt;$C504,"Overdue","Pending")))</f>
        <v/>
      </c>
      <c r="G504" s="6" t="n"/>
      <c r="I504" s="8">
        <f>IF($A504="","", SUMIFS($D$2:$D$801,$A$2:$A$801,$A504) - SUMIFS($E$2:$E$801,$A$2:$A$801,$A504))</f>
        <v/>
      </c>
      <c r="J504">
        <f>IF($F504="Paid",0, IF($C504="","", MAX(0, TODAY()-$C504)))</f>
        <v/>
      </c>
    </row>
    <row r="505">
      <c r="C505" s="6">
        <f>IF(AND($A505&lt;&gt;"",$B505&lt;&gt;""), XLOOKUP($A505,Loan_Register!$A$2:$A$301,Loan_Register!$M$2:$M$301,"") + 7*($B505-1), "")</f>
        <v/>
      </c>
      <c r="D505" s="8">
        <f>IF($A505&lt;&gt;"", XLOOKUP($A505,Loan_Register!$A$2:$A$301,Loan_Register!$N$2:$N$301,""), "")</f>
        <v/>
      </c>
      <c r="E505" s="8" t="n"/>
      <c r="F505">
        <f>IF($A505="","", IF($E505&gt;=$D505,"Paid", IF(TODAY()&gt;$C505,"Overdue","Pending")))</f>
        <v/>
      </c>
      <c r="G505" s="6" t="n"/>
      <c r="I505" s="8">
        <f>IF($A505="","", SUMIFS($D$2:$D$801,$A$2:$A$801,$A505) - SUMIFS($E$2:$E$801,$A$2:$A$801,$A505))</f>
        <v/>
      </c>
      <c r="J505">
        <f>IF($F505="Paid",0, IF($C505="","", MAX(0, TODAY()-$C505)))</f>
        <v/>
      </c>
    </row>
    <row r="506">
      <c r="C506" s="6">
        <f>IF(AND($A506&lt;&gt;"",$B506&lt;&gt;""), XLOOKUP($A506,Loan_Register!$A$2:$A$301,Loan_Register!$M$2:$M$301,"") + 7*($B506-1), "")</f>
        <v/>
      </c>
      <c r="D506" s="8">
        <f>IF($A506&lt;&gt;"", XLOOKUP($A506,Loan_Register!$A$2:$A$301,Loan_Register!$N$2:$N$301,""), "")</f>
        <v/>
      </c>
      <c r="E506" s="8" t="n"/>
      <c r="F506">
        <f>IF($A506="","", IF($E506&gt;=$D506,"Paid", IF(TODAY()&gt;$C506,"Overdue","Pending")))</f>
        <v/>
      </c>
      <c r="G506" s="6" t="n"/>
      <c r="I506" s="8">
        <f>IF($A506="","", SUMIFS($D$2:$D$801,$A$2:$A$801,$A506) - SUMIFS($E$2:$E$801,$A$2:$A$801,$A506))</f>
        <v/>
      </c>
      <c r="J506">
        <f>IF($F506="Paid",0, IF($C506="","", MAX(0, TODAY()-$C506)))</f>
        <v/>
      </c>
    </row>
    <row r="507">
      <c r="C507" s="6">
        <f>IF(AND($A507&lt;&gt;"",$B507&lt;&gt;""), XLOOKUP($A507,Loan_Register!$A$2:$A$301,Loan_Register!$M$2:$M$301,"") + 7*($B507-1), "")</f>
        <v/>
      </c>
      <c r="D507" s="8">
        <f>IF($A507&lt;&gt;"", XLOOKUP($A507,Loan_Register!$A$2:$A$301,Loan_Register!$N$2:$N$301,""), "")</f>
        <v/>
      </c>
      <c r="E507" s="8" t="n"/>
      <c r="F507">
        <f>IF($A507="","", IF($E507&gt;=$D507,"Paid", IF(TODAY()&gt;$C507,"Overdue","Pending")))</f>
        <v/>
      </c>
      <c r="G507" s="6" t="n"/>
      <c r="I507" s="8">
        <f>IF($A507="","", SUMIFS($D$2:$D$801,$A$2:$A$801,$A507) - SUMIFS($E$2:$E$801,$A$2:$A$801,$A507))</f>
        <v/>
      </c>
      <c r="J507">
        <f>IF($F507="Paid",0, IF($C507="","", MAX(0, TODAY()-$C507)))</f>
        <v/>
      </c>
    </row>
    <row r="508">
      <c r="C508" s="6">
        <f>IF(AND($A508&lt;&gt;"",$B508&lt;&gt;""), XLOOKUP($A508,Loan_Register!$A$2:$A$301,Loan_Register!$M$2:$M$301,"") + 7*($B508-1), "")</f>
        <v/>
      </c>
      <c r="D508" s="8">
        <f>IF($A508&lt;&gt;"", XLOOKUP($A508,Loan_Register!$A$2:$A$301,Loan_Register!$N$2:$N$301,""), "")</f>
        <v/>
      </c>
      <c r="E508" s="8" t="n"/>
      <c r="F508">
        <f>IF($A508="","", IF($E508&gt;=$D508,"Paid", IF(TODAY()&gt;$C508,"Overdue","Pending")))</f>
        <v/>
      </c>
      <c r="G508" s="6" t="n"/>
      <c r="I508" s="8">
        <f>IF($A508="","", SUMIFS($D$2:$D$801,$A$2:$A$801,$A508) - SUMIFS($E$2:$E$801,$A$2:$A$801,$A508))</f>
        <v/>
      </c>
      <c r="J508">
        <f>IF($F508="Paid",0, IF($C508="","", MAX(0, TODAY()-$C508)))</f>
        <v/>
      </c>
    </row>
    <row r="509">
      <c r="C509" s="6">
        <f>IF(AND($A509&lt;&gt;"",$B509&lt;&gt;""), XLOOKUP($A509,Loan_Register!$A$2:$A$301,Loan_Register!$M$2:$M$301,"") + 7*($B509-1), "")</f>
        <v/>
      </c>
      <c r="D509" s="8">
        <f>IF($A509&lt;&gt;"", XLOOKUP($A509,Loan_Register!$A$2:$A$301,Loan_Register!$N$2:$N$301,""), "")</f>
        <v/>
      </c>
      <c r="E509" s="8" t="n"/>
      <c r="F509">
        <f>IF($A509="","", IF($E509&gt;=$D509,"Paid", IF(TODAY()&gt;$C509,"Overdue","Pending")))</f>
        <v/>
      </c>
      <c r="G509" s="6" t="n"/>
      <c r="I509" s="8">
        <f>IF($A509="","", SUMIFS($D$2:$D$801,$A$2:$A$801,$A509) - SUMIFS($E$2:$E$801,$A$2:$A$801,$A509))</f>
        <v/>
      </c>
      <c r="J509">
        <f>IF($F509="Paid",0, IF($C509="","", MAX(0, TODAY()-$C509)))</f>
        <v/>
      </c>
    </row>
    <row r="510">
      <c r="C510" s="6">
        <f>IF(AND($A510&lt;&gt;"",$B510&lt;&gt;""), XLOOKUP($A510,Loan_Register!$A$2:$A$301,Loan_Register!$M$2:$M$301,"") + 7*($B510-1), "")</f>
        <v/>
      </c>
      <c r="D510" s="8">
        <f>IF($A510&lt;&gt;"", XLOOKUP($A510,Loan_Register!$A$2:$A$301,Loan_Register!$N$2:$N$301,""), "")</f>
        <v/>
      </c>
      <c r="E510" s="8" t="n"/>
      <c r="F510">
        <f>IF($A510="","", IF($E510&gt;=$D510,"Paid", IF(TODAY()&gt;$C510,"Overdue","Pending")))</f>
        <v/>
      </c>
      <c r="G510" s="6" t="n"/>
      <c r="I510" s="8">
        <f>IF($A510="","", SUMIFS($D$2:$D$801,$A$2:$A$801,$A510) - SUMIFS($E$2:$E$801,$A$2:$A$801,$A510))</f>
        <v/>
      </c>
      <c r="J510">
        <f>IF($F510="Paid",0, IF($C510="","", MAX(0, TODAY()-$C510)))</f>
        <v/>
      </c>
    </row>
    <row r="511">
      <c r="C511" s="6">
        <f>IF(AND($A511&lt;&gt;"",$B511&lt;&gt;""), XLOOKUP($A511,Loan_Register!$A$2:$A$301,Loan_Register!$M$2:$M$301,"") + 7*($B511-1), "")</f>
        <v/>
      </c>
      <c r="D511" s="8">
        <f>IF($A511&lt;&gt;"", XLOOKUP($A511,Loan_Register!$A$2:$A$301,Loan_Register!$N$2:$N$301,""), "")</f>
        <v/>
      </c>
      <c r="E511" s="8" t="n"/>
      <c r="F511">
        <f>IF($A511="","", IF($E511&gt;=$D511,"Paid", IF(TODAY()&gt;$C511,"Overdue","Pending")))</f>
        <v/>
      </c>
      <c r="G511" s="6" t="n"/>
      <c r="I511" s="8">
        <f>IF($A511="","", SUMIFS($D$2:$D$801,$A$2:$A$801,$A511) - SUMIFS($E$2:$E$801,$A$2:$A$801,$A511))</f>
        <v/>
      </c>
      <c r="J511">
        <f>IF($F511="Paid",0, IF($C511="","", MAX(0, TODAY()-$C511)))</f>
        <v/>
      </c>
    </row>
    <row r="512">
      <c r="C512" s="6">
        <f>IF(AND($A512&lt;&gt;"",$B512&lt;&gt;""), XLOOKUP($A512,Loan_Register!$A$2:$A$301,Loan_Register!$M$2:$M$301,"") + 7*($B512-1), "")</f>
        <v/>
      </c>
      <c r="D512" s="8">
        <f>IF($A512&lt;&gt;"", XLOOKUP($A512,Loan_Register!$A$2:$A$301,Loan_Register!$N$2:$N$301,""), "")</f>
        <v/>
      </c>
      <c r="E512" s="8" t="n"/>
      <c r="F512">
        <f>IF($A512="","", IF($E512&gt;=$D512,"Paid", IF(TODAY()&gt;$C512,"Overdue","Pending")))</f>
        <v/>
      </c>
      <c r="G512" s="6" t="n"/>
      <c r="I512" s="8">
        <f>IF($A512="","", SUMIFS($D$2:$D$801,$A$2:$A$801,$A512) - SUMIFS($E$2:$E$801,$A$2:$A$801,$A512))</f>
        <v/>
      </c>
      <c r="J512">
        <f>IF($F512="Paid",0, IF($C512="","", MAX(0, TODAY()-$C512)))</f>
        <v/>
      </c>
    </row>
    <row r="513">
      <c r="C513" s="6">
        <f>IF(AND($A513&lt;&gt;"",$B513&lt;&gt;""), XLOOKUP($A513,Loan_Register!$A$2:$A$301,Loan_Register!$M$2:$M$301,"") + 7*($B513-1), "")</f>
        <v/>
      </c>
      <c r="D513" s="8">
        <f>IF($A513&lt;&gt;"", XLOOKUP($A513,Loan_Register!$A$2:$A$301,Loan_Register!$N$2:$N$301,""), "")</f>
        <v/>
      </c>
      <c r="E513" s="8" t="n"/>
      <c r="F513">
        <f>IF($A513="","", IF($E513&gt;=$D513,"Paid", IF(TODAY()&gt;$C513,"Overdue","Pending")))</f>
        <v/>
      </c>
      <c r="G513" s="6" t="n"/>
      <c r="I513" s="8">
        <f>IF($A513="","", SUMIFS($D$2:$D$801,$A$2:$A$801,$A513) - SUMIFS($E$2:$E$801,$A$2:$A$801,$A513))</f>
        <v/>
      </c>
      <c r="J513">
        <f>IF($F513="Paid",0, IF($C513="","", MAX(0, TODAY()-$C513)))</f>
        <v/>
      </c>
    </row>
    <row r="514">
      <c r="C514" s="6">
        <f>IF(AND($A514&lt;&gt;"",$B514&lt;&gt;""), XLOOKUP($A514,Loan_Register!$A$2:$A$301,Loan_Register!$M$2:$M$301,"") + 7*($B514-1), "")</f>
        <v/>
      </c>
      <c r="D514" s="8">
        <f>IF($A514&lt;&gt;"", XLOOKUP($A514,Loan_Register!$A$2:$A$301,Loan_Register!$N$2:$N$301,""), "")</f>
        <v/>
      </c>
      <c r="E514" s="8" t="n"/>
      <c r="F514">
        <f>IF($A514="","", IF($E514&gt;=$D514,"Paid", IF(TODAY()&gt;$C514,"Overdue","Pending")))</f>
        <v/>
      </c>
      <c r="G514" s="6" t="n"/>
      <c r="I514" s="8">
        <f>IF($A514="","", SUMIFS($D$2:$D$801,$A$2:$A$801,$A514) - SUMIFS($E$2:$E$801,$A$2:$A$801,$A514))</f>
        <v/>
      </c>
      <c r="J514">
        <f>IF($F514="Paid",0, IF($C514="","", MAX(0, TODAY()-$C514)))</f>
        <v/>
      </c>
    </row>
    <row r="515">
      <c r="C515" s="6">
        <f>IF(AND($A515&lt;&gt;"",$B515&lt;&gt;""), XLOOKUP($A515,Loan_Register!$A$2:$A$301,Loan_Register!$M$2:$M$301,"") + 7*($B515-1), "")</f>
        <v/>
      </c>
      <c r="D515" s="8">
        <f>IF($A515&lt;&gt;"", XLOOKUP($A515,Loan_Register!$A$2:$A$301,Loan_Register!$N$2:$N$301,""), "")</f>
        <v/>
      </c>
      <c r="E515" s="8" t="n"/>
      <c r="F515">
        <f>IF($A515="","", IF($E515&gt;=$D515,"Paid", IF(TODAY()&gt;$C515,"Overdue","Pending")))</f>
        <v/>
      </c>
      <c r="G515" s="6" t="n"/>
      <c r="I515" s="8">
        <f>IF($A515="","", SUMIFS($D$2:$D$801,$A$2:$A$801,$A515) - SUMIFS($E$2:$E$801,$A$2:$A$801,$A515))</f>
        <v/>
      </c>
      <c r="J515">
        <f>IF($F515="Paid",0, IF($C515="","", MAX(0, TODAY()-$C515)))</f>
        <v/>
      </c>
    </row>
    <row r="516">
      <c r="C516" s="6">
        <f>IF(AND($A516&lt;&gt;"",$B516&lt;&gt;""), XLOOKUP($A516,Loan_Register!$A$2:$A$301,Loan_Register!$M$2:$M$301,"") + 7*($B516-1), "")</f>
        <v/>
      </c>
      <c r="D516" s="8">
        <f>IF($A516&lt;&gt;"", XLOOKUP($A516,Loan_Register!$A$2:$A$301,Loan_Register!$N$2:$N$301,""), "")</f>
        <v/>
      </c>
      <c r="E516" s="8" t="n"/>
      <c r="F516">
        <f>IF($A516="","", IF($E516&gt;=$D516,"Paid", IF(TODAY()&gt;$C516,"Overdue","Pending")))</f>
        <v/>
      </c>
      <c r="G516" s="6" t="n"/>
      <c r="I516" s="8">
        <f>IF($A516="","", SUMIFS($D$2:$D$801,$A$2:$A$801,$A516) - SUMIFS($E$2:$E$801,$A$2:$A$801,$A516))</f>
        <v/>
      </c>
      <c r="J516">
        <f>IF($F516="Paid",0, IF($C516="","", MAX(0, TODAY()-$C516)))</f>
        <v/>
      </c>
    </row>
    <row r="517">
      <c r="C517" s="6">
        <f>IF(AND($A517&lt;&gt;"",$B517&lt;&gt;""), XLOOKUP($A517,Loan_Register!$A$2:$A$301,Loan_Register!$M$2:$M$301,"") + 7*($B517-1), "")</f>
        <v/>
      </c>
      <c r="D517" s="8">
        <f>IF($A517&lt;&gt;"", XLOOKUP($A517,Loan_Register!$A$2:$A$301,Loan_Register!$N$2:$N$301,""), "")</f>
        <v/>
      </c>
      <c r="E517" s="8" t="n"/>
      <c r="F517">
        <f>IF($A517="","", IF($E517&gt;=$D517,"Paid", IF(TODAY()&gt;$C517,"Overdue","Pending")))</f>
        <v/>
      </c>
      <c r="G517" s="6" t="n"/>
      <c r="I517" s="8">
        <f>IF($A517="","", SUMIFS($D$2:$D$801,$A$2:$A$801,$A517) - SUMIFS($E$2:$E$801,$A$2:$A$801,$A517))</f>
        <v/>
      </c>
      <c r="J517">
        <f>IF($F517="Paid",0, IF($C517="","", MAX(0, TODAY()-$C517)))</f>
        <v/>
      </c>
    </row>
    <row r="518">
      <c r="C518" s="6">
        <f>IF(AND($A518&lt;&gt;"",$B518&lt;&gt;""), XLOOKUP($A518,Loan_Register!$A$2:$A$301,Loan_Register!$M$2:$M$301,"") + 7*($B518-1), "")</f>
        <v/>
      </c>
      <c r="D518" s="8">
        <f>IF($A518&lt;&gt;"", XLOOKUP($A518,Loan_Register!$A$2:$A$301,Loan_Register!$N$2:$N$301,""), "")</f>
        <v/>
      </c>
      <c r="E518" s="8" t="n"/>
      <c r="F518">
        <f>IF($A518="","", IF($E518&gt;=$D518,"Paid", IF(TODAY()&gt;$C518,"Overdue","Pending")))</f>
        <v/>
      </c>
      <c r="G518" s="6" t="n"/>
      <c r="I518" s="8">
        <f>IF($A518="","", SUMIFS($D$2:$D$801,$A$2:$A$801,$A518) - SUMIFS($E$2:$E$801,$A$2:$A$801,$A518))</f>
        <v/>
      </c>
      <c r="J518">
        <f>IF($F518="Paid",0, IF($C518="","", MAX(0, TODAY()-$C518)))</f>
        <v/>
      </c>
    </row>
    <row r="519">
      <c r="C519" s="6">
        <f>IF(AND($A519&lt;&gt;"",$B519&lt;&gt;""), XLOOKUP($A519,Loan_Register!$A$2:$A$301,Loan_Register!$M$2:$M$301,"") + 7*($B519-1), "")</f>
        <v/>
      </c>
      <c r="D519" s="8">
        <f>IF($A519&lt;&gt;"", XLOOKUP($A519,Loan_Register!$A$2:$A$301,Loan_Register!$N$2:$N$301,""), "")</f>
        <v/>
      </c>
      <c r="E519" s="8" t="n"/>
      <c r="F519">
        <f>IF($A519="","", IF($E519&gt;=$D519,"Paid", IF(TODAY()&gt;$C519,"Overdue","Pending")))</f>
        <v/>
      </c>
      <c r="G519" s="6" t="n"/>
      <c r="I519" s="8">
        <f>IF($A519="","", SUMIFS($D$2:$D$801,$A$2:$A$801,$A519) - SUMIFS($E$2:$E$801,$A$2:$A$801,$A519))</f>
        <v/>
      </c>
      <c r="J519">
        <f>IF($F519="Paid",0, IF($C519="","", MAX(0, TODAY()-$C519)))</f>
        <v/>
      </c>
    </row>
    <row r="520">
      <c r="C520" s="6">
        <f>IF(AND($A520&lt;&gt;"",$B520&lt;&gt;""), XLOOKUP($A520,Loan_Register!$A$2:$A$301,Loan_Register!$M$2:$M$301,"") + 7*($B520-1), "")</f>
        <v/>
      </c>
      <c r="D520" s="8">
        <f>IF($A520&lt;&gt;"", XLOOKUP($A520,Loan_Register!$A$2:$A$301,Loan_Register!$N$2:$N$301,""), "")</f>
        <v/>
      </c>
      <c r="E520" s="8" t="n"/>
      <c r="F520">
        <f>IF($A520="","", IF($E520&gt;=$D520,"Paid", IF(TODAY()&gt;$C520,"Overdue","Pending")))</f>
        <v/>
      </c>
      <c r="G520" s="6" t="n"/>
      <c r="I520" s="8">
        <f>IF($A520="","", SUMIFS($D$2:$D$801,$A$2:$A$801,$A520) - SUMIFS($E$2:$E$801,$A$2:$A$801,$A520))</f>
        <v/>
      </c>
      <c r="J520">
        <f>IF($F520="Paid",0, IF($C520="","", MAX(0, TODAY()-$C520)))</f>
        <v/>
      </c>
    </row>
    <row r="521">
      <c r="C521" s="6">
        <f>IF(AND($A521&lt;&gt;"",$B521&lt;&gt;""), XLOOKUP($A521,Loan_Register!$A$2:$A$301,Loan_Register!$M$2:$M$301,"") + 7*($B521-1), "")</f>
        <v/>
      </c>
      <c r="D521" s="8">
        <f>IF($A521&lt;&gt;"", XLOOKUP($A521,Loan_Register!$A$2:$A$301,Loan_Register!$N$2:$N$301,""), "")</f>
        <v/>
      </c>
      <c r="E521" s="8" t="n"/>
      <c r="F521">
        <f>IF($A521="","", IF($E521&gt;=$D521,"Paid", IF(TODAY()&gt;$C521,"Overdue","Pending")))</f>
        <v/>
      </c>
      <c r="G521" s="6" t="n"/>
      <c r="I521" s="8">
        <f>IF($A521="","", SUMIFS($D$2:$D$801,$A$2:$A$801,$A521) - SUMIFS($E$2:$E$801,$A$2:$A$801,$A521))</f>
        <v/>
      </c>
      <c r="J521">
        <f>IF($F521="Paid",0, IF($C521="","", MAX(0, TODAY()-$C521)))</f>
        <v/>
      </c>
    </row>
    <row r="522">
      <c r="C522" s="6">
        <f>IF(AND($A522&lt;&gt;"",$B522&lt;&gt;""), XLOOKUP($A522,Loan_Register!$A$2:$A$301,Loan_Register!$M$2:$M$301,"") + 7*($B522-1), "")</f>
        <v/>
      </c>
      <c r="D522" s="8">
        <f>IF($A522&lt;&gt;"", XLOOKUP($A522,Loan_Register!$A$2:$A$301,Loan_Register!$N$2:$N$301,""), "")</f>
        <v/>
      </c>
      <c r="E522" s="8" t="n"/>
      <c r="F522">
        <f>IF($A522="","", IF($E522&gt;=$D522,"Paid", IF(TODAY()&gt;$C522,"Overdue","Pending")))</f>
        <v/>
      </c>
      <c r="G522" s="6" t="n"/>
      <c r="I522" s="8">
        <f>IF($A522="","", SUMIFS($D$2:$D$801,$A$2:$A$801,$A522) - SUMIFS($E$2:$E$801,$A$2:$A$801,$A522))</f>
        <v/>
      </c>
      <c r="J522">
        <f>IF($F522="Paid",0, IF($C522="","", MAX(0, TODAY()-$C522)))</f>
        <v/>
      </c>
    </row>
    <row r="523">
      <c r="C523" s="6">
        <f>IF(AND($A523&lt;&gt;"",$B523&lt;&gt;""), XLOOKUP($A523,Loan_Register!$A$2:$A$301,Loan_Register!$M$2:$M$301,"") + 7*($B523-1), "")</f>
        <v/>
      </c>
      <c r="D523" s="8">
        <f>IF($A523&lt;&gt;"", XLOOKUP($A523,Loan_Register!$A$2:$A$301,Loan_Register!$N$2:$N$301,""), "")</f>
        <v/>
      </c>
      <c r="E523" s="8" t="n"/>
      <c r="F523">
        <f>IF($A523="","", IF($E523&gt;=$D523,"Paid", IF(TODAY()&gt;$C523,"Overdue","Pending")))</f>
        <v/>
      </c>
      <c r="G523" s="6" t="n"/>
      <c r="I523" s="8">
        <f>IF($A523="","", SUMIFS($D$2:$D$801,$A$2:$A$801,$A523) - SUMIFS($E$2:$E$801,$A$2:$A$801,$A523))</f>
        <v/>
      </c>
      <c r="J523">
        <f>IF($F523="Paid",0, IF($C523="","", MAX(0, TODAY()-$C523)))</f>
        <v/>
      </c>
    </row>
    <row r="524">
      <c r="C524" s="6">
        <f>IF(AND($A524&lt;&gt;"",$B524&lt;&gt;""), XLOOKUP($A524,Loan_Register!$A$2:$A$301,Loan_Register!$M$2:$M$301,"") + 7*($B524-1), "")</f>
        <v/>
      </c>
      <c r="D524" s="8">
        <f>IF($A524&lt;&gt;"", XLOOKUP($A524,Loan_Register!$A$2:$A$301,Loan_Register!$N$2:$N$301,""), "")</f>
        <v/>
      </c>
      <c r="E524" s="8" t="n"/>
      <c r="F524">
        <f>IF($A524="","", IF($E524&gt;=$D524,"Paid", IF(TODAY()&gt;$C524,"Overdue","Pending")))</f>
        <v/>
      </c>
      <c r="G524" s="6" t="n"/>
      <c r="I524" s="8">
        <f>IF($A524="","", SUMIFS($D$2:$D$801,$A$2:$A$801,$A524) - SUMIFS($E$2:$E$801,$A$2:$A$801,$A524))</f>
        <v/>
      </c>
      <c r="J524">
        <f>IF($F524="Paid",0, IF($C524="","", MAX(0, TODAY()-$C524)))</f>
        <v/>
      </c>
    </row>
    <row r="525">
      <c r="C525" s="6">
        <f>IF(AND($A525&lt;&gt;"",$B525&lt;&gt;""), XLOOKUP($A525,Loan_Register!$A$2:$A$301,Loan_Register!$M$2:$M$301,"") + 7*($B525-1), "")</f>
        <v/>
      </c>
      <c r="D525" s="8">
        <f>IF($A525&lt;&gt;"", XLOOKUP($A525,Loan_Register!$A$2:$A$301,Loan_Register!$N$2:$N$301,""), "")</f>
        <v/>
      </c>
      <c r="E525" s="8" t="n"/>
      <c r="F525">
        <f>IF($A525="","", IF($E525&gt;=$D525,"Paid", IF(TODAY()&gt;$C525,"Overdue","Pending")))</f>
        <v/>
      </c>
      <c r="G525" s="6" t="n"/>
      <c r="I525" s="8">
        <f>IF($A525="","", SUMIFS($D$2:$D$801,$A$2:$A$801,$A525) - SUMIFS($E$2:$E$801,$A$2:$A$801,$A525))</f>
        <v/>
      </c>
      <c r="J525">
        <f>IF($F525="Paid",0, IF($C525="","", MAX(0, TODAY()-$C525)))</f>
        <v/>
      </c>
    </row>
    <row r="526">
      <c r="C526" s="6">
        <f>IF(AND($A526&lt;&gt;"",$B526&lt;&gt;""), XLOOKUP($A526,Loan_Register!$A$2:$A$301,Loan_Register!$M$2:$M$301,"") + 7*($B526-1), "")</f>
        <v/>
      </c>
      <c r="D526" s="8">
        <f>IF($A526&lt;&gt;"", XLOOKUP($A526,Loan_Register!$A$2:$A$301,Loan_Register!$N$2:$N$301,""), "")</f>
        <v/>
      </c>
      <c r="E526" s="8" t="n"/>
      <c r="F526">
        <f>IF($A526="","", IF($E526&gt;=$D526,"Paid", IF(TODAY()&gt;$C526,"Overdue","Pending")))</f>
        <v/>
      </c>
      <c r="G526" s="6" t="n"/>
      <c r="I526" s="8">
        <f>IF($A526="","", SUMIFS($D$2:$D$801,$A$2:$A$801,$A526) - SUMIFS($E$2:$E$801,$A$2:$A$801,$A526))</f>
        <v/>
      </c>
      <c r="J526">
        <f>IF($F526="Paid",0, IF($C526="","", MAX(0, TODAY()-$C526)))</f>
        <v/>
      </c>
    </row>
    <row r="527">
      <c r="C527" s="6">
        <f>IF(AND($A527&lt;&gt;"",$B527&lt;&gt;""), XLOOKUP($A527,Loan_Register!$A$2:$A$301,Loan_Register!$M$2:$M$301,"") + 7*($B527-1), "")</f>
        <v/>
      </c>
      <c r="D527" s="8">
        <f>IF($A527&lt;&gt;"", XLOOKUP($A527,Loan_Register!$A$2:$A$301,Loan_Register!$N$2:$N$301,""), "")</f>
        <v/>
      </c>
      <c r="E527" s="8" t="n"/>
      <c r="F527">
        <f>IF($A527="","", IF($E527&gt;=$D527,"Paid", IF(TODAY()&gt;$C527,"Overdue","Pending")))</f>
        <v/>
      </c>
      <c r="G527" s="6" t="n"/>
      <c r="I527" s="8">
        <f>IF($A527="","", SUMIFS($D$2:$D$801,$A$2:$A$801,$A527) - SUMIFS($E$2:$E$801,$A$2:$A$801,$A527))</f>
        <v/>
      </c>
      <c r="J527">
        <f>IF($F527="Paid",0, IF($C527="","", MAX(0, TODAY()-$C527)))</f>
        <v/>
      </c>
    </row>
    <row r="528">
      <c r="C528" s="6">
        <f>IF(AND($A528&lt;&gt;"",$B528&lt;&gt;""), XLOOKUP($A528,Loan_Register!$A$2:$A$301,Loan_Register!$M$2:$M$301,"") + 7*($B528-1), "")</f>
        <v/>
      </c>
      <c r="D528" s="8">
        <f>IF($A528&lt;&gt;"", XLOOKUP($A528,Loan_Register!$A$2:$A$301,Loan_Register!$N$2:$N$301,""), "")</f>
        <v/>
      </c>
      <c r="E528" s="8" t="n"/>
      <c r="F528">
        <f>IF($A528="","", IF($E528&gt;=$D528,"Paid", IF(TODAY()&gt;$C528,"Overdue","Pending")))</f>
        <v/>
      </c>
      <c r="G528" s="6" t="n"/>
      <c r="I528" s="8">
        <f>IF($A528="","", SUMIFS($D$2:$D$801,$A$2:$A$801,$A528) - SUMIFS($E$2:$E$801,$A$2:$A$801,$A528))</f>
        <v/>
      </c>
      <c r="J528">
        <f>IF($F528="Paid",0, IF($C528="","", MAX(0, TODAY()-$C528)))</f>
        <v/>
      </c>
    </row>
    <row r="529">
      <c r="C529" s="6">
        <f>IF(AND($A529&lt;&gt;"",$B529&lt;&gt;""), XLOOKUP($A529,Loan_Register!$A$2:$A$301,Loan_Register!$M$2:$M$301,"") + 7*($B529-1), "")</f>
        <v/>
      </c>
      <c r="D529" s="8">
        <f>IF($A529&lt;&gt;"", XLOOKUP($A529,Loan_Register!$A$2:$A$301,Loan_Register!$N$2:$N$301,""), "")</f>
        <v/>
      </c>
      <c r="E529" s="8" t="n"/>
      <c r="F529">
        <f>IF($A529="","", IF($E529&gt;=$D529,"Paid", IF(TODAY()&gt;$C529,"Overdue","Pending")))</f>
        <v/>
      </c>
      <c r="G529" s="6" t="n"/>
      <c r="I529" s="8">
        <f>IF($A529="","", SUMIFS($D$2:$D$801,$A$2:$A$801,$A529) - SUMIFS($E$2:$E$801,$A$2:$A$801,$A529))</f>
        <v/>
      </c>
      <c r="J529">
        <f>IF($F529="Paid",0, IF($C529="","", MAX(0, TODAY()-$C529)))</f>
        <v/>
      </c>
    </row>
    <row r="530">
      <c r="C530" s="6">
        <f>IF(AND($A530&lt;&gt;"",$B530&lt;&gt;""), XLOOKUP($A530,Loan_Register!$A$2:$A$301,Loan_Register!$M$2:$M$301,"") + 7*($B530-1), "")</f>
        <v/>
      </c>
      <c r="D530" s="8">
        <f>IF($A530&lt;&gt;"", XLOOKUP($A530,Loan_Register!$A$2:$A$301,Loan_Register!$N$2:$N$301,""), "")</f>
        <v/>
      </c>
      <c r="E530" s="8" t="n"/>
      <c r="F530">
        <f>IF($A530="","", IF($E530&gt;=$D530,"Paid", IF(TODAY()&gt;$C530,"Overdue","Pending")))</f>
        <v/>
      </c>
      <c r="G530" s="6" t="n"/>
      <c r="I530" s="8">
        <f>IF($A530="","", SUMIFS($D$2:$D$801,$A$2:$A$801,$A530) - SUMIFS($E$2:$E$801,$A$2:$A$801,$A530))</f>
        <v/>
      </c>
      <c r="J530">
        <f>IF($F530="Paid",0, IF($C530="","", MAX(0, TODAY()-$C530)))</f>
        <v/>
      </c>
    </row>
    <row r="531">
      <c r="C531" s="6">
        <f>IF(AND($A531&lt;&gt;"",$B531&lt;&gt;""), XLOOKUP($A531,Loan_Register!$A$2:$A$301,Loan_Register!$M$2:$M$301,"") + 7*($B531-1), "")</f>
        <v/>
      </c>
      <c r="D531" s="8">
        <f>IF($A531&lt;&gt;"", XLOOKUP($A531,Loan_Register!$A$2:$A$301,Loan_Register!$N$2:$N$301,""), "")</f>
        <v/>
      </c>
      <c r="E531" s="8" t="n"/>
      <c r="F531">
        <f>IF($A531="","", IF($E531&gt;=$D531,"Paid", IF(TODAY()&gt;$C531,"Overdue","Pending")))</f>
        <v/>
      </c>
      <c r="G531" s="6" t="n"/>
      <c r="I531" s="8">
        <f>IF($A531="","", SUMIFS($D$2:$D$801,$A$2:$A$801,$A531) - SUMIFS($E$2:$E$801,$A$2:$A$801,$A531))</f>
        <v/>
      </c>
      <c r="J531">
        <f>IF($F531="Paid",0, IF($C531="","", MAX(0, TODAY()-$C531)))</f>
        <v/>
      </c>
    </row>
    <row r="532">
      <c r="C532" s="6">
        <f>IF(AND($A532&lt;&gt;"",$B532&lt;&gt;""), XLOOKUP($A532,Loan_Register!$A$2:$A$301,Loan_Register!$M$2:$M$301,"") + 7*($B532-1), "")</f>
        <v/>
      </c>
      <c r="D532" s="8">
        <f>IF($A532&lt;&gt;"", XLOOKUP($A532,Loan_Register!$A$2:$A$301,Loan_Register!$N$2:$N$301,""), "")</f>
        <v/>
      </c>
      <c r="E532" s="8" t="n"/>
      <c r="F532">
        <f>IF($A532="","", IF($E532&gt;=$D532,"Paid", IF(TODAY()&gt;$C532,"Overdue","Pending")))</f>
        <v/>
      </c>
      <c r="G532" s="6" t="n"/>
      <c r="I532" s="8">
        <f>IF($A532="","", SUMIFS($D$2:$D$801,$A$2:$A$801,$A532) - SUMIFS($E$2:$E$801,$A$2:$A$801,$A532))</f>
        <v/>
      </c>
      <c r="J532">
        <f>IF($F532="Paid",0, IF($C532="","", MAX(0, TODAY()-$C532)))</f>
        <v/>
      </c>
    </row>
    <row r="533">
      <c r="C533" s="6">
        <f>IF(AND($A533&lt;&gt;"",$B533&lt;&gt;""), XLOOKUP($A533,Loan_Register!$A$2:$A$301,Loan_Register!$M$2:$M$301,"") + 7*($B533-1), "")</f>
        <v/>
      </c>
      <c r="D533" s="8">
        <f>IF($A533&lt;&gt;"", XLOOKUP($A533,Loan_Register!$A$2:$A$301,Loan_Register!$N$2:$N$301,""), "")</f>
        <v/>
      </c>
      <c r="E533" s="8" t="n"/>
      <c r="F533">
        <f>IF($A533="","", IF($E533&gt;=$D533,"Paid", IF(TODAY()&gt;$C533,"Overdue","Pending")))</f>
        <v/>
      </c>
      <c r="G533" s="6" t="n"/>
      <c r="I533" s="8">
        <f>IF($A533="","", SUMIFS($D$2:$D$801,$A$2:$A$801,$A533) - SUMIFS($E$2:$E$801,$A$2:$A$801,$A533))</f>
        <v/>
      </c>
      <c r="J533">
        <f>IF($F533="Paid",0, IF($C533="","", MAX(0, TODAY()-$C533)))</f>
        <v/>
      </c>
    </row>
    <row r="534">
      <c r="C534" s="6">
        <f>IF(AND($A534&lt;&gt;"",$B534&lt;&gt;""), XLOOKUP($A534,Loan_Register!$A$2:$A$301,Loan_Register!$M$2:$M$301,"") + 7*($B534-1), "")</f>
        <v/>
      </c>
      <c r="D534" s="8">
        <f>IF($A534&lt;&gt;"", XLOOKUP($A534,Loan_Register!$A$2:$A$301,Loan_Register!$N$2:$N$301,""), "")</f>
        <v/>
      </c>
      <c r="E534" s="8" t="n"/>
      <c r="F534">
        <f>IF($A534="","", IF($E534&gt;=$D534,"Paid", IF(TODAY()&gt;$C534,"Overdue","Pending")))</f>
        <v/>
      </c>
      <c r="G534" s="6" t="n"/>
      <c r="I534" s="8">
        <f>IF($A534="","", SUMIFS($D$2:$D$801,$A$2:$A$801,$A534) - SUMIFS($E$2:$E$801,$A$2:$A$801,$A534))</f>
        <v/>
      </c>
      <c r="J534">
        <f>IF($F534="Paid",0, IF($C534="","", MAX(0, TODAY()-$C534)))</f>
        <v/>
      </c>
    </row>
    <row r="535">
      <c r="C535" s="6">
        <f>IF(AND($A535&lt;&gt;"",$B535&lt;&gt;""), XLOOKUP($A535,Loan_Register!$A$2:$A$301,Loan_Register!$M$2:$M$301,"") + 7*($B535-1), "")</f>
        <v/>
      </c>
      <c r="D535" s="8">
        <f>IF($A535&lt;&gt;"", XLOOKUP($A535,Loan_Register!$A$2:$A$301,Loan_Register!$N$2:$N$301,""), "")</f>
        <v/>
      </c>
      <c r="E535" s="8" t="n"/>
      <c r="F535">
        <f>IF($A535="","", IF($E535&gt;=$D535,"Paid", IF(TODAY()&gt;$C535,"Overdue","Pending")))</f>
        <v/>
      </c>
      <c r="G535" s="6" t="n"/>
      <c r="I535" s="8">
        <f>IF($A535="","", SUMIFS($D$2:$D$801,$A$2:$A$801,$A535) - SUMIFS($E$2:$E$801,$A$2:$A$801,$A535))</f>
        <v/>
      </c>
      <c r="J535">
        <f>IF($F535="Paid",0, IF($C535="","", MAX(0, TODAY()-$C535)))</f>
        <v/>
      </c>
    </row>
    <row r="536">
      <c r="C536" s="6">
        <f>IF(AND($A536&lt;&gt;"",$B536&lt;&gt;""), XLOOKUP($A536,Loan_Register!$A$2:$A$301,Loan_Register!$M$2:$M$301,"") + 7*($B536-1), "")</f>
        <v/>
      </c>
      <c r="D536" s="8">
        <f>IF($A536&lt;&gt;"", XLOOKUP($A536,Loan_Register!$A$2:$A$301,Loan_Register!$N$2:$N$301,""), "")</f>
        <v/>
      </c>
      <c r="E536" s="8" t="n"/>
      <c r="F536">
        <f>IF($A536="","", IF($E536&gt;=$D536,"Paid", IF(TODAY()&gt;$C536,"Overdue","Pending")))</f>
        <v/>
      </c>
      <c r="G536" s="6" t="n"/>
      <c r="I536" s="8">
        <f>IF($A536="","", SUMIFS($D$2:$D$801,$A$2:$A$801,$A536) - SUMIFS($E$2:$E$801,$A$2:$A$801,$A536))</f>
        <v/>
      </c>
      <c r="J536">
        <f>IF($F536="Paid",0, IF($C536="","", MAX(0, TODAY()-$C536)))</f>
        <v/>
      </c>
    </row>
    <row r="537">
      <c r="C537" s="6">
        <f>IF(AND($A537&lt;&gt;"",$B537&lt;&gt;""), XLOOKUP($A537,Loan_Register!$A$2:$A$301,Loan_Register!$M$2:$M$301,"") + 7*($B537-1), "")</f>
        <v/>
      </c>
      <c r="D537" s="8">
        <f>IF($A537&lt;&gt;"", XLOOKUP($A537,Loan_Register!$A$2:$A$301,Loan_Register!$N$2:$N$301,""), "")</f>
        <v/>
      </c>
      <c r="E537" s="8" t="n"/>
      <c r="F537">
        <f>IF($A537="","", IF($E537&gt;=$D537,"Paid", IF(TODAY()&gt;$C537,"Overdue","Pending")))</f>
        <v/>
      </c>
      <c r="G537" s="6" t="n"/>
      <c r="I537" s="8">
        <f>IF($A537="","", SUMIFS($D$2:$D$801,$A$2:$A$801,$A537) - SUMIFS($E$2:$E$801,$A$2:$A$801,$A537))</f>
        <v/>
      </c>
      <c r="J537">
        <f>IF($F537="Paid",0, IF($C537="","", MAX(0, TODAY()-$C537)))</f>
        <v/>
      </c>
    </row>
    <row r="538">
      <c r="C538" s="6">
        <f>IF(AND($A538&lt;&gt;"",$B538&lt;&gt;""), XLOOKUP($A538,Loan_Register!$A$2:$A$301,Loan_Register!$M$2:$M$301,"") + 7*($B538-1), "")</f>
        <v/>
      </c>
      <c r="D538" s="8">
        <f>IF($A538&lt;&gt;"", XLOOKUP($A538,Loan_Register!$A$2:$A$301,Loan_Register!$N$2:$N$301,""), "")</f>
        <v/>
      </c>
      <c r="E538" s="8" t="n"/>
      <c r="F538">
        <f>IF($A538="","", IF($E538&gt;=$D538,"Paid", IF(TODAY()&gt;$C538,"Overdue","Pending")))</f>
        <v/>
      </c>
      <c r="G538" s="6" t="n"/>
      <c r="I538" s="8">
        <f>IF($A538="","", SUMIFS($D$2:$D$801,$A$2:$A$801,$A538) - SUMIFS($E$2:$E$801,$A$2:$A$801,$A538))</f>
        <v/>
      </c>
      <c r="J538">
        <f>IF($F538="Paid",0, IF($C538="","", MAX(0, TODAY()-$C538)))</f>
        <v/>
      </c>
    </row>
    <row r="539">
      <c r="C539" s="6">
        <f>IF(AND($A539&lt;&gt;"",$B539&lt;&gt;""), XLOOKUP($A539,Loan_Register!$A$2:$A$301,Loan_Register!$M$2:$M$301,"") + 7*($B539-1), "")</f>
        <v/>
      </c>
      <c r="D539" s="8">
        <f>IF($A539&lt;&gt;"", XLOOKUP($A539,Loan_Register!$A$2:$A$301,Loan_Register!$N$2:$N$301,""), "")</f>
        <v/>
      </c>
      <c r="E539" s="8" t="n"/>
      <c r="F539">
        <f>IF($A539="","", IF($E539&gt;=$D539,"Paid", IF(TODAY()&gt;$C539,"Overdue","Pending")))</f>
        <v/>
      </c>
      <c r="G539" s="6" t="n"/>
      <c r="I539" s="8">
        <f>IF($A539="","", SUMIFS($D$2:$D$801,$A$2:$A$801,$A539) - SUMIFS($E$2:$E$801,$A$2:$A$801,$A539))</f>
        <v/>
      </c>
      <c r="J539">
        <f>IF($F539="Paid",0, IF($C539="","", MAX(0, TODAY()-$C539)))</f>
        <v/>
      </c>
    </row>
    <row r="540">
      <c r="C540" s="6">
        <f>IF(AND($A540&lt;&gt;"",$B540&lt;&gt;""), XLOOKUP($A540,Loan_Register!$A$2:$A$301,Loan_Register!$M$2:$M$301,"") + 7*($B540-1), "")</f>
        <v/>
      </c>
      <c r="D540" s="8">
        <f>IF($A540&lt;&gt;"", XLOOKUP($A540,Loan_Register!$A$2:$A$301,Loan_Register!$N$2:$N$301,""), "")</f>
        <v/>
      </c>
      <c r="E540" s="8" t="n"/>
      <c r="F540">
        <f>IF($A540="","", IF($E540&gt;=$D540,"Paid", IF(TODAY()&gt;$C540,"Overdue","Pending")))</f>
        <v/>
      </c>
      <c r="G540" s="6" t="n"/>
      <c r="I540" s="8">
        <f>IF($A540="","", SUMIFS($D$2:$D$801,$A$2:$A$801,$A540) - SUMIFS($E$2:$E$801,$A$2:$A$801,$A540))</f>
        <v/>
      </c>
      <c r="J540">
        <f>IF($F540="Paid",0, IF($C540="","", MAX(0, TODAY()-$C540)))</f>
        <v/>
      </c>
    </row>
    <row r="541">
      <c r="C541" s="6">
        <f>IF(AND($A541&lt;&gt;"",$B541&lt;&gt;""), XLOOKUP($A541,Loan_Register!$A$2:$A$301,Loan_Register!$M$2:$M$301,"") + 7*($B541-1), "")</f>
        <v/>
      </c>
      <c r="D541" s="8">
        <f>IF($A541&lt;&gt;"", XLOOKUP($A541,Loan_Register!$A$2:$A$301,Loan_Register!$N$2:$N$301,""), "")</f>
        <v/>
      </c>
      <c r="E541" s="8" t="n"/>
      <c r="F541">
        <f>IF($A541="","", IF($E541&gt;=$D541,"Paid", IF(TODAY()&gt;$C541,"Overdue","Pending")))</f>
        <v/>
      </c>
      <c r="G541" s="6" t="n"/>
      <c r="I541" s="8">
        <f>IF($A541="","", SUMIFS($D$2:$D$801,$A$2:$A$801,$A541) - SUMIFS($E$2:$E$801,$A$2:$A$801,$A541))</f>
        <v/>
      </c>
      <c r="J541">
        <f>IF($F541="Paid",0, IF($C541="","", MAX(0, TODAY()-$C541)))</f>
        <v/>
      </c>
    </row>
    <row r="542">
      <c r="C542" s="6">
        <f>IF(AND($A542&lt;&gt;"",$B542&lt;&gt;""), XLOOKUP($A542,Loan_Register!$A$2:$A$301,Loan_Register!$M$2:$M$301,"") + 7*($B542-1), "")</f>
        <v/>
      </c>
      <c r="D542" s="8">
        <f>IF($A542&lt;&gt;"", XLOOKUP($A542,Loan_Register!$A$2:$A$301,Loan_Register!$N$2:$N$301,""), "")</f>
        <v/>
      </c>
      <c r="E542" s="8" t="n"/>
      <c r="F542">
        <f>IF($A542="","", IF($E542&gt;=$D542,"Paid", IF(TODAY()&gt;$C542,"Overdue","Pending")))</f>
        <v/>
      </c>
      <c r="G542" s="6" t="n"/>
      <c r="I542" s="8">
        <f>IF($A542="","", SUMIFS($D$2:$D$801,$A$2:$A$801,$A542) - SUMIFS($E$2:$E$801,$A$2:$A$801,$A542))</f>
        <v/>
      </c>
      <c r="J542">
        <f>IF($F542="Paid",0, IF($C542="","", MAX(0, TODAY()-$C542)))</f>
        <v/>
      </c>
    </row>
    <row r="543">
      <c r="C543" s="6">
        <f>IF(AND($A543&lt;&gt;"",$B543&lt;&gt;""), XLOOKUP($A543,Loan_Register!$A$2:$A$301,Loan_Register!$M$2:$M$301,"") + 7*($B543-1), "")</f>
        <v/>
      </c>
      <c r="D543" s="8">
        <f>IF($A543&lt;&gt;"", XLOOKUP($A543,Loan_Register!$A$2:$A$301,Loan_Register!$N$2:$N$301,""), "")</f>
        <v/>
      </c>
      <c r="E543" s="8" t="n"/>
      <c r="F543">
        <f>IF($A543="","", IF($E543&gt;=$D543,"Paid", IF(TODAY()&gt;$C543,"Overdue","Pending")))</f>
        <v/>
      </c>
      <c r="G543" s="6" t="n"/>
      <c r="I543" s="8">
        <f>IF($A543="","", SUMIFS($D$2:$D$801,$A$2:$A$801,$A543) - SUMIFS($E$2:$E$801,$A$2:$A$801,$A543))</f>
        <v/>
      </c>
      <c r="J543">
        <f>IF($F543="Paid",0, IF($C543="","", MAX(0, TODAY()-$C543)))</f>
        <v/>
      </c>
    </row>
    <row r="544">
      <c r="C544" s="6">
        <f>IF(AND($A544&lt;&gt;"",$B544&lt;&gt;""), XLOOKUP($A544,Loan_Register!$A$2:$A$301,Loan_Register!$M$2:$M$301,"") + 7*($B544-1), "")</f>
        <v/>
      </c>
      <c r="D544" s="8">
        <f>IF($A544&lt;&gt;"", XLOOKUP($A544,Loan_Register!$A$2:$A$301,Loan_Register!$N$2:$N$301,""), "")</f>
        <v/>
      </c>
      <c r="E544" s="8" t="n"/>
      <c r="F544">
        <f>IF($A544="","", IF($E544&gt;=$D544,"Paid", IF(TODAY()&gt;$C544,"Overdue","Pending")))</f>
        <v/>
      </c>
      <c r="G544" s="6" t="n"/>
      <c r="I544" s="8">
        <f>IF($A544="","", SUMIFS($D$2:$D$801,$A$2:$A$801,$A544) - SUMIFS($E$2:$E$801,$A$2:$A$801,$A544))</f>
        <v/>
      </c>
      <c r="J544">
        <f>IF($F544="Paid",0, IF($C544="","", MAX(0, TODAY()-$C544)))</f>
        <v/>
      </c>
    </row>
    <row r="545">
      <c r="C545" s="6">
        <f>IF(AND($A545&lt;&gt;"",$B545&lt;&gt;""), XLOOKUP($A545,Loan_Register!$A$2:$A$301,Loan_Register!$M$2:$M$301,"") + 7*($B545-1), "")</f>
        <v/>
      </c>
      <c r="D545" s="8">
        <f>IF($A545&lt;&gt;"", XLOOKUP($A545,Loan_Register!$A$2:$A$301,Loan_Register!$N$2:$N$301,""), "")</f>
        <v/>
      </c>
      <c r="E545" s="8" t="n"/>
      <c r="F545">
        <f>IF($A545="","", IF($E545&gt;=$D545,"Paid", IF(TODAY()&gt;$C545,"Overdue","Pending")))</f>
        <v/>
      </c>
      <c r="G545" s="6" t="n"/>
      <c r="I545" s="8">
        <f>IF($A545="","", SUMIFS($D$2:$D$801,$A$2:$A$801,$A545) - SUMIFS($E$2:$E$801,$A$2:$A$801,$A545))</f>
        <v/>
      </c>
      <c r="J545">
        <f>IF($F545="Paid",0, IF($C545="","", MAX(0, TODAY()-$C545)))</f>
        <v/>
      </c>
    </row>
    <row r="546">
      <c r="C546" s="6">
        <f>IF(AND($A546&lt;&gt;"",$B546&lt;&gt;""), XLOOKUP($A546,Loan_Register!$A$2:$A$301,Loan_Register!$M$2:$M$301,"") + 7*($B546-1), "")</f>
        <v/>
      </c>
      <c r="D546" s="8">
        <f>IF($A546&lt;&gt;"", XLOOKUP($A546,Loan_Register!$A$2:$A$301,Loan_Register!$N$2:$N$301,""), "")</f>
        <v/>
      </c>
      <c r="E546" s="8" t="n"/>
      <c r="F546">
        <f>IF($A546="","", IF($E546&gt;=$D546,"Paid", IF(TODAY()&gt;$C546,"Overdue","Pending")))</f>
        <v/>
      </c>
      <c r="G546" s="6" t="n"/>
      <c r="I546" s="8">
        <f>IF($A546="","", SUMIFS($D$2:$D$801,$A$2:$A$801,$A546) - SUMIFS($E$2:$E$801,$A$2:$A$801,$A546))</f>
        <v/>
      </c>
      <c r="J546">
        <f>IF($F546="Paid",0, IF($C546="","", MAX(0, TODAY()-$C546)))</f>
        <v/>
      </c>
    </row>
    <row r="547">
      <c r="C547" s="6">
        <f>IF(AND($A547&lt;&gt;"",$B547&lt;&gt;""), XLOOKUP($A547,Loan_Register!$A$2:$A$301,Loan_Register!$M$2:$M$301,"") + 7*($B547-1), "")</f>
        <v/>
      </c>
      <c r="D547" s="8">
        <f>IF($A547&lt;&gt;"", XLOOKUP($A547,Loan_Register!$A$2:$A$301,Loan_Register!$N$2:$N$301,""), "")</f>
        <v/>
      </c>
      <c r="E547" s="8" t="n"/>
      <c r="F547">
        <f>IF($A547="","", IF($E547&gt;=$D547,"Paid", IF(TODAY()&gt;$C547,"Overdue","Pending")))</f>
        <v/>
      </c>
      <c r="G547" s="6" t="n"/>
      <c r="I547" s="8">
        <f>IF($A547="","", SUMIFS($D$2:$D$801,$A$2:$A$801,$A547) - SUMIFS($E$2:$E$801,$A$2:$A$801,$A547))</f>
        <v/>
      </c>
      <c r="J547">
        <f>IF($F547="Paid",0, IF($C547="","", MAX(0, TODAY()-$C547)))</f>
        <v/>
      </c>
    </row>
    <row r="548">
      <c r="C548" s="6">
        <f>IF(AND($A548&lt;&gt;"",$B548&lt;&gt;""), XLOOKUP($A548,Loan_Register!$A$2:$A$301,Loan_Register!$M$2:$M$301,"") + 7*($B548-1), "")</f>
        <v/>
      </c>
      <c r="D548" s="8">
        <f>IF($A548&lt;&gt;"", XLOOKUP($A548,Loan_Register!$A$2:$A$301,Loan_Register!$N$2:$N$301,""), "")</f>
        <v/>
      </c>
      <c r="E548" s="8" t="n"/>
      <c r="F548">
        <f>IF($A548="","", IF($E548&gt;=$D548,"Paid", IF(TODAY()&gt;$C548,"Overdue","Pending")))</f>
        <v/>
      </c>
      <c r="G548" s="6" t="n"/>
      <c r="I548" s="8">
        <f>IF($A548="","", SUMIFS($D$2:$D$801,$A$2:$A$801,$A548) - SUMIFS($E$2:$E$801,$A$2:$A$801,$A548))</f>
        <v/>
      </c>
      <c r="J548">
        <f>IF($F548="Paid",0, IF($C548="","", MAX(0, TODAY()-$C548)))</f>
        <v/>
      </c>
    </row>
    <row r="549">
      <c r="C549" s="6">
        <f>IF(AND($A549&lt;&gt;"",$B549&lt;&gt;""), XLOOKUP($A549,Loan_Register!$A$2:$A$301,Loan_Register!$M$2:$M$301,"") + 7*($B549-1), "")</f>
        <v/>
      </c>
      <c r="D549" s="8">
        <f>IF($A549&lt;&gt;"", XLOOKUP($A549,Loan_Register!$A$2:$A$301,Loan_Register!$N$2:$N$301,""), "")</f>
        <v/>
      </c>
      <c r="E549" s="8" t="n"/>
      <c r="F549">
        <f>IF($A549="","", IF($E549&gt;=$D549,"Paid", IF(TODAY()&gt;$C549,"Overdue","Pending")))</f>
        <v/>
      </c>
      <c r="G549" s="6" t="n"/>
      <c r="I549" s="8">
        <f>IF($A549="","", SUMIFS($D$2:$D$801,$A$2:$A$801,$A549) - SUMIFS($E$2:$E$801,$A$2:$A$801,$A549))</f>
        <v/>
      </c>
      <c r="J549">
        <f>IF($F549="Paid",0, IF($C549="","", MAX(0, TODAY()-$C549)))</f>
        <v/>
      </c>
    </row>
    <row r="550">
      <c r="C550" s="6">
        <f>IF(AND($A550&lt;&gt;"",$B550&lt;&gt;""), XLOOKUP($A550,Loan_Register!$A$2:$A$301,Loan_Register!$M$2:$M$301,"") + 7*($B550-1), "")</f>
        <v/>
      </c>
      <c r="D550" s="8">
        <f>IF($A550&lt;&gt;"", XLOOKUP($A550,Loan_Register!$A$2:$A$301,Loan_Register!$N$2:$N$301,""), "")</f>
        <v/>
      </c>
      <c r="E550" s="8" t="n"/>
      <c r="F550">
        <f>IF($A550="","", IF($E550&gt;=$D550,"Paid", IF(TODAY()&gt;$C550,"Overdue","Pending")))</f>
        <v/>
      </c>
      <c r="G550" s="6" t="n"/>
      <c r="I550" s="8">
        <f>IF($A550="","", SUMIFS($D$2:$D$801,$A$2:$A$801,$A550) - SUMIFS($E$2:$E$801,$A$2:$A$801,$A550))</f>
        <v/>
      </c>
      <c r="J550">
        <f>IF($F550="Paid",0, IF($C550="","", MAX(0, TODAY()-$C550)))</f>
        <v/>
      </c>
    </row>
    <row r="551">
      <c r="C551" s="6">
        <f>IF(AND($A551&lt;&gt;"",$B551&lt;&gt;""), XLOOKUP($A551,Loan_Register!$A$2:$A$301,Loan_Register!$M$2:$M$301,"") + 7*($B551-1), "")</f>
        <v/>
      </c>
      <c r="D551" s="8">
        <f>IF($A551&lt;&gt;"", XLOOKUP($A551,Loan_Register!$A$2:$A$301,Loan_Register!$N$2:$N$301,""), "")</f>
        <v/>
      </c>
      <c r="E551" s="8" t="n"/>
      <c r="F551">
        <f>IF($A551="","", IF($E551&gt;=$D551,"Paid", IF(TODAY()&gt;$C551,"Overdue","Pending")))</f>
        <v/>
      </c>
      <c r="G551" s="6" t="n"/>
      <c r="I551" s="8">
        <f>IF($A551="","", SUMIFS($D$2:$D$801,$A$2:$A$801,$A551) - SUMIFS($E$2:$E$801,$A$2:$A$801,$A551))</f>
        <v/>
      </c>
      <c r="J551">
        <f>IF($F551="Paid",0, IF($C551="","", MAX(0, TODAY()-$C551)))</f>
        <v/>
      </c>
    </row>
    <row r="552">
      <c r="C552" s="6">
        <f>IF(AND($A552&lt;&gt;"",$B552&lt;&gt;""), XLOOKUP($A552,Loan_Register!$A$2:$A$301,Loan_Register!$M$2:$M$301,"") + 7*($B552-1), "")</f>
        <v/>
      </c>
      <c r="D552" s="8">
        <f>IF($A552&lt;&gt;"", XLOOKUP($A552,Loan_Register!$A$2:$A$301,Loan_Register!$N$2:$N$301,""), "")</f>
        <v/>
      </c>
      <c r="E552" s="8" t="n"/>
      <c r="F552">
        <f>IF($A552="","", IF($E552&gt;=$D552,"Paid", IF(TODAY()&gt;$C552,"Overdue","Pending")))</f>
        <v/>
      </c>
      <c r="G552" s="6" t="n"/>
      <c r="I552" s="8">
        <f>IF($A552="","", SUMIFS($D$2:$D$801,$A$2:$A$801,$A552) - SUMIFS($E$2:$E$801,$A$2:$A$801,$A552))</f>
        <v/>
      </c>
      <c r="J552">
        <f>IF($F552="Paid",0, IF($C552="","", MAX(0, TODAY()-$C552)))</f>
        <v/>
      </c>
    </row>
    <row r="553">
      <c r="C553" s="6">
        <f>IF(AND($A553&lt;&gt;"",$B553&lt;&gt;""), XLOOKUP($A553,Loan_Register!$A$2:$A$301,Loan_Register!$M$2:$M$301,"") + 7*($B553-1), "")</f>
        <v/>
      </c>
      <c r="D553" s="8">
        <f>IF($A553&lt;&gt;"", XLOOKUP($A553,Loan_Register!$A$2:$A$301,Loan_Register!$N$2:$N$301,""), "")</f>
        <v/>
      </c>
      <c r="E553" s="8" t="n"/>
      <c r="F553">
        <f>IF($A553="","", IF($E553&gt;=$D553,"Paid", IF(TODAY()&gt;$C553,"Overdue","Pending")))</f>
        <v/>
      </c>
      <c r="G553" s="6" t="n"/>
      <c r="I553" s="8">
        <f>IF($A553="","", SUMIFS($D$2:$D$801,$A$2:$A$801,$A553) - SUMIFS($E$2:$E$801,$A$2:$A$801,$A553))</f>
        <v/>
      </c>
      <c r="J553">
        <f>IF($F553="Paid",0, IF($C553="","", MAX(0, TODAY()-$C553)))</f>
        <v/>
      </c>
    </row>
    <row r="554">
      <c r="C554" s="6">
        <f>IF(AND($A554&lt;&gt;"",$B554&lt;&gt;""), XLOOKUP($A554,Loan_Register!$A$2:$A$301,Loan_Register!$M$2:$M$301,"") + 7*($B554-1), "")</f>
        <v/>
      </c>
      <c r="D554" s="8">
        <f>IF($A554&lt;&gt;"", XLOOKUP($A554,Loan_Register!$A$2:$A$301,Loan_Register!$N$2:$N$301,""), "")</f>
        <v/>
      </c>
      <c r="E554" s="8" t="n"/>
      <c r="F554">
        <f>IF($A554="","", IF($E554&gt;=$D554,"Paid", IF(TODAY()&gt;$C554,"Overdue","Pending")))</f>
        <v/>
      </c>
      <c r="G554" s="6" t="n"/>
      <c r="I554" s="8">
        <f>IF($A554="","", SUMIFS($D$2:$D$801,$A$2:$A$801,$A554) - SUMIFS($E$2:$E$801,$A$2:$A$801,$A554))</f>
        <v/>
      </c>
      <c r="J554">
        <f>IF($F554="Paid",0, IF($C554="","", MAX(0, TODAY()-$C554)))</f>
        <v/>
      </c>
    </row>
    <row r="555">
      <c r="C555" s="6">
        <f>IF(AND($A555&lt;&gt;"",$B555&lt;&gt;""), XLOOKUP($A555,Loan_Register!$A$2:$A$301,Loan_Register!$M$2:$M$301,"") + 7*($B555-1), "")</f>
        <v/>
      </c>
      <c r="D555" s="8">
        <f>IF($A555&lt;&gt;"", XLOOKUP($A555,Loan_Register!$A$2:$A$301,Loan_Register!$N$2:$N$301,""), "")</f>
        <v/>
      </c>
      <c r="E555" s="8" t="n"/>
      <c r="F555">
        <f>IF($A555="","", IF($E555&gt;=$D555,"Paid", IF(TODAY()&gt;$C555,"Overdue","Pending")))</f>
        <v/>
      </c>
      <c r="G555" s="6" t="n"/>
      <c r="I555" s="8">
        <f>IF($A555="","", SUMIFS($D$2:$D$801,$A$2:$A$801,$A555) - SUMIFS($E$2:$E$801,$A$2:$A$801,$A555))</f>
        <v/>
      </c>
      <c r="J555">
        <f>IF($F555="Paid",0, IF($C555="","", MAX(0, TODAY()-$C555)))</f>
        <v/>
      </c>
    </row>
    <row r="556">
      <c r="C556" s="6">
        <f>IF(AND($A556&lt;&gt;"",$B556&lt;&gt;""), XLOOKUP($A556,Loan_Register!$A$2:$A$301,Loan_Register!$M$2:$M$301,"") + 7*($B556-1), "")</f>
        <v/>
      </c>
      <c r="D556" s="8">
        <f>IF($A556&lt;&gt;"", XLOOKUP($A556,Loan_Register!$A$2:$A$301,Loan_Register!$N$2:$N$301,""), "")</f>
        <v/>
      </c>
      <c r="E556" s="8" t="n"/>
      <c r="F556">
        <f>IF($A556="","", IF($E556&gt;=$D556,"Paid", IF(TODAY()&gt;$C556,"Overdue","Pending")))</f>
        <v/>
      </c>
      <c r="G556" s="6" t="n"/>
      <c r="I556" s="8">
        <f>IF($A556="","", SUMIFS($D$2:$D$801,$A$2:$A$801,$A556) - SUMIFS($E$2:$E$801,$A$2:$A$801,$A556))</f>
        <v/>
      </c>
      <c r="J556">
        <f>IF($F556="Paid",0, IF($C556="","", MAX(0, TODAY()-$C556)))</f>
        <v/>
      </c>
    </row>
    <row r="557">
      <c r="C557" s="6">
        <f>IF(AND($A557&lt;&gt;"",$B557&lt;&gt;""), XLOOKUP($A557,Loan_Register!$A$2:$A$301,Loan_Register!$M$2:$M$301,"") + 7*($B557-1), "")</f>
        <v/>
      </c>
      <c r="D557" s="8">
        <f>IF($A557&lt;&gt;"", XLOOKUP($A557,Loan_Register!$A$2:$A$301,Loan_Register!$N$2:$N$301,""), "")</f>
        <v/>
      </c>
      <c r="E557" s="8" t="n"/>
      <c r="F557">
        <f>IF($A557="","", IF($E557&gt;=$D557,"Paid", IF(TODAY()&gt;$C557,"Overdue","Pending")))</f>
        <v/>
      </c>
      <c r="G557" s="6" t="n"/>
      <c r="I557" s="8">
        <f>IF($A557="","", SUMIFS($D$2:$D$801,$A$2:$A$801,$A557) - SUMIFS($E$2:$E$801,$A$2:$A$801,$A557))</f>
        <v/>
      </c>
      <c r="J557">
        <f>IF($F557="Paid",0, IF($C557="","", MAX(0, TODAY()-$C557)))</f>
        <v/>
      </c>
    </row>
    <row r="558">
      <c r="C558" s="6">
        <f>IF(AND($A558&lt;&gt;"",$B558&lt;&gt;""), XLOOKUP($A558,Loan_Register!$A$2:$A$301,Loan_Register!$M$2:$M$301,"") + 7*($B558-1), "")</f>
        <v/>
      </c>
      <c r="D558" s="8">
        <f>IF($A558&lt;&gt;"", XLOOKUP($A558,Loan_Register!$A$2:$A$301,Loan_Register!$N$2:$N$301,""), "")</f>
        <v/>
      </c>
      <c r="E558" s="8" t="n"/>
      <c r="F558">
        <f>IF($A558="","", IF($E558&gt;=$D558,"Paid", IF(TODAY()&gt;$C558,"Overdue","Pending")))</f>
        <v/>
      </c>
      <c r="G558" s="6" t="n"/>
      <c r="I558" s="8">
        <f>IF($A558="","", SUMIFS($D$2:$D$801,$A$2:$A$801,$A558) - SUMIFS($E$2:$E$801,$A$2:$A$801,$A558))</f>
        <v/>
      </c>
      <c r="J558">
        <f>IF($F558="Paid",0, IF($C558="","", MAX(0, TODAY()-$C558)))</f>
        <v/>
      </c>
    </row>
    <row r="559">
      <c r="C559" s="6">
        <f>IF(AND($A559&lt;&gt;"",$B559&lt;&gt;""), XLOOKUP($A559,Loan_Register!$A$2:$A$301,Loan_Register!$M$2:$M$301,"") + 7*($B559-1), "")</f>
        <v/>
      </c>
      <c r="D559" s="8">
        <f>IF($A559&lt;&gt;"", XLOOKUP($A559,Loan_Register!$A$2:$A$301,Loan_Register!$N$2:$N$301,""), "")</f>
        <v/>
      </c>
      <c r="E559" s="8" t="n"/>
      <c r="F559">
        <f>IF($A559="","", IF($E559&gt;=$D559,"Paid", IF(TODAY()&gt;$C559,"Overdue","Pending")))</f>
        <v/>
      </c>
      <c r="G559" s="6" t="n"/>
      <c r="I559" s="8">
        <f>IF($A559="","", SUMIFS($D$2:$D$801,$A$2:$A$801,$A559) - SUMIFS($E$2:$E$801,$A$2:$A$801,$A559))</f>
        <v/>
      </c>
      <c r="J559">
        <f>IF($F559="Paid",0, IF($C559="","", MAX(0, TODAY()-$C559)))</f>
        <v/>
      </c>
    </row>
    <row r="560">
      <c r="C560" s="6">
        <f>IF(AND($A560&lt;&gt;"",$B560&lt;&gt;""), XLOOKUP($A560,Loan_Register!$A$2:$A$301,Loan_Register!$M$2:$M$301,"") + 7*($B560-1), "")</f>
        <v/>
      </c>
      <c r="D560" s="8">
        <f>IF($A560&lt;&gt;"", XLOOKUP($A560,Loan_Register!$A$2:$A$301,Loan_Register!$N$2:$N$301,""), "")</f>
        <v/>
      </c>
      <c r="E560" s="8" t="n"/>
      <c r="F560">
        <f>IF($A560="","", IF($E560&gt;=$D560,"Paid", IF(TODAY()&gt;$C560,"Overdue","Pending")))</f>
        <v/>
      </c>
      <c r="G560" s="6" t="n"/>
      <c r="I560" s="8">
        <f>IF($A560="","", SUMIFS($D$2:$D$801,$A$2:$A$801,$A560) - SUMIFS($E$2:$E$801,$A$2:$A$801,$A560))</f>
        <v/>
      </c>
      <c r="J560">
        <f>IF($F560="Paid",0, IF($C560="","", MAX(0, TODAY()-$C560)))</f>
        <v/>
      </c>
    </row>
    <row r="561">
      <c r="C561" s="6">
        <f>IF(AND($A561&lt;&gt;"",$B561&lt;&gt;""), XLOOKUP($A561,Loan_Register!$A$2:$A$301,Loan_Register!$M$2:$M$301,"") + 7*($B561-1), "")</f>
        <v/>
      </c>
      <c r="D561" s="8">
        <f>IF($A561&lt;&gt;"", XLOOKUP($A561,Loan_Register!$A$2:$A$301,Loan_Register!$N$2:$N$301,""), "")</f>
        <v/>
      </c>
      <c r="E561" s="8" t="n"/>
      <c r="F561">
        <f>IF($A561="","", IF($E561&gt;=$D561,"Paid", IF(TODAY()&gt;$C561,"Overdue","Pending")))</f>
        <v/>
      </c>
      <c r="G561" s="6" t="n"/>
      <c r="I561" s="8">
        <f>IF($A561="","", SUMIFS($D$2:$D$801,$A$2:$A$801,$A561) - SUMIFS($E$2:$E$801,$A$2:$A$801,$A561))</f>
        <v/>
      </c>
      <c r="J561">
        <f>IF($F561="Paid",0, IF($C561="","", MAX(0, TODAY()-$C561)))</f>
        <v/>
      </c>
    </row>
    <row r="562">
      <c r="C562" s="6">
        <f>IF(AND($A562&lt;&gt;"",$B562&lt;&gt;""), XLOOKUP($A562,Loan_Register!$A$2:$A$301,Loan_Register!$M$2:$M$301,"") + 7*($B562-1), "")</f>
        <v/>
      </c>
      <c r="D562" s="8">
        <f>IF($A562&lt;&gt;"", XLOOKUP($A562,Loan_Register!$A$2:$A$301,Loan_Register!$N$2:$N$301,""), "")</f>
        <v/>
      </c>
      <c r="E562" s="8" t="n"/>
      <c r="F562">
        <f>IF($A562="","", IF($E562&gt;=$D562,"Paid", IF(TODAY()&gt;$C562,"Overdue","Pending")))</f>
        <v/>
      </c>
      <c r="G562" s="6" t="n"/>
      <c r="I562" s="8">
        <f>IF($A562="","", SUMIFS($D$2:$D$801,$A$2:$A$801,$A562) - SUMIFS($E$2:$E$801,$A$2:$A$801,$A562))</f>
        <v/>
      </c>
      <c r="J562">
        <f>IF($F562="Paid",0, IF($C562="","", MAX(0, TODAY()-$C562)))</f>
        <v/>
      </c>
    </row>
    <row r="563">
      <c r="C563" s="6">
        <f>IF(AND($A563&lt;&gt;"",$B563&lt;&gt;""), XLOOKUP($A563,Loan_Register!$A$2:$A$301,Loan_Register!$M$2:$M$301,"") + 7*($B563-1), "")</f>
        <v/>
      </c>
      <c r="D563" s="8">
        <f>IF($A563&lt;&gt;"", XLOOKUP($A563,Loan_Register!$A$2:$A$301,Loan_Register!$N$2:$N$301,""), "")</f>
        <v/>
      </c>
      <c r="E563" s="8" t="n"/>
      <c r="F563">
        <f>IF($A563="","", IF($E563&gt;=$D563,"Paid", IF(TODAY()&gt;$C563,"Overdue","Pending")))</f>
        <v/>
      </c>
      <c r="G563" s="6" t="n"/>
      <c r="I563" s="8">
        <f>IF($A563="","", SUMIFS($D$2:$D$801,$A$2:$A$801,$A563) - SUMIFS($E$2:$E$801,$A$2:$A$801,$A563))</f>
        <v/>
      </c>
      <c r="J563">
        <f>IF($F563="Paid",0, IF($C563="","", MAX(0, TODAY()-$C563)))</f>
        <v/>
      </c>
    </row>
    <row r="564">
      <c r="C564" s="6">
        <f>IF(AND($A564&lt;&gt;"",$B564&lt;&gt;""), XLOOKUP($A564,Loan_Register!$A$2:$A$301,Loan_Register!$M$2:$M$301,"") + 7*($B564-1), "")</f>
        <v/>
      </c>
      <c r="D564" s="8">
        <f>IF($A564&lt;&gt;"", XLOOKUP($A564,Loan_Register!$A$2:$A$301,Loan_Register!$N$2:$N$301,""), "")</f>
        <v/>
      </c>
      <c r="E564" s="8" t="n"/>
      <c r="F564">
        <f>IF($A564="","", IF($E564&gt;=$D564,"Paid", IF(TODAY()&gt;$C564,"Overdue","Pending")))</f>
        <v/>
      </c>
      <c r="G564" s="6" t="n"/>
      <c r="I564" s="8">
        <f>IF($A564="","", SUMIFS($D$2:$D$801,$A$2:$A$801,$A564) - SUMIFS($E$2:$E$801,$A$2:$A$801,$A564))</f>
        <v/>
      </c>
      <c r="J564">
        <f>IF($F564="Paid",0, IF($C564="","", MAX(0, TODAY()-$C564)))</f>
        <v/>
      </c>
    </row>
    <row r="565">
      <c r="C565" s="6">
        <f>IF(AND($A565&lt;&gt;"",$B565&lt;&gt;""), XLOOKUP($A565,Loan_Register!$A$2:$A$301,Loan_Register!$M$2:$M$301,"") + 7*($B565-1), "")</f>
        <v/>
      </c>
      <c r="D565" s="8">
        <f>IF($A565&lt;&gt;"", XLOOKUP($A565,Loan_Register!$A$2:$A$301,Loan_Register!$N$2:$N$301,""), "")</f>
        <v/>
      </c>
      <c r="E565" s="8" t="n"/>
      <c r="F565">
        <f>IF($A565="","", IF($E565&gt;=$D565,"Paid", IF(TODAY()&gt;$C565,"Overdue","Pending")))</f>
        <v/>
      </c>
      <c r="G565" s="6" t="n"/>
      <c r="I565" s="8">
        <f>IF($A565="","", SUMIFS($D$2:$D$801,$A$2:$A$801,$A565) - SUMIFS($E$2:$E$801,$A$2:$A$801,$A565))</f>
        <v/>
      </c>
      <c r="J565">
        <f>IF($F565="Paid",0, IF($C565="","", MAX(0, TODAY()-$C565)))</f>
        <v/>
      </c>
    </row>
    <row r="566">
      <c r="C566" s="6">
        <f>IF(AND($A566&lt;&gt;"",$B566&lt;&gt;""), XLOOKUP($A566,Loan_Register!$A$2:$A$301,Loan_Register!$M$2:$M$301,"") + 7*($B566-1), "")</f>
        <v/>
      </c>
      <c r="D566" s="8">
        <f>IF($A566&lt;&gt;"", XLOOKUP($A566,Loan_Register!$A$2:$A$301,Loan_Register!$N$2:$N$301,""), "")</f>
        <v/>
      </c>
      <c r="E566" s="8" t="n"/>
      <c r="F566">
        <f>IF($A566="","", IF($E566&gt;=$D566,"Paid", IF(TODAY()&gt;$C566,"Overdue","Pending")))</f>
        <v/>
      </c>
      <c r="G566" s="6" t="n"/>
      <c r="I566" s="8">
        <f>IF($A566="","", SUMIFS($D$2:$D$801,$A$2:$A$801,$A566) - SUMIFS($E$2:$E$801,$A$2:$A$801,$A566))</f>
        <v/>
      </c>
      <c r="J566">
        <f>IF($F566="Paid",0, IF($C566="","", MAX(0, TODAY()-$C566)))</f>
        <v/>
      </c>
    </row>
    <row r="567">
      <c r="C567" s="6">
        <f>IF(AND($A567&lt;&gt;"",$B567&lt;&gt;""), XLOOKUP($A567,Loan_Register!$A$2:$A$301,Loan_Register!$M$2:$M$301,"") + 7*($B567-1), "")</f>
        <v/>
      </c>
      <c r="D567" s="8">
        <f>IF($A567&lt;&gt;"", XLOOKUP($A567,Loan_Register!$A$2:$A$301,Loan_Register!$N$2:$N$301,""), "")</f>
        <v/>
      </c>
      <c r="E567" s="8" t="n"/>
      <c r="F567">
        <f>IF($A567="","", IF($E567&gt;=$D567,"Paid", IF(TODAY()&gt;$C567,"Overdue","Pending")))</f>
        <v/>
      </c>
      <c r="G567" s="6" t="n"/>
      <c r="I567" s="8">
        <f>IF($A567="","", SUMIFS($D$2:$D$801,$A$2:$A$801,$A567) - SUMIFS($E$2:$E$801,$A$2:$A$801,$A567))</f>
        <v/>
      </c>
      <c r="J567">
        <f>IF($F567="Paid",0, IF($C567="","", MAX(0, TODAY()-$C567)))</f>
        <v/>
      </c>
    </row>
    <row r="568">
      <c r="C568" s="6">
        <f>IF(AND($A568&lt;&gt;"",$B568&lt;&gt;""), XLOOKUP($A568,Loan_Register!$A$2:$A$301,Loan_Register!$M$2:$M$301,"") + 7*($B568-1), "")</f>
        <v/>
      </c>
      <c r="D568" s="8">
        <f>IF($A568&lt;&gt;"", XLOOKUP($A568,Loan_Register!$A$2:$A$301,Loan_Register!$N$2:$N$301,""), "")</f>
        <v/>
      </c>
      <c r="E568" s="8" t="n"/>
      <c r="F568">
        <f>IF($A568="","", IF($E568&gt;=$D568,"Paid", IF(TODAY()&gt;$C568,"Overdue","Pending")))</f>
        <v/>
      </c>
      <c r="G568" s="6" t="n"/>
      <c r="I568" s="8">
        <f>IF($A568="","", SUMIFS($D$2:$D$801,$A$2:$A$801,$A568) - SUMIFS($E$2:$E$801,$A$2:$A$801,$A568))</f>
        <v/>
      </c>
      <c r="J568">
        <f>IF($F568="Paid",0, IF($C568="","", MAX(0, TODAY()-$C568)))</f>
        <v/>
      </c>
    </row>
    <row r="569">
      <c r="C569" s="6">
        <f>IF(AND($A569&lt;&gt;"",$B569&lt;&gt;""), XLOOKUP($A569,Loan_Register!$A$2:$A$301,Loan_Register!$M$2:$M$301,"") + 7*($B569-1), "")</f>
        <v/>
      </c>
      <c r="D569" s="8">
        <f>IF($A569&lt;&gt;"", XLOOKUP($A569,Loan_Register!$A$2:$A$301,Loan_Register!$N$2:$N$301,""), "")</f>
        <v/>
      </c>
      <c r="E569" s="8" t="n"/>
      <c r="F569">
        <f>IF($A569="","", IF($E569&gt;=$D569,"Paid", IF(TODAY()&gt;$C569,"Overdue","Pending")))</f>
        <v/>
      </c>
      <c r="G569" s="6" t="n"/>
      <c r="I569" s="8">
        <f>IF($A569="","", SUMIFS($D$2:$D$801,$A$2:$A$801,$A569) - SUMIFS($E$2:$E$801,$A$2:$A$801,$A569))</f>
        <v/>
      </c>
      <c r="J569">
        <f>IF($F569="Paid",0, IF($C569="","", MAX(0, TODAY()-$C569)))</f>
        <v/>
      </c>
    </row>
    <row r="570">
      <c r="C570" s="6">
        <f>IF(AND($A570&lt;&gt;"",$B570&lt;&gt;""), XLOOKUP($A570,Loan_Register!$A$2:$A$301,Loan_Register!$M$2:$M$301,"") + 7*($B570-1), "")</f>
        <v/>
      </c>
      <c r="D570" s="8">
        <f>IF($A570&lt;&gt;"", XLOOKUP($A570,Loan_Register!$A$2:$A$301,Loan_Register!$N$2:$N$301,""), "")</f>
        <v/>
      </c>
      <c r="E570" s="8" t="n"/>
      <c r="F570">
        <f>IF($A570="","", IF($E570&gt;=$D570,"Paid", IF(TODAY()&gt;$C570,"Overdue","Pending")))</f>
        <v/>
      </c>
      <c r="G570" s="6" t="n"/>
      <c r="I570" s="8">
        <f>IF($A570="","", SUMIFS($D$2:$D$801,$A$2:$A$801,$A570) - SUMIFS($E$2:$E$801,$A$2:$A$801,$A570))</f>
        <v/>
      </c>
      <c r="J570">
        <f>IF($F570="Paid",0, IF($C570="","", MAX(0, TODAY()-$C570)))</f>
        <v/>
      </c>
    </row>
    <row r="571">
      <c r="C571" s="6">
        <f>IF(AND($A571&lt;&gt;"",$B571&lt;&gt;""), XLOOKUP($A571,Loan_Register!$A$2:$A$301,Loan_Register!$M$2:$M$301,"") + 7*($B571-1), "")</f>
        <v/>
      </c>
      <c r="D571" s="8">
        <f>IF($A571&lt;&gt;"", XLOOKUP($A571,Loan_Register!$A$2:$A$301,Loan_Register!$N$2:$N$301,""), "")</f>
        <v/>
      </c>
      <c r="E571" s="8" t="n"/>
      <c r="F571">
        <f>IF($A571="","", IF($E571&gt;=$D571,"Paid", IF(TODAY()&gt;$C571,"Overdue","Pending")))</f>
        <v/>
      </c>
      <c r="G571" s="6" t="n"/>
      <c r="I571" s="8">
        <f>IF($A571="","", SUMIFS($D$2:$D$801,$A$2:$A$801,$A571) - SUMIFS($E$2:$E$801,$A$2:$A$801,$A571))</f>
        <v/>
      </c>
      <c r="J571">
        <f>IF($F571="Paid",0, IF($C571="","", MAX(0, TODAY()-$C571)))</f>
        <v/>
      </c>
    </row>
    <row r="572">
      <c r="C572" s="6">
        <f>IF(AND($A572&lt;&gt;"",$B572&lt;&gt;""), XLOOKUP($A572,Loan_Register!$A$2:$A$301,Loan_Register!$M$2:$M$301,"") + 7*($B572-1), "")</f>
        <v/>
      </c>
      <c r="D572" s="8">
        <f>IF($A572&lt;&gt;"", XLOOKUP($A572,Loan_Register!$A$2:$A$301,Loan_Register!$N$2:$N$301,""), "")</f>
        <v/>
      </c>
      <c r="E572" s="8" t="n"/>
      <c r="F572">
        <f>IF($A572="","", IF($E572&gt;=$D572,"Paid", IF(TODAY()&gt;$C572,"Overdue","Pending")))</f>
        <v/>
      </c>
      <c r="G572" s="6" t="n"/>
      <c r="I572" s="8">
        <f>IF($A572="","", SUMIFS($D$2:$D$801,$A$2:$A$801,$A572) - SUMIFS($E$2:$E$801,$A$2:$A$801,$A572))</f>
        <v/>
      </c>
      <c r="J572">
        <f>IF($F572="Paid",0, IF($C572="","", MAX(0, TODAY()-$C572)))</f>
        <v/>
      </c>
    </row>
    <row r="573">
      <c r="C573" s="6">
        <f>IF(AND($A573&lt;&gt;"",$B573&lt;&gt;""), XLOOKUP($A573,Loan_Register!$A$2:$A$301,Loan_Register!$M$2:$M$301,"") + 7*($B573-1), "")</f>
        <v/>
      </c>
      <c r="D573" s="8">
        <f>IF($A573&lt;&gt;"", XLOOKUP($A573,Loan_Register!$A$2:$A$301,Loan_Register!$N$2:$N$301,""), "")</f>
        <v/>
      </c>
      <c r="E573" s="8" t="n"/>
      <c r="F573">
        <f>IF($A573="","", IF($E573&gt;=$D573,"Paid", IF(TODAY()&gt;$C573,"Overdue","Pending")))</f>
        <v/>
      </c>
      <c r="G573" s="6" t="n"/>
      <c r="I573" s="8">
        <f>IF($A573="","", SUMIFS($D$2:$D$801,$A$2:$A$801,$A573) - SUMIFS($E$2:$E$801,$A$2:$A$801,$A573))</f>
        <v/>
      </c>
      <c r="J573">
        <f>IF($F573="Paid",0, IF($C573="","", MAX(0, TODAY()-$C573)))</f>
        <v/>
      </c>
    </row>
    <row r="574">
      <c r="C574" s="6">
        <f>IF(AND($A574&lt;&gt;"",$B574&lt;&gt;""), XLOOKUP($A574,Loan_Register!$A$2:$A$301,Loan_Register!$M$2:$M$301,"") + 7*($B574-1), "")</f>
        <v/>
      </c>
      <c r="D574" s="8">
        <f>IF($A574&lt;&gt;"", XLOOKUP($A574,Loan_Register!$A$2:$A$301,Loan_Register!$N$2:$N$301,""), "")</f>
        <v/>
      </c>
      <c r="E574" s="8" t="n"/>
      <c r="F574">
        <f>IF($A574="","", IF($E574&gt;=$D574,"Paid", IF(TODAY()&gt;$C574,"Overdue","Pending")))</f>
        <v/>
      </c>
      <c r="G574" s="6" t="n"/>
      <c r="I574" s="8">
        <f>IF($A574="","", SUMIFS($D$2:$D$801,$A$2:$A$801,$A574) - SUMIFS($E$2:$E$801,$A$2:$A$801,$A574))</f>
        <v/>
      </c>
      <c r="J574">
        <f>IF($F574="Paid",0, IF($C574="","", MAX(0, TODAY()-$C574)))</f>
        <v/>
      </c>
    </row>
    <row r="575">
      <c r="C575" s="6">
        <f>IF(AND($A575&lt;&gt;"",$B575&lt;&gt;""), XLOOKUP($A575,Loan_Register!$A$2:$A$301,Loan_Register!$M$2:$M$301,"") + 7*($B575-1), "")</f>
        <v/>
      </c>
      <c r="D575" s="8">
        <f>IF($A575&lt;&gt;"", XLOOKUP($A575,Loan_Register!$A$2:$A$301,Loan_Register!$N$2:$N$301,""), "")</f>
        <v/>
      </c>
      <c r="E575" s="8" t="n"/>
      <c r="F575">
        <f>IF($A575="","", IF($E575&gt;=$D575,"Paid", IF(TODAY()&gt;$C575,"Overdue","Pending")))</f>
        <v/>
      </c>
      <c r="G575" s="6" t="n"/>
      <c r="I575" s="8">
        <f>IF($A575="","", SUMIFS($D$2:$D$801,$A$2:$A$801,$A575) - SUMIFS($E$2:$E$801,$A$2:$A$801,$A575))</f>
        <v/>
      </c>
      <c r="J575">
        <f>IF($F575="Paid",0, IF($C575="","", MAX(0, TODAY()-$C575)))</f>
        <v/>
      </c>
    </row>
    <row r="576">
      <c r="C576" s="6">
        <f>IF(AND($A576&lt;&gt;"",$B576&lt;&gt;""), XLOOKUP($A576,Loan_Register!$A$2:$A$301,Loan_Register!$M$2:$M$301,"") + 7*($B576-1), "")</f>
        <v/>
      </c>
      <c r="D576" s="8">
        <f>IF($A576&lt;&gt;"", XLOOKUP($A576,Loan_Register!$A$2:$A$301,Loan_Register!$N$2:$N$301,""), "")</f>
        <v/>
      </c>
      <c r="E576" s="8" t="n"/>
      <c r="F576">
        <f>IF($A576="","", IF($E576&gt;=$D576,"Paid", IF(TODAY()&gt;$C576,"Overdue","Pending")))</f>
        <v/>
      </c>
      <c r="G576" s="6" t="n"/>
      <c r="I576" s="8">
        <f>IF($A576="","", SUMIFS($D$2:$D$801,$A$2:$A$801,$A576) - SUMIFS($E$2:$E$801,$A$2:$A$801,$A576))</f>
        <v/>
      </c>
      <c r="J576">
        <f>IF($F576="Paid",0, IF($C576="","", MAX(0, TODAY()-$C576)))</f>
        <v/>
      </c>
    </row>
    <row r="577">
      <c r="C577" s="6">
        <f>IF(AND($A577&lt;&gt;"",$B577&lt;&gt;""), XLOOKUP($A577,Loan_Register!$A$2:$A$301,Loan_Register!$M$2:$M$301,"") + 7*($B577-1), "")</f>
        <v/>
      </c>
      <c r="D577" s="8">
        <f>IF($A577&lt;&gt;"", XLOOKUP($A577,Loan_Register!$A$2:$A$301,Loan_Register!$N$2:$N$301,""), "")</f>
        <v/>
      </c>
      <c r="E577" s="8" t="n"/>
      <c r="F577">
        <f>IF($A577="","", IF($E577&gt;=$D577,"Paid", IF(TODAY()&gt;$C577,"Overdue","Pending")))</f>
        <v/>
      </c>
      <c r="G577" s="6" t="n"/>
      <c r="I577" s="8">
        <f>IF($A577="","", SUMIFS($D$2:$D$801,$A$2:$A$801,$A577) - SUMIFS($E$2:$E$801,$A$2:$A$801,$A577))</f>
        <v/>
      </c>
      <c r="J577">
        <f>IF($F577="Paid",0, IF($C577="","", MAX(0, TODAY()-$C577)))</f>
        <v/>
      </c>
    </row>
    <row r="578">
      <c r="C578" s="6">
        <f>IF(AND($A578&lt;&gt;"",$B578&lt;&gt;""), XLOOKUP($A578,Loan_Register!$A$2:$A$301,Loan_Register!$M$2:$M$301,"") + 7*($B578-1), "")</f>
        <v/>
      </c>
      <c r="D578" s="8">
        <f>IF($A578&lt;&gt;"", XLOOKUP($A578,Loan_Register!$A$2:$A$301,Loan_Register!$N$2:$N$301,""), "")</f>
        <v/>
      </c>
      <c r="E578" s="8" t="n"/>
      <c r="F578">
        <f>IF($A578="","", IF($E578&gt;=$D578,"Paid", IF(TODAY()&gt;$C578,"Overdue","Pending")))</f>
        <v/>
      </c>
      <c r="G578" s="6" t="n"/>
      <c r="I578" s="8">
        <f>IF($A578="","", SUMIFS($D$2:$D$801,$A$2:$A$801,$A578) - SUMIFS($E$2:$E$801,$A$2:$A$801,$A578))</f>
        <v/>
      </c>
      <c r="J578">
        <f>IF($F578="Paid",0, IF($C578="","", MAX(0, TODAY()-$C578)))</f>
        <v/>
      </c>
    </row>
    <row r="579">
      <c r="C579" s="6">
        <f>IF(AND($A579&lt;&gt;"",$B579&lt;&gt;""), XLOOKUP($A579,Loan_Register!$A$2:$A$301,Loan_Register!$M$2:$M$301,"") + 7*($B579-1), "")</f>
        <v/>
      </c>
      <c r="D579" s="8">
        <f>IF($A579&lt;&gt;"", XLOOKUP($A579,Loan_Register!$A$2:$A$301,Loan_Register!$N$2:$N$301,""), "")</f>
        <v/>
      </c>
      <c r="E579" s="8" t="n"/>
      <c r="F579">
        <f>IF($A579="","", IF($E579&gt;=$D579,"Paid", IF(TODAY()&gt;$C579,"Overdue","Pending")))</f>
        <v/>
      </c>
      <c r="G579" s="6" t="n"/>
      <c r="I579" s="8">
        <f>IF($A579="","", SUMIFS($D$2:$D$801,$A$2:$A$801,$A579) - SUMIFS($E$2:$E$801,$A$2:$A$801,$A579))</f>
        <v/>
      </c>
      <c r="J579">
        <f>IF($F579="Paid",0, IF($C579="","", MAX(0, TODAY()-$C579)))</f>
        <v/>
      </c>
    </row>
    <row r="580">
      <c r="C580" s="6">
        <f>IF(AND($A580&lt;&gt;"",$B580&lt;&gt;""), XLOOKUP($A580,Loan_Register!$A$2:$A$301,Loan_Register!$M$2:$M$301,"") + 7*($B580-1), "")</f>
        <v/>
      </c>
      <c r="D580" s="8">
        <f>IF($A580&lt;&gt;"", XLOOKUP($A580,Loan_Register!$A$2:$A$301,Loan_Register!$N$2:$N$301,""), "")</f>
        <v/>
      </c>
      <c r="E580" s="8" t="n"/>
      <c r="F580">
        <f>IF($A580="","", IF($E580&gt;=$D580,"Paid", IF(TODAY()&gt;$C580,"Overdue","Pending")))</f>
        <v/>
      </c>
      <c r="G580" s="6" t="n"/>
      <c r="I580" s="8">
        <f>IF($A580="","", SUMIFS($D$2:$D$801,$A$2:$A$801,$A580) - SUMIFS($E$2:$E$801,$A$2:$A$801,$A580))</f>
        <v/>
      </c>
      <c r="J580">
        <f>IF($F580="Paid",0, IF($C580="","", MAX(0, TODAY()-$C580)))</f>
        <v/>
      </c>
    </row>
    <row r="581">
      <c r="C581" s="6">
        <f>IF(AND($A581&lt;&gt;"",$B581&lt;&gt;""), XLOOKUP($A581,Loan_Register!$A$2:$A$301,Loan_Register!$M$2:$M$301,"") + 7*($B581-1), "")</f>
        <v/>
      </c>
      <c r="D581" s="8">
        <f>IF($A581&lt;&gt;"", XLOOKUP($A581,Loan_Register!$A$2:$A$301,Loan_Register!$N$2:$N$301,""), "")</f>
        <v/>
      </c>
      <c r="E581" s="8" t="n"/>
      <c r="F581">
        <f>IF($A581="","", IF($E581&gt;=$D581,"Paid", IF(TODAY()&gt;$C581,"Overdue","Pending")))</f>
        <v/>
      </c>
      <c r="G581" s="6" t="n"/>
      <c r="I581" s="8">
        <f>IF($A581="","", SUMIFS($D$2:$D$801,$A$2:$A$801,$A581) - SUMIFS($E$2:$E$801,$A$2:$A$801,$A581))</f>
        <v/>
      </c>
      <c r="J581">
        <f>IF($F581="Paid",0, IF($C581="","", MAX(0, TODAY()-$C581)))</f>
        <v/>
      </c>
    </row>
    <row r="582">
      <c r="C582" s="6">
        <f>IF(AND($A582&lt;&gt;"",$B582&lt;&gt;""), XLOOKUP($A582,Loan_Register!$A$2:$A$301,Loan_Register!$M$2:$M$301,"") + 7*($B582-1), "")</f>
        <v/>
      </c>
      <c r="D582" s="8">
        <f>IF($A582&lt;&gt;"", XLOOKUP($A582,Loan_Register!$A$2:$A$301,Loan_Register!$N$2:$N$301,""), "")</f>
        <v/>
      </c>
      <c r="E582" s="8" t="n"/>
      <c r="F582">
        <f>IF($A582="","", IF($E582&gt;=$D582,"Paid", IF(TODAY()&gt;$C582,"Overdue","Pending")))</f>
        <v/>
      </c>
      <c r="G582" s="6" t="n"/>
      <c r="I582" s="8">
        <f>IF($A582="","", SUMIFS($D$2:$D$801,$A$2:$A$801,$A582) - SUMIFS($E$2:$E$801,$A$2:$A$801,$A582))</f>
        <v/>
      </c>
      <c r="J582">
        <f>IF($F582="Paid",0, IF($C582="","", MAX(0, TODAY()-$C582)))</f>
        <v/>
      </c>
    </row>
    <row r="583">
      <c r="C583" s="6">
        <f>IF(AND($A583&lt;&gt;"",$B583&lt;&gt;""), XLOOKUP($A583,Loan_Register!$A$2:$A$301,Loan_Register!$M$2:$M$301,"") + 7*($B583-1), "")</f>
        <v/>
      </c>
      <c r="D583" s="8">
        <f>IF($A583&lt;&gt;"", XLOOKUP($A583,Loan_Register!$A$2:$A$301,Loan_Register!$N$2:$N$301,""), "")</f>
        <v/>
      </c>
      <c r="E583" s="8" t="n"/>
      <c r="F583">
        <f>IF($A583="","", IF($E583&gt;=$D583,"Paid", IF(TODAY()&gt;$C583,"Overdue","Pending")))</f>
        <v/>
      </c>
      <c r="G583" s="6" t="n"/>
      <c r="I583" s="8">
        <f>IF($A583="","", SUMIFS($D$2:$D$801,$A$2:$A$801,$A583) - SUMIFS($E$2:$E$801,$A$2:$A$801,$A583))</f>
        <v/>
      </c>
      <c r="J583">
        <f>IF($F583="Paid",0, IF($C583="","", MAX(0, TODAY()-$C583)))</f>
        <v/>
      </c>
    </row>
    <row r="584">
      <c r="C584" s="6">
        <f>IF(AND($A584&lt;&gt;"",$B584&lt;&gt;""), XLOOKUP($A584,Loan_Register!$A$2:$A$301,Loan_Register!$M$2:$M$301,"") + 7*($B584-1), "")</f>
        <v/>
      </c>
      <c r="D584" s="8">
        <f>IF($A584&lt;&gt;"", XLOOKUP($A584,Loan_Register!$A$2:$A$301,Loan_Register!$N$2:$N$301,""), "")</f>
        <v/>
      </c>
      <c r="E584" s="8" t="n"/>
      <c r="F584">
        <f>IF($A584="","", IF($E584&gt;=$D584,"Paid", IF(TODAY()&gt;$C584,"Overdue","Pending")))</f>
        <v/>
      </c>
      <c r="G584" s="6" t="n"/>
      <c r="I584" s="8">
        <f>IF($A584="","", SUMIFS($D$2:$D$801,$A$2:$A$801,$A584) - SUMIFS($E$2:$E$801,$A$2:$A$801,$A584))</f>
        <v/>
      </c>
      <c r="J584">
        <f>IF($F584="Paid",0, IF($C584="","", MAX(0, TODAY()-$C584)))</f>
        <v/>
      </c>
    </row>
    <row r="585">
      <c r="C585" s="6">
        <f>IF(AND($A585&lt;&gt;"",$B585&lt;&gt;""), XLOOKUP($A585,Loan_Register!$A$2:$A$301,Loan_Register!$M$2:$M$301,"") + 7*($B585-1), "")</f>
        <v/>
      </c>
      <c r="D585" s="8">
        <f>IF($A585&lt;&gt;"", XLOOKUP($A585,Loan_Register!$A$2:$A$301,Loan_Register!$N$2:$N$301,""), "")</f>
        <v/>
      </c>
      <c r="E585" s="8" t="n"/>
      <c r="F585">
        <f>IF($A585="","", IF($E585&gt;=$D585,"Paid", IF(TODAY()&gt;$C585,"Overdue","Pending")))</f>
        <v/>
      </c>
      <c r="G585" s="6" t="n"/>
      <c r="I585" s="8">
        <f>IF($A585="","", SUMIFS($D$2:$D$801,$A$2:$A$801,$A585) - SUMIFS($E$2:$E$801,$A$2:$A$801,$A585))</f>
        <v/>
      </c>
      <c r="J585">
        <f>IF($F585="Paid",0, IF($C585="","", MAX(0, TODAY()-$C585)))</f>
        <v/>
      </c>
    </row>
    <row r="586">
      <c r="C586" s="6">
        <f>IF(AND($A586&lt;&gt;"",$B586&lt;&gt;""), XLOOKUP($A586,Loan_Register!$A$2:$A$301,Loan_Register!$M$2:$M$301,"") + 7*($B586-1), "")</f>
        <v/>
      </c>
      <c r="D586" s="8">
        <f>IF($A586&lt;&gt;"", XLOOKUP($A586,Loan_Register!$A$2:$A$301,Loan_Register!$N$2:$N$301,""), "")</f>
        <v/>
      </c>
      <c r="E586" s="8" t="n"/>
      <c r="F586">
        <f>IF($A586="","", IF($E586&gt;=$D586,"Paid", IF(TODAY()&gt;$C586,"Overdue","Pending")))</f>
        <v/>
      </c>
      <c r="G586" s="6" t="n"/>
      <c r="I586" s="8">
        <f>IF($A586="","", SUMIFS($D$2:$D$801,$A$2:$A$801,$A586) - SUMIFS($E$2:$E$801,$A$2:$A$801,$A586))</f>
        <v/>
      </c>
      <c r="J586">
        <f>IF($F586="Paid",0, IF($C586="","", MAX(0, TODAY()-$C586)))</f>
        <v/>
      </c>
    </row>
    <row r="587">
      <c r="C587" s="6">
        <f>IF(AND($A587&lt;&gt;"",$B587&lt;&gt;""), XLOOKUP($A587,Loan_Register!$A$2:$A$301,Loan_Register!$M$2:$M$301,"") + 7*($B587-1), "")</f>
        <v/>
      </c>
      <c r="D587" s="8">
        <f>IF($A587&lt;&gt;"", XLOOKUP($A587,Loan_Register!$A$2:$A$301,Loan_Register!$N$2:$N$301,""), "")</f>
        <v/>
      </c>
      <c r="E587" s="8" t="n"/>
      <c r="F587">
        <f>IF($A587="","", IF($E587&gt;=$D587,"Paid", IF(TODAY()&gt;$C587,"Overdue","Pending")))</f>
        <v/>
      </c>
      <c r="G587" s="6" t="n"/>
      <c r="I587" s="8">
        <f>IF($A587="","", SUMIFS($D$2:$D$801,$A$2:$A$801,$A587) - SUMIFS($E$2:$E$801,$A$2:$A$801,$A587))</f>
        <v/>
      </c>
      <c r="J587">
        <f>IF($F587="Paid",0, IF($C587="","", MAX(0, TODAY()-$C587)))</f>
        <v/>
      </c>
    </row>
    <row r="588">
      <c r="C588" s="6">
        <f>IF(AND($A588&lt;&gt;"",$B588&lt;&gt;""), XLOOKUP($A588,Loan_Register!$A$2:$A$301,Loan_Register!$M$2:$M$301,"") + 7*($B588-1), "")</f>
        <v/>
      </c>
      <c r="D588" s="8">
        <f>IF($A588&lt;&gt;"", XLOOKUP($A588,Loan_Register!$A$2:$A$301,Loan_Register!$N$2:$N$301,""), "")</f>
        <v/>
      </c>
      <c r="E588" s="8" t="n"/>
      <c r="F588">
        <f>IF($A588="","", IF($E588&gt;=$D588,"Paid", IF(TODAY()&gt;$C588,"Overdue","Pending")))</f>
        <v/>
      </c>
      <c r="G588" s="6" t="n"/>
      <c r="I588" s="8">
        <f>IF($A588="","", SUMIFS($D$2:$D$801,$A$2:$A$801,$A588) - SUMIFS($E$2:$E$801,$A$2:$A$801,$A588))</f>
        <v/>
      </c>
      <c r="J588">
        <f>IF($F588="Paid",0, IF($C588="","", MAX(0, TODAY()-$C588)))</f>
        <v/>
      </c>
    </row>
    <row r="589">
      <c r="C589" s="6">
        <f>IF(AND($A589&lt;&gt;"",$B589&lt;&gt;""), XLOOKUP($A589,Loan_Register!$A$2:$A$301,Loan_Register!$M$2:$M$301,"") + 7*($B589-1), "")</f>
        <v/>
      </c>
      <c r="D589" s="8">
        <f>IF($A589&lt;&gt;"", XLOOKUP($A589,Loan_Register!$A$2:$A$301,Loan_Register!$N$2:$N$301,""), "")</f>
        <v/>
      </c>
      <c r="E589" s="8" t="n"/>
      <c r="F589">
        <f>IF($A589="","", IF($E589&gt;=$D589,"Paid", IF(TODAY()&gt;$C589,"Overdue","Pending")))</f>
        <v/>
      </c>
      <c r="G589" s="6" t="n"/>
      <c r="I589" s="8">
        <f>IF($A589="","", SUMIFS($D$2:$D$801,$A$2:$A$801,$A589) - SUMIFS($E$2:$E$801,$A$2:$A$801,$A589))</f>
        <v/>
      </c>
      <c r="J589">
        <f>IF($F589="Paid",0, IF($C589="","", MAX(0, TODAY()-$C589)))</f>
        <v/>
      </c>
    </row>
    <row r="590">
      <c r="C590" s="6">
        <f>IF(AND($A590&lt;&gt;"",$B590&lt;&gt;""), XLOOKUP($A590,Loan_Register!$A$2:$A$301,Loan_Register!$M$2:$M$301,"") + 7*($B590-1), "")</f>
        <v/>
      </c>
      <c r="D590" s="8">
        <f>IF($A590&lt;&gt;"", XLOOKUP($A590,Loan_Register!$A$2:$A$301,Loan_Register!$N$2:$N$301,""), "")</f>
        <v/>
      </c>
      <c r="E590" s="8" t="n"/>
      <c r="F590">
        <f>IF($A590="","", IF($E590&gt;=$D590,"Paid", IF(TODAY()&gt;$C590,"Overdue","Pending")))</f>
        <v/>
      </c>
      <c r="G590" s="6" t="n"/>
      <c r="I590" s="8">
        <f>IF($A590="","", SUMIFS($D$2:$D$801,$A$2:$A$801,$A590) - SUMIFS($E$2:$E$801,$A$2:$A$801,$A590))</f>
        <v/>
      </c>
      <c r="J590">
        <f>IF($F590="Paid",0, IF($C590="","", MAX(0, TODAY()-$C590)))</f>
        <v/>
      </c>
    </row>
    <row r="591">
      <c r="C591" s="6">
        <f>IF(AND($A591&lt;&gt;"",$B591&lt;&gt;""), XLOOKUP($A591,Loan_Register!$A$2:$A$301,Loan_Register!$M$2:$M$301,"") + 7*($B591-1), "")</f>
        <v/>
      </c>
      <c r="D591" s="8">
        <f>IF($A591&lt;&gt;"", XLOOKUP($A591,Loan_Register!$A$2:$A$301,Loan_Register!$N$2:$N$301,""), "")</f>
        <v/>
      </c>
      <c r="E591" s="8" t="n"/>
      <c r="F591">
        <f>IF($A591="","", IF($E591&gt;=$D591,"Paid", IF(TODAY()&gt;$C591,"Overdue","Pending")))</f>
        <v/>
      </c>
      <c r="G591" s="6" t="n"/>
      <c r="I591" s="8">
        <f>IF($A591="","", SUMIFS($D$2:$D$801,$A$2:$A$801,$A591) - SUMIFS($E$2:$E$801,$A$2:$A$801,$A591))</f>
        <v/>
      </c>
      <c r="J591">
        <f>IF($F591="Paid",0, IF($C591="","", MAX(0, TODAY()-$C591)))</f>
        <v/>
      </c>
    </row>
    <row r="592">
      <c r="C592" s="6">
        <f>IF(AND($A592&lt;&gt;"",$B592&lt;&gt;""), XLOOKUP($A592,Loan_Register!$A$2:$A$301,Loan_Register!$M$2:$M$301,"") + 7*($B592-1), "")</f>
        <v/>
      </c>
      <c r="D592" s="8">
        <f>IF($A592&lt;&gt;"", XLOOKUP($A592,Loan_Register!$A$2:$A$301,Loan_Register!$N$2:$N$301,""), "")</f>
        <v/>
      </c>
      <c r="E592" s="8" t="n"/>
      <c r="F592">
        <f>IF($A592="","", IF($E592&gt;=$D592,"Paid", IF(TODAY()&gt;$C592,"Overdue","Pending")))</f>
        <v/>
      </c>
      <c r="G592" s="6" t="n"/>
      <c r="I592" s="8">
        <f>IF($A592="","", SUMIFS($D$2:$D$801,$A$2:$A$801,$A592) - SUMIFS($E$2:$E$801,$A$2:$A$801,$A592))</f>
        <v/>
      </c>
      <c r="J592">
        <f>IF($F592="Paid",0, IF($C592="","", MAX(0, TODAY()-$C592)))</f>
        <v/>
      </c>
    </row>
    <row r="593">
      <c r="C593" s="6">
        <f>IF(AND($A593&lt;&gt;"",$B593&lt;&gt;""), XLOOKUP($A593,Loan_Register!$A$2:$A$301,Loan_Register!$M$2:$M$301,"") + 7*($B593-1), "")</f>
        <v/>
      </c>
      <c r="D593" s="8">
        <f>IF($A593&lt;&gt;"", XLOOKUP($A593,Loan_Register!$A$2:$A$301,Loan_Register!$N$2:$N$301,""), "")</f>
        <v/>
      </c>
      <c r="E593" s="8" t="n"/>
      <c r="F593">
        <f>IF($A593="","", IF($E593&gt;=$D593,"Paid", IF(TODAY()&gt;$C593,"Overdue","Pending")))</f>
        <v/>
      </c>
      <c r="G593" s="6" t="n"/>
      <c r="I593" s="8">
        <f>IF($A593="","", SUMIFS($D$2:$D$801,$A$2:$A$801,$A593) - SUMIFS($E$2:$E$801,$A$2:$A$801,$A593))</f>
        <v/>
      </c>
      <c r="J593">
        <f>IF($F593="Paid",0, IF($C593="","", MAX(0, TODAY()-$C593)))</f>
        <v/>
      </c>
    </row>
    <row r="594">
      <c r="C594" s="6">
        <f>IF(AND($A594&lt;&gt;"",$B594&lt;&gt;""), XLOOKUP($A594,Loan_Register!$A$2:$A$301,Loan_Register!$M$2:$M$301,"") + 7*($B594-1), "")</f>
        <v/>
      </c>
      <c r="D594" s="8">
        <f>IF($A594&lt;&gt;"", XLOOKUP($A594,Loan_Register!$A$2:$A$301,Loan_Register!$N$2:$N$301,""), "")</f>
        <v/>
      </c>
      <c r="E594" s="8" t="n"/>
      <c r="F594">
        <f>IF($A594="","", IF($E594&gt;=$D594,"Paid", IF(TODAY()&gt;$C594,"Overdue","Pending")))</f>
        <v/>
      </c>
      <c r="G594" s="6" t="n"/>
      <c r="I594" s="8">
        <f>IF($A594="","", SUMIFS($D$2:$D$801,$A$2:$A$801,$A594) - SUMIFS($E$2:$E$801,$A$2:$A$801,$A594))</f>
        <v/>
      </c>
      <c r="J594">
        <f>IF($F594="Paid",0, IF($C594="","", MAX(0, TODAY()-$C594)))</f>
        <v/>
      </c>
    </row>
    <row r="595">
      <c r="C595" s="6">
        <f>IF(AND($A595&lt;&gt;"",$B595&lt;&gt;""), XLOOKUP($A595,Loan_Register!$A$2:$A$301,Loan_Register!$M$2:$M$301,"") + 7*($B595-1), "")</f>
        <v/>
      </c>
      <c r="D595" s="8">
        <f>IF($A595&lt;&gt;"", XLOOKUP($A595,Loan_Register!$A$2:$A$301,Loan_Register!$N$2:$N$301,""), "")</f>
        <v/>
      </c>
      <c r="E595" s="8" t="n"/>
      <c r="F595">
        <f>IF($A595="","", IF($E595&gt;=$D595,"Paid", IF(TODAY()&gt;$C595,"Overdue","Pending")))</f>
        <v/>
      </c>
      <c r="G595" s="6" t="n"/>
      <c r="I595" s="8">
        <f>IF($A595="","", SUMIFS($D$2:$D$801,$A$2:$A$801,$A595) - SUMIFS($E$2:$E$801,$A$2:$A$801,$A595))</f>
        <v/>
      </c>
      <c r="J595">
        <f>IF($F595="Paid",0, IF($C595="","", MAX(0, TODAY()-$C595)))</f>
        <v/>
      </c>
    </row>
    <row r="596">
      <c r="C596" s="6">
        <f>IF(AND($A596&lt;&gt;"",$B596&lt;&gt;""), XLOOKUP($A596,Loan_Register!$A$2:$A$301,Loan_Register!$M$2:$M$301,"") + 7*($B596-1), "")</f>
        <v/>
      </c>
      <c r="D596" s="8">
        <f>IF($A596&lt;&gt;"", XLOOKUP($A596,Loan_Register!$A$2:$A$301,Loan_Register!$N$2:$N$301,""), "")</f>
        <v/>
      </c>
      <c r="E596" s="8" t="n"/>
      <c r="F596">
        <f>IF($A596="","", IF($E596&gt;=$D596,"Paid", IF(TODAY()&gt;$C596,"Overdue","Pending")))</f>
        <v/>
      </c>
      <c r="G596" s="6" t="n"/>
      <c r="I596" s="8">
        <f>IF($A596="","", SUMIFS($D$2:$D$801,$A$2:$A$801,$A596) - SUMIFS($E$2:$E$801,$A$2:$A$801,$A596))</f>
        <v/>
      </c>
      <c r="J596">
        <f>IF($F596="Paid",0, IF($C596="","", MAX(0, TODAY()-$C596)))</f>
        <v/>
      </c>
    </row>
    <row r="597">
      <c r="C597" s="6">
        <f>IF(AND($A597&lt;&gt;"",$B597&lt;&gt;""), XLOOKUP($A597,Loan_Register!$A$2:$A$301,Loan_Register!$M$2:$M$301,"") + 7*($B597-1), "")</f>
        <v/>
      </c>
      <c r="D597" s="8">
        <f>IF($A597&lt;&gt;"", XLOOKUP($A597,Loan_Register!$A$2:$A$301,Loan_Register!$N$2:$N$301,""), "")</f>
        <v/>
      </c>
      <c r="E597" s="8" t="n"/>
      <c r="F597">
        <f>IF($A597="","", IF($E597&gt;=$D597,"Paid", IF(TODAY()&gt;$C597,"Overdue","Pending")))</f>
        <v/>
      </c>
      <c r="G597" s="6" t="n"/>
      <c r="I597" s="8">
        <f>IF($A597="","", SUMIFS($D$2:$D$801,$A$2:$A$801,$A597) - SUMIFS($E$2:$E$801,$A$2:$A$801,$A597))</f>
        <v/>
      </c>
      <c r="J597">
        <f>IF($F597="Paid",0, IF($C597="","", MAX(0, TODAY()-$C597)))</f>
        <v/>
      </c>
    </row>
    <row r="598">
      <c r="C598" s="6">
        <f>IF(AND($A598&lt;&gt;"",$B598&lt;&gt;""), XLOOKUP($A598,Loan_Register!$A$2:$A$301,Loan_Register!$M$2:$M$301,"") + 7*($B598-1), "")</f>
        <v/>
      </c>
      <c r="D598" s="8">
        <f>IF($A598&lt;&gt;"", XLOOKUP($A598,Loan_Register!$A$2:$A$301,Loan_Register!$N$2:$N$301,""), "")</f>
        <v/>
      </c>
      <c r="E598" s="8" t="n"/>
      <c r="F598">
        <f>IF($A598="","", IF($E598&gt;=$D598,"Paid", IF(TODAY()&gt;$C598,"Overdue","Pending")))</f>
        <v/>
      </c>
      <c r="G598" s="6" t="n"/>
      <c r="I598" s="8">
        <f>IF($A598="","", SUMIFS($D$2:$D$801,$A$2:$A$801,$A598) - SUMIFS($E$2:$E$801,$A$2:$A$801,$A598))</f>
        <v/>
      </c>
      <c r="J598">
        <f>IF($F598="Paid",0, IF($C598="","", MAX(0, TODAY()-$C598)))</f>
        <v/>
      </c>
    </row>
    <row r="599">
      <c r="C599" s="6">
        <f>IF(AND($A599&lt;&gt;"",$B599&lt;&gt;""), XLOOKUP($A599,Loan_Register!$A$2:$A$301,Loan_Register!$M$2:$M$301,"") + 7*($B599-1), "")</f>
        <v/>
      </c>
      <c r="D599" s="8">
        <f>IF($A599&lt;&gt;"", XLOOKUP($A599,Loan_Register!$A$2:$A$301,Loan_Register!$N$2:$N$301,""), "")</f>
        <v/>
      </c>
      <c r="E599" s="8" t="n"/>
      <c r="F599">
        <f>IF($A599="","", IF($E599&gt;=$D599,"Paid", IF(TODAY()&gt;$C599,"Overdue","Pending")))</f>
        <v/>
      </c>
      <c r="G599" s="6" t="n"/>
      <c r="I599" s="8">
        <f>IF($A599="","", SUMIFS($D$2:$D$801,$A$2:$A$801,$A599) - SUMIFS($E$2:$E$801,$A$2:$A$801,$A599))</f>
        <v/>
      </c>
      <c r="J599">
        <f>IF($F599="Paid",0, IF($C599="","", MAX(0, TODAY()-$C599)))</f>
        <v/>
      </c>
    </row>
    <row r="600">
      <c r="C600" s="6">
        <f>IF(AND($A600&lt;&gt;"",$B600&lt;&gt;""), XLOOKUP($A600,Loan_Register!$A$2:$A$301,Loan_Register!$M$2:$M$301,"") + 7*($B600-1), "")</f>
        <v/>
      </c>
      <c r="D600" s="8">
        <f>IF($A600&lt;&gt;"", XLOOKUP($A600,Loan_Register!$A$2:$A$301,Loan_Register!$N$2:$N$301,""), "")</f>
        <v/>
      </c>
      <c r="E600" s="8" t="n"/>
      <c r="F600">
        <f>IF($A600="","", IF($E600&gt;=$D600,"Paid", IF(TODAY()&gt;$C600,"Overdue","Pending")))</f>
        <v/>
      </c>
      <c r="G600" s="6" t="n"/>
      <c r="I600" s="8">
        <f>IF($A600="","", SUMIFS($D$2:$D$801,$A$2:$A$801,$A600) - SUMIFS($E$2:$E$801,$A$2:$A$801,$A600))</f>
        <v/>
      </c>
      <c r="J600">
        <f>IF($F600="Paid",0, IF($C600="","", MAX(0, TODAY()-$C600)))</f>
        <v/>
      </c>
    </row>
    <row r="601">
      <c r="C601" s="6">
        <f>IF(AND($A601&lt;&gt;"",$B601&lt;&gt;""), XLOOKUP($A601,Loan_Register!$A$2:$A$301,Loan_Register!$M$2:$M$301,"") + 7*($B601-1), "")</f>
        <v/>
      </c>
      <c r="D601" s="8">
        <f>IF($A601&lt;&gt;"", XLOOKUP($A601,Loan_Register!$A$2:$A$301,Loan_Register!$N$2:$N$301,""), "")</f>
        <v/>
      </c>
      <c r="E601" s="8" t="n"/>
      <c r="F601">
        <f>IF($A601="","", IF($E601&gt;=$D601,"Paid", IF(TODAY()&gt;$C601,"Overdue","Pending")))</f>
        <v/>
      </c>
      <c r="G601" s="6" t="n"/>
      <c r="I601" s="8">
        <f>IF($A601="","", SUMIFS($D$2:$D$801,$A$2:$A$801,$A601) - SUMIFS($E$2:$E$801,$A$2:$A$801,$A601))</f>
        <v/>
      </c>
      <c r="J601">
        <f>IF($F601="Paid",0, IF($C601="","", MAX(0, TODAY()-$C601)))</f>
        <v/>
      </c>
    </row>
    <row r="602">
      <c r="C602" s="6">
        <f>IF(AND($A602&lt;&gt;"",$B602&lt;&gt;""), XLOOKUP($A602,Loan_Register!$A$2:$A$301,Loan_Register!$M$2:$M$301,"") + 7*($B602-1), "")</f>
        <v/>
      </c>
      <c r="D602" s="8">
        <f>IF($A602&lt;&gt;"", XLOOKUP($A602,Loan_Register!$A$2:$A$301,Loan_Register!$N$2:$N$301,""), "")</f>
        <v/>
      </c>
      <c r="E602" s="8" t="n"/>
      <c r="F602">
        <f>IF($A602="","", IF($E602&gt;=$D602,"Paid", IF(TODAY()&gt;$C602,"Overdue","Pending")))</f>
        <v/>
      </c>
      <c r="G602" s="6" t="n"/>
      <c r="I602" s="8">
        <f>IF($A602="","", SUMIFS($D$2:$D$801,$A$2:$A$801,$A602) - SUMIFS($E$2:$E$801,$A$2:$A$801,$A602))</f>
        <v/>
      </c>
      <c r="J602">
        <f>IF($F602="Paid",0, IF($C602="","", MAX(0, TODAY()-$C602)))</f>
        <v/>
      </c>
    </row>
    <row r="603">
      <c r="C603" s="6">
        <f>IF(AND($A603&lt;&gt;"",$B603&lt;&gt;""), XLOOKUP($A603,Loan_Register!$A$2:$A$301,Loan_Register!$M$2:$M$301,"") + 7*($B603-1), "")</f>
        <v/>
      </c>
      <c r="D603" s="8">
        <f>IF($A603&lt;&gt;"", XLOOKUP($A603,Loan_Register!$A$2:$A$301,Loan_Register!$N$2:$N$301,""), "")</f>
        <v/>
      </c>
      <c r="E603" s="8" t="n"/>
      <c r="F603">
        <f>IF($A603="","", IF($E603&gt;=$D603,"Paid", IF(TODAY()&gt;$C603,"Overdue","Pending")))</f>
        <v/>
      </c>
      <c r="G603" s="6" t="n"/>
      <c r="I603" s="8">
        <f>IF($A603="","", SUMIFS($D$2:$D$801,$A$2:$A$801,$A603) - SUMIFS($E$2:$E$801,$A$2:$A$801,$A603))</f>
        <v/>
      </c>
      <c r="J603">
        <f>IF($F603="Paid",0, IF($C603="","", MAX(0, TODAY()-$C603)))</f>
        <v/>
      </c>
    </row>
    <row r="604">
      <c r="C604" s="6">
        <f>IF(AND($A604&lt;&gt;"",$B604&lt;&gt;""), XLOOKUP($A604,Loan_Register!$A$2:$A$301,Loan_Register!$M$2:$M$301,"") + 7*($B604-1), "")</f>
        <v/>
      </c>
      <c r="D604" s="8">
        <f>IF($A604&lt;&gt;"", XLOOKUP($A604,Loan_Register!$A$2:$A$301,Loan_Register!$N$2:$N$301,""), "")</f>
        <v/>
      </c>
      <c r="E604" s="8" t="n"/>
      <c r="F604">
        <f>IF($A604="","", IF($E604&gt;=$D604,"Paid", IF(TODAY()&gt;$C604,"Overdue","Pending")))</f>
        <v/>
      </c>
      <c r="G604" s="6" t="n"/>
      <c r="I604" s="8">
        <f>IF($A604="","", SUMIFS($D$2:$D$801,$A$2:$A$801,$A604) - SUMIFS($E$2:$E$801,$A$2:$A$801,$A604))</f>
        <v/>
      </c>
      <c r="J604">
        <f>IF($F604="Paid",0, IF($C604="","", MAX(0, TODAY()-$C604)))</f>
        <v/>
      </c>
    </row>
    <row r="605">
      <c r="C605" s="6">
        <f>IF(AND($A605&lt;&gt;"",$B605&lt;&gt;""), XLOOKUP($A605,Loan_Register!$A$2:$A$301,Loan_Register!$M$2:$M$301,"") + 7*($B605-1), "")</f>
        <v/>
      </c>
      <c r="D605" s="8">
        <f>IF($A605&lt;&gt;"", XLOOKUP($A605,Loan_Register!$A$2:$A$301,Loan_Register!$N$2:$N$301,""), "")</f>
        <v/>
      </c>
      <c r="E605" s="8" t="n"/>
      <c r="F605">
        <f>IF($A605="","", IF($E605&gt;=$D605,"Paid", IF(TODAY()&gt;$C605,"Overdue","Pending")))</f>
        <v/>
      </c>
      <c r="G605" s="6" t="n"/>
      <c r="I605" s="8">
        <f>IF($A605="","", SUMIFS($D$2:$D$801,$A$2:$A$801,$A605) - SUMIFS($E$2:$E$801,$A$2:$A$801,$A605))</f>
        <v/>
      </c>
      <c r="J605">
        <f>IF($F605="Paid",0, IF($C605="","", MAX(0, TODAY()-$C605)))</f>
        <v/>
      </c>
    </row>
    <row r="606">
      <c r="C606" s="6">
        <f>IF(AND($A606&lt;&gt;"",$B606&lt;&gt;""), XLOOKUP($A606,Loan_Register!$A$2:$A$301,Loan_Register!$M$2:$M$301,"") + 7*($B606-1), "")</f>
        <v/>
      </c>
      <c r="D606" s="8">
        <f>IF($A606&lt;&gt;"", XLOOKUP($A606,Loan_Register!$A$2:$A$301,Loan_Register!$N$2:$N$301,""), "")</f>
        <v/>
      </c>
      <c r="E606" s="8" t="n"/>
      <c r="F606">
        <f>IF($A606="","", IF($E606&gt;=$D606,"Paid", IF(TODAY()&gt;$C606,"Overdue","Pending")))</f>
        <v/>
      </c>
      <c r="G606" s="6" t="n"/>
      <c r="I606" s="8">
        <f>IF($A606="","", SUMIFS($D$2:$D$801,$A$2:$A$801,$A606) - SUMIFS($E$2:$E$801,$A$2:$A$801,$A606))</f>
        <v/>
      </c>
      <c r="J606">
        <f>IF($F606="Paid",0, IF($C606="","", MAX(0, TODAY()-$C606)))</f>
        <v/>
      </c>
    </row>
    <row r="607">
      <c r="C607" s="6">
        <f>IF(AND($A607&lt;&gt;"",$B607&lt;&gt;""), XLOOKUP($A607,Loan_Register!$A$2:$A$301,Loan_Register!$M$2:$M$301,"") + 7*($B607-1), "")</f>
        <v/>
      </c>
      <c r="D607" s="8">
        <f>IF($A607&lt;&gt;"", XLOOKUP($A607,Loan_Register!$A$2:$A$301,Loan_Register!$N$2:$N$301,""), "")</f>
        <v/>
      </c>
      <c r="E607" s="8" t="n"/>
      <c r="F607">
        <f>IF($A607="","", IF($E607&gt;=$D607,"Paid", IF(TODAY()&gt;$C607,"Overdue","Pending")))</f>
        <v/>
      </c>
      <c r="G607" s="6" t="n"/>
      <c r="I607" s="8">
        <f>IF($A607="","", SUMIFS($D$2:$D$801,$A$2:$A$801,$A607) - SUMIFS($E$2:$E$801,$A$2:$A$801,$A607))</f>
        <v/>
      </c>
      <c r="J607">
        <f>IF($F607="Paid",0, IF($C607="","", MAX(0, TODAY()-$C607)))</f>
        <v/>
      </c>
    </row>
    <row r="608">
      <c r="C608" s="6">
        <f>IF(AND($A608&lt;&gt;"",$B608&lt;&gt;""), XLOOKUP($A608,Loan_Register!$A$2:$A$301,Loan_Register!$M$2:$M$301,"") + 7*($B608-1), "")</f>
        <v/>
      </c>
      <c r="D608" s="8">
        <f>IF($A608&lt;&gt;"", XLOOKUP($A608,Loan_Register!$A$2:$A$301,Loan_Register!$N$2:$N$301,""), "")</f>
        <v/>
      </c>
      <c r="E608" s="8" t="n"/>
      <c r="F608">
        <f>IF($A608="","", IF($E608&gt;=$D608,"Paid", IF(TODAY()&gt;$C608,"Overdue","Pending")))</f>
        <v/>
      </c>
      <c r="G608" s="6" t="n"/>
      <c r="I608" s="8">
        <f>IF($A608="","", SUMIFS($D$2:$D$801,$A$2:$A$801,$A608) - SUMIFS($E$2:$E$801,$A$2:$A$801,$A608))</f>
        <v/>
      </c>
      <c r="J608">
        <f>IF($F608="Paid",0, IF($C608="","", MAX(0, TODAY()-$C608)))</f>
        <v/>
      </c>
    </row>
    <row r="609">
      <c r="C609" s="6">
        <f>IF(AND($A609&lt;&gt;"",$B609&lt;&gt;""), XLOOKUP($A609,Loan_Register!$A$2:$A$301,Loan_Register!$M$2:$M$301,"") + 7*($B609-1), "")</f>
        <v/>
      </c>
      <c r="D609" s="8">
        <f>IF($A609&lt;&gt;"", XLOOKUP($A609,Loan_Register!$A$2:$A$301,Loan_Register!$N$2:$N$301,""), "")</f>
        <v/>
      </c>
      <c r="E609" s="8" t="n"/>
      <c r="F609">
        <f>IF($A609="","", IF($E609&gt;=$D609,"Paid", IF(TODAY()&gt;$C609,"Overdue","Pending")))</f>
        <v/>
      </c>
      <c r="G609" s="6" t="n"/>
      <c r="I609" s="8">
        <f>IF($A609="","", SUMIFS($D$2:$D$801,$A$2:$A$801,$A609) - SUMIFS($E$2:$E$801,$A$2:$A$801,$A609))</f>
        <v/>
      </c>
      <c r="J609">
        <f>IF($F609="Paid",0, IF($C609="","", MAX(0, TODAY()-$C609)))</f>
        <v/>
      </c>
    </row>
    <row r="610">
      <c r="C610" s="6">
        <f>IF(AND($A610&lt;&gt;"",$B610&lt;&gt;""), XLOOKUP($A610,Loan_Register!$A$2:$A$301,Loan_Register!$M$2:$M$301,"") + 7*($B610-1), "")</f>
        <v/>
      </c>
      <c r="D610" s="8">
        <f>IF($A610&lt;&gt;"", XLOOKUP($A610,Loan_Register!$A$2:$A$301,Loan_Register!$N$2:$N$301,""), "")</f>
        <v/>
      </c>
      <c r="E610" s="8" t="n"/>
      <c r="F610">
        <f>IF($A610="","", IF($E610&gt;=$D610,"Paid", IF(TODAY()&gt;$C610,"Overdue","Pending")))</f>
        <v/>
      </c>
      <c r="G610" s="6" t="n"/>
      <c r="I610" s="8">
        <f>IF($A610="","", SUMIFS($D$2:$D$801,$A$2:$A$801,$A610) - SUMIFS($E$2:$E$801,$A$2:$A$801,$A610))</f>
        <v/>
      </c>
      <c r="J610">
        <f>IF($F610="Paid",0, IF($C610="","", MAX(0, TODAY()-$C610)))</f>
        <v/>
      </c>
    </row>
    <row r="611">
      <c r="C611" s="6">
        <f>IF(AND($A611&lt;&gt;"",$B611&lt;&gt;""), XLOOKUP($A611,Loan_Register!$A$2:$A$301,Loan_Register!$M$2:$M$301,"") + 7*($B611-1), "")</f>
        <v/>
      </c>
      <c r="D611" s="8">
        <f>IF($A611&lt;&gt;"", XLOOKUP($A611,Loan_Register!$A$2:$A$301,Loan_Register!$N$2:$N$301,""), "")</f>
        <v/>
      </c>
      <c r="E611" s="8" t="n"/>
      <c r="F611">
        <f>IF($A611="","", IF($E611&gt;=$D611,"Paid", IF(TODAY()&gt;$C611,"Overdue","Pending")))</f>
        <v/>
      </c>
      <c r="G611" s="6" t="n"/>
      <c r="I611" s="8">
        <f>IF($A611="","", SUMIFS($D$2:$D$801,$A$2:$A$801,$A611) - SUMIFS($E$2:$E$801,$A$2:$A$801,$A611))</f>
        <v/>
      </c>
      <c r="J611">
        <f>IF($F611="Paid",0, IF($C611="","", MAX(0, TODAY()-$C611)))</f>
        <v/>
      </c>
    </row>
    <row r="612">
      <c r="C612" s="6">
        <f>IF(AND($A612&lt;&gt;"",$B612&lt;&gt;""), XLOOKUP($A612,Loan_Register!$A$2:$A$301,Loan_Register!$M$2:$M$301,"") + 7*($B612-1), "")</f>
        <v/>
      </c>
      <c r="D612" s="8">
        <f>IF($A612&lt;&gt;"", XLOOKUP($A612,Loan_Register!$A$2:$A$301,Loan_Register!$N$2:$N$301,""), "")</f>
        <v/>
      </c>
      <c r="E612" s="8" t="n"/>
      <c r="F612">
        <f>IF($A612="","", IF($E612&gt;=$D612,"Paid", IF(TODAY()&gt;$C612,"Overdue","Pending")))</f>
        <v/>
      </c>
      <c r="G612" s="6" t="n"/>
      <c r="I612" s="8">
        <f>IF($A612="","", SUMIFS($D$2:$D$801,$A$2:$A$801,$A612) - SUMIFS($E$2:$E$801,$A$2:$A$801,$A612))</f>
        <v/>
      </c>
      <c r="J612">
        <f>IF($F612="Paid",0, IF($C612="","", MAX(0, TODAY()-$C612)))</f>
        <v/>
      </c>
    </row>
    <row r="613">
      <c r="C613" s="6">
        <f>IF(AND($A613&lt;&gt;"",$B613&lt;&gt;""), XLOOKUP($A613,Loan_Register!$A$2:$A$301,Loan_Register!$M$2:$M$301,"") + 7*($B613-1), "")</f>
        <v/>
      </c>
      <c r="D613" s="8">
        <f>IF($A613&lt;&gt;"", XLOOKUP($A613,Loan_Register!$A$2:$A$301,Loan_Register!$N$2:$N$301,""), "")</f>
        <v/>
      </c>
      <c r="E613" s="8" t="n"/>
      <c r="F613">
        <f>IF($A613="","", IF($E613&gt;=$D613,"Paid", IF(TODAY()&gt;$C613,"Overdue","Pending")))</f>
        <v/>
      </c>
      <c r="G613" s="6" t="n"/>
      <c r="I613" s="8">
        <f>IF($A613="","", SUMIFS($D$2:$D$801,$A$2:$A$801,$A613) - SUMIFS($E$2:$E$801,$A$2:$A$801,$A613))</f>
        <v/>
      </c>
      <c r="J613">
        <f>IF($F613="Paid",0, IF($C613="","", MAX(0, TODAY()-$C613)))</f>
        <v/>
      </c>
    </row>
    <row r="614">
      <c r="C614" s="6">
        <f>IF(AND($A614&lt;&gt;"",$B614&lt;&gt;""), XLOOKUP($A614,Loan_Register!$A$2:$A$301,Loan_Register!$M$2:$M$301,"") + 7*($B614-1), "")</f>
        <v/>
      </c>
      <c r="D614" s="8">
        <f>IF($A614&lt;&gt;"", XLOOKUP($A614,Loan_Register!$A$2:$A$301,Loan_Register!$N$2:$N$301,""), "")</f>
        <v/>
      </c>
      <c r="E614" s="8" t="n"/>
      <c r="F614">
        <f>IF($A614="","", IF($E614&gt;=$D614,"Paid", IF(TODAY()&gt;$C614,"Overdue","Pending")))</f>
        <v/>
      </c>
      <c r="G614" s="6" t="n"/>
      <c r="I614" s="8">
        <f>IF($A614="","", SUMIFS($D$2:$D$801,$A$2:$A$801,$A614) - SUMIFS($E$2:$E$801,$A$2:$A$801,$A614))</f>
        <v/>
      </c>
      <c r="J614">
        <f>IF($F614="Paid",0, IF($C614="","", MAX(0, TODAY()-$C614)))</f>
        <v/>
      </c>
    </row>
    <row r="615">
      <c r="C615" s="6">
        <f>IF(AND($A615&lt;&gt;"",$B615&lt;&gt;""), XLOOKUP($A615,Loan_Register!$A$2:$A$301,Loan_Register!$M$2:$M$301,"") + 7*($B615-1), "")</f>
        <v/>
      </c>
      <c r="D615" s="8">
        <f>IF($A615&lt;&gt;"", XLOOKUP($A615,Loan_Register!$A$2:$A$301,Loan_Register!$N$2:$N$301,""), "")</f>
        <v/>
      </c>
      <c r="E615" s="8" t="n"/>
      <c r="F615">
        <f>IF($A615="","", IF($E615&gt;=$D615,"Paid", IF(TODAY()&gt;$C615,"Overdue","Pending")))</f>
        <v/>
      </c>
      <c r="G615" s="6" t="n"/>
      <c r="I615" s="8">
        <f>IF($A615="","", SUMIFS($D$2:$D$801,$A$2:$A$801,$A615) - SUMIFS($E$2:$E$801,$A$2:$A$801,$A615))</f>
        <v/>
      </c>
      <c r="J615">
        <f>IF($F615="Paid",0, IF($C615="","", MAX(0, TODAY()-$C615)))</f>
        <v/>
      </c>
    </row>
    <row r="616">
      <c r="C616" s="6">
        <f>IF(AND($A616&lt;&gt;"",$B616&lt;&gt;""), XLOOKUP($A616,Loan_Register!$A$2:$A$301,Loan_Register!$M$2:$M$301,"") + 7*($B616-1), "")</f>
        <v/>
      </c>
      <c r="D616" s="8">
        <f>IF($A616&lt;&gt;"", XLOOKUP($A616,Loan_Register!$A$2:$A$301,Loan_Register!$N$2:$N$301,""), "")</f>
        <v/>
      </c>
      <c r="E616" s="8" t="n"/>
      <c r="F616">
        <f>IF($A616="","", IF($E616&gt;=$D616,"Paid", IF(TODAY()&gt;$C616,"Overdue","Pending")))</f>
        <v/>
      </c>
      <c r="G616" s="6" t="n"/>
      <c r="I616" s="8">
        <f>IF($A616="","", SUMIFS($D$2:$D$801,$A$2:$A$801,$A616) - SUMIFS($E$2:$E$801,$A$2:$A$801,$A616))</f>
        <v/>
      </c>
      <c r="J616">
        <f>IF($F616="Paid",0, IF($C616="","", MAX(0, TODAY()-$C616)))</f>
        <v/>
      </c>
    </row>
    <row r="617">
      <c r="C617" s="6">
        <f>IF(AND($A617&lt;&gt;"",$B617&lt;&gt;""), XLOOKUP($A617,Loan_Register!$A$2:$A$301,Loan_Register!$M$2:$M$301,"") + 7*($B617-1), "")</f>
        <v/>
      </c>
      <c r="D617" s="8">
        <f>IF($A617&lt;&gt;"", XLOOKUP($A617,Loan_Register!$A$2:$A$301,Loan_Register!$N$2:$N$301,""), "")</f>
        <v/>
      </c>
      <c r="E617" s="8" t="n"/>
      <c r="F617">
        <f>IF($A617="","", IF($E617&gt;=$D617,"Paid", IF(TODAY()&gt;$C617,"Overdue","Pending")))</f>
        <v/>
      </c>
      <c r="G617" s="6" t="n"/>
      <c r="I617" s="8">
        <f>IF($A617="","", SUMIFS($D$2:$D$801,$A$2:$A$801,$A617) - SUMIFS($E$2:$E$801,$A$2:$A$801,$A617))</f>
        <v/>
      </c>
      <c r="J617">
        <f>IF($F617="Paid",0, IF($C617="","", MAX(0, TODAY()-$C617)))</f>
        <v/>
      </c>
    </row>
    <row r="618">
      <c r="C618" s="6">
        <f>IF(AND($A618&lt;&gt;"",$B618&lt;&gt;""), XLOOKUP($A618,Loan_Register!$A$2:$A$301,Loan_Register!$M$2:$M$301,"") + 7*($B618-1), "")</f>
        <v/>
      </c>
      <c r="D618" s="8">
        <f>IF($A618&lt;&gt;"", XLOOKUP($A618,Loan_Register!$A$2:$A$301,Loan_Register!$N$2:$N$301,""), "")</f>
        <v/>
      </c>
      <c r="E618" s="8" t="n"/>
      <c r="F618">
        <f>IF($A618="","", IF($E618&gt;=$D618,"Paid", IF(TODAY()&gt;$C618,"Overdue","Pending")))</f>
        <v/>
      </c>
      <c r="G618" s="6" t="n"/>
      <c r="I618" s="8">
        <f>IF($A618="","", SUMIFS($D$2:$D$801,$A$2:$A$801,$A618) - SUMIFS($E$2:$E$801,$A$2:$A$801,$A618))</f>
        <v/>
      </c>
      <c r="J618">
        <f>IF($F618="Paid",0, IF($C618="","", MAX(0, TODAY()-$C618)))</f>
        <v/>
      </c>
    </row>
    <row r="619">
      <c r="C619" s="6">
        <f>IF(AND($A619&lt;&gt;"",$B619&lt;&gt;""), XLOOKUP($A619,Loan_Register!$A$2:$A$301,Loan_Register!$M$2:$M$301,"") + 7*($B619-1), "")</f>
        <v/>
      </c>
      <c r="D619" s="8">
        <f>IF($A619&lt;&gt;"", XLOOKUP($A619,Loan_Register!$A$2:$A$301,Loan_Register!$N$2:$N$301,""), "")</f>
        <v/>
      </c>
      <c r="E619" s="8" t="n"/>
      <c r="F619">
        <f>IF($A619="","", IF($E619&gt;=$D619,"Paid", IF(TODAY()&gt;$C619,"Overdue","Pending")))</f>
        <v/>
      </c>
      <c r="G619" s="6" t="n"/>
      <c r="I619" s="8">
        <f>IF($A619="","", SUMIFS($D$2:$D$801,$A$2:$A$801,$A619) - SUMIFS($E$2:$E$801,$A$2:$A$801,$A619))</f>
        <v/>
      </c>
      <c r="J619">
        <f>IF($F619="Paid",0, IF($C619="","", MAX(0, TODAY()-$C619)))</f>
        <v/>
      </c>
    </row>
    <row r="620">
      <c r="C620" s="6">
        <f>IF(AND($A620&lt;&gt;"",$B620&lt;&gt;""), XLOOKUP($A620,Loan_Register!$A$2:$A$301,Loan_Register!$M$2:$M$301,"") + 7*($B620-1), "")</f>
        <v/>
      </c>
      <c r="D620" s="8">
        <f>IF($A620&lt;&gt;"", XLOOKUP($A620,Loan_Register!$A$2:$A$301,Loan_Register!$N$2:$N$301,""), "")</f>
        <v/>
      </c>
      <c r="E620" s="8" t="n"/>
      <c r="F620">
        <f>IF($A620="","", IF($E620&gt;=$D620,"Paid", IF(TODAY()&gt;$C620,"Overdue","Pending")))</f>
        <v/>
      </c>
      <c r="G620" s="6" t="n"/>
      <c r="I620" s="8">
        <f>IF($A620="","", SUMIFS($D$2:$D$801,$A$2:$A$801,$A620) - SUMIFS($E$2:$E$801,$A$2:$A$801,$A620))</f>
        <v/>
      </c>
      <c r="J620">
        <f>IF($F620="Paid",0, IF($C620="","", MAX(0, TODAY()-$C620)))</f>
        <v/>
      </c>
    </row>
    <row r="621">
      <c r="C621" s="6">
        <f>IF(AND($A621&lt;&gt;"",$B621&lt;&gt;""), XLOOKUP($A621,Loan_Register!$A$2:$A$301,Loan_Register!$M$2:$M$301,"") + 7*($B621-1), "")</f>
        <v/>
      </c>
      <c r="D621" s="8">
        <f>IF($A621&lt;&gt;"", XLOOKUP($A621,Loan_Register!$A$2:$A$301,Loan_Register!$N$2:$N$301,""), "")</f>
        <v/>
      </c>
      <c r="E621" s="8" t="n"/>
      <c r="F621">
        <f>IF($A621="","", IF($E621&gt;=$D621,"Paid", IF(TODAY()&gt;$C621,"Overdue","Pending")))</f>
        <v/>
      </c>
      <c r="G621" s="6" t="n"/>
      <c r="I621" s="8">
        <f>IF($A621="","", SUMIFS($D$2:$D$801,$A$2:$A$801,$A621) - SUMIFS($E$2:$E$801,$A$2:$A$801,$A621))</f>
        <v/>
      </c>
      <c r="J621">
        <f>IF($F621="Paid",0, IF($C621="","", MAX(0, TODAY()-$C621)))</f>
        <v/>
      </c>
    </row>
    <row r="622">
      <c r="C622" s="6">
        <f>IF(AND($A622&lt;&gt;"",$B622&lt;&gt;""), XLOOKUP($A622,Loan_Register!$A$2:$A$301,Loan_Register!$M$2:$M$301,"") + 7*($B622-1), "")</f>
        <v/>
      </c>
      <c r="D622" s="8">
        <f>IF($A622&lt;&gt;"", XLOOKUP($A622,Loan_Register!$A$2:$A$301,Loan_Register!$N$2:$N$301,""), "")</f>
        <v/>
      </c>
      <c r="E622" s="8" t="n"/>
      <c r="F622">
        <f>IF($A622="","", IF($E622&gt;=$D622,"Paid", IF(TODAY()&gt;$C622,"Overdue","Pending")))</f>
        <v/>
      </c>
      <c r="G622" s="6" t="n"/>
      <c r="I622" s="8">
        <f>IF($A622="","", SUMIFS($D$2:$D$801,$A$2:$A$801,$A622) - SUMIFS($E$2:$E$801,$A$2:$A$801,$A622))</f>
        <v/>
      </c>
      <c r="J622">
        <f>IF($F622="Paid",0, IF($C622="","", MAX(0, TODAY()-$C622)))</f>
        <v/>
      </c>
    </row>
    <row r="623">
      <c r="C623" s="6">
        <f>IF(AND($A623&lt;&gt;"",$B623&lt;&gt;""), XLOOKUP($A623,Loan_Register!$A$2:$A$301,Loan_Register!$M$2:$M$301,"") + 7*($B623-1), "")</f>
        <v/>
      </c>
      <c r="D623" s="8">
        <f>IF($A623&lt;&gt;"", XLOOKUP($A623,Loan_Register!$A$2:$A$301,Loan_Register!$N$2:$N$301,""), "")</f>
        <v/>
      </c>
      <c r="E623" s="8" t="n"/>
      <c r="F623">
        <f>IF($A623="","", IF($E623&gt;=$D623,"Paid", IF(TODAY()&gt;$C623,"Overdue","Pending")))</f>
        <v/>
      </c>
      <c r="G623" s="6" t="n"/>
      <c r="I623" s="8">
        <f>IF($A623="","", SUMIFS($D$2:$D$801,$A$2:$A$801,$A623) - SUMIFS($E$2:$E$801,$A$2:$A$801,$A623))</f>
        <v/>
      </c>
      <c r="J623">
        <f>IF($F623="Paid",0, IF($C623="","", MAX(0, TODAY()-$C623)))</f>
        <v/>
      </c>
    </row>
    <row r="624">
      <c r="C624" s="6">
        <f>IF(AND($A624&lt;&gt;"",$B624&lt;&gt;""), XLOOKUP($A624,Loan_Register!$A$2:$A$301,Loan_Register!$M$2:$M$301,"") + 7*($B624-1), "")</f>
        <v/>
      </c>
      <c r="D624" s="8">
        <f>IF($A624&lt;&gt;"", XLOOKUP($A624,Loan_Register!$A$2:$A$301,Loan_Register!$N$2:$N$301,""), "")</f>
        <v/>
      </c>
      <c r="E624" s="8" t="n"/>
      <c r="F624">
        <f>IF($A624="","", IF($E624&gt;=$D624,"Paid", IF(TODAY()&gt;$C624,"Overdue","Pending")))</f>
        <v/>
      </c>
      <c r="G624" s="6" t="n"/>
      <c r="I624" s="8">
        <f>IF($A624="","", SUMIFS($D$2:$D$801,$A$2:$A$801,$A624) - SUMIFS($E$2:$E$801,$A$2:$A$801,$A624))</f>
        <v/>
      </c>
      <c r="J624">
        <f>IF($F624="Paid",0, IF($C624="","", MAX(0, TODAY()-$C624)))</f>
        <v/>
      </c>
    </row>
    <row r="625">
      <c r="C625" s="6">
        <f>IF(AND($A625&lt;&gt;"",$B625&lt;&gt;""), XLOOKUP($A625,Loan_Register!$A$2:$A$301,Loan_Register!$M$2:$M$301,"") + 7*($B625-1), "")</f>
        <v/>
      </c>
      <c r="D625" s="8">
        <f>IF($A625&lt;&gt;"", XLOOKUP($A625,Loan_Register!$A$2:$A$301,Loan_Register!$N$2:$N$301,""), "")</f>
        <v/>
      </c>
      <c r="E625" s="8" t="n"/>
      <c r="F625">
        <f>IF($A625="","", IF($E625&gt;=$D625,"Paid", IF(TODAY()&gt;$C625,"Overdue","Pending")))</f>
        <v/>
      </c>
      <c r="G625" s="6" t="n"/>
      <c r="I625" s="8">
        <f>IF($A625="","", SUMIFS($D$2:$D$801,$A$2:$A$801,$A625) - SUMIFS($E$2:$E$801,$A$2:$A$801,$A625))</f>
        <v/>
      </c>
      <c r="J625">
        <f>IF($F625="Paid",0, IF($C625="","", MAX(0, TODAY()-$C625)))</f>
        <v/>
      </c>
    </row>
    <row r="626">
      <c r="C626" s="6">
        <f>IF(AND($A626&lt;&gt;"",$B626&lt;&gt;""), XLOOKUP($A626,Loan_Register!$A$2:$A$301,Loan_Register!$M$2:$M$301,"") + 7*($B626-1), "")</f>
        <v/>
      </c>
      <c r="D626" s="8">
        <f>IF($A626&lt;&gt;"", XLOOKUP($A626,Loan_Register!$A$2:$A$301,Loan_Register!$N$2:$N$301,""), "")</f>
        <v/>
      </c>
      <c r="E626" s="8" t="n"/>
      <c r="F626">
        <f>IF($A626="","", IF($E626&gt;=$D626,"Paid", IF(TODAY()&gt;$C626,"Overdue","Pending")))</f>
        <v/>
      </c>
      <c r="G626" s="6" t="n"/>
      <c r="I626" s="8">
        <f>IF($A626="","", SUMIFS($D$2:$D$801,$A$2:$A$801,$A626) - SUMIFS($E$2:$E$801,$A$2:$A$801,$A626))</f>
        <v/>
      </c>
      <c r="J626">
        <f>IF($F626="Paid",0, IF($C626="","", MAX(0, TODAY()-$C626)))</f>
        <v/>
      </c>
    </row>
    <row r="627">
      <c r="C627" s="6">
        <f>IF(AND($A627&lt;&gt;"",$B627&lt;&gt;""), XLOOKUP($A627,Loan_Register!$A$2:$A$301,Loan_Register!$M$2:$M$301,"") + 7*($B627-1), "")</f>
        <v/>
      </c>
      <c r="D627" s="8">
        <f>IF($A627&lt;&gt;"", XLOOKUP($A627,Loan_Register!$A$2:$A$301,Loan_Register!$N$2:$N$301,""), "")</f>
        <v/>
      </c>
      <c r="E627" s="8" t="n"/>
      <c r="F627">
        <f>IF($A627="","", IF($E627&gt;=$D627,"Paid", IF(TODAY()&gt;$C627,"Overdue","Pending")))</f>
        <v/>
      </c>
      <c r="G627" s="6" t="n"/>
      <c r="I627" s="8">
        <f>IF($A627="","", SUMIFS($D$2:$D$801,$A$2:$A$801,$A627) - SUMIFS($E$2:$E$801,$A$2:$A$801,$A627))</f>
        <v/>
      </c>
      <c r="J627">
        <f>IF($F627="Paid",0, IF($C627="","", MAX(0, TODAY()-$C627)))</f>
        <v/>
      </c>
    </row>
    <row r="628">
      <c r="C628" s="6">
        <f>IF(AND($A628&lt;&gt;"",$B628&lt;&gt;""), XLOOKUP($A628,Loan_Register!$A$2:$A$301,Loan_Register!$M$2:$M$301,"") + 7*($B628-1), "")</f>
        <v/>
      </c>
      <c r="D628" s="8">
        <f>IF($A628&lt;&gt;"", XLOOKUP($A628,Loan_Register!$A$2:$A$301,Loan_Register!$N$2:$N$301,""), "")</f>
        <v/>
      </c>
      <c r="E628" s="8" t="n"/>
      <c r="F628">
        <f>IF($A628="","", IF($E628&gt;=$D628,"Paid", IF(TODAY()&gt;$C628,"Overdue","Pending")))</f>
        <v/>
      </c>
      <c r="G628" s="6" t="n"/>
      <c r="I628" s="8">
        <f>IF($A628="","", SUMIFS($D$2:$D$801,$A$2:$A$801,$A628) - SUMIFS($E$2:$E$801,$A$2:$A$801,$A628))</f>
        <v/>
      </c>
      <c r="J628">
        <f>IF($F628="Paid",0, IF($C628="","", MAX(0, TODAY()-$C628)))</f>
        <v/>
      </c>
    </row>
    <row r="629">
      <c r="C629" s="6">
        <f>IF(AND($A629&lt;&gt;"",$B629&lt;&gt;""), XLOOKUP($A629,Loan_Register!$A$2:$A$301,Loan_Register!$M$2:$M$301,"") + 7*($B629-1), "")</f>
        <v/>
      </c>
      <c r="D629" s="8">
        <f>IF($A629&lt;&gt;"", XLOOKUP($A629,Loan_Register!$A$2:$A$301,Loan_Register!$N$2:$N$301,""), "")</f>
        <v/>
      </c>
      <c r="E629" s="8" t="n"/>
      <c r="F629">
        <f>IF($A629="","", IF($E629&gt;=$D629,"Paid", IF(TODAY()&gt;$C629,"Overdue","Pending")))</f>
        <v/>
      </c>
      <c r="G629" s="6" t="n"/>
      <c r="I629" s="8">
        <f>IF($A629="","", SUMIFS($D$2:$D$801,$A$2:$A$801,$A629) - SUMIFS($E$2:$E$801,$A$2:$A$801,$A629))</f>
        <v/>
      </c>
      <c r="J629">
        <f>IF($F629="Paid",0, IF($C629="","", MAX(0, TODAY()-$C629)))</f>
        <v/>
      </c>
    </row>
    <row r="630">
      <c r="C630" s="6">
        <f>IF(AND($A630&lt;&gt;"",$B630&lt;&gt;""), XLOOKUP($A630,Loan_Register!$A$2:$A$301,Loan_Register!$M$2:$M$301,"") + 7*($B630-1), "")</f>
        <v/>
      </c>
      <c r="D630" s="8">
        <f>IF($A630&lt;&gt;"", XLOOKUP($A630,Loan_Register!$A$2:$A$301,Loan_Register!$N$2:$N$301,""), "")</f>
        <v/>
      </c>
      <c r="E630" s="8" t="n"/>
      <c r="F630">
        <f>IF($A630="","", IF($E630&gt;=$D630,"Paid", IF(TODAY()&gt;$C630,"Overdue","Pending")))</f>
        <v/>
      </c>
      <c r="G630" s="6" t="n"/>
      <c r="I630" s="8">
        <f>IF($A630="","", SUMIFS($D$2:$D$801,$A$2:$A$801,$A630) - SUMIFS($E$2:$E$801,$A$2:$A$801,$A630))</f>
        <v/>
      </c>
      <c r="J630">
        <f>IF($F630="Paid",0, IF($C630="","", MAX(0, TODAY()-$C630)))</f>
        <v/>
      </c>
    </row>
    <row r="631">
      <c r="C631" s="6">
        <f>IF(AND($A631&lt;&gt;"",$B631&lt;&gt;""), XLOOKUP($A631,Loan_Register!$A$2:$A$301,Loan_Register!$M$2:$M$301,"") + 7*($B631-1), "")</f>
        <v/>
      </c>
      <c r="D631" s="8">
        <f>IF($A631&lt;&gt;"", XLOOKUP($A631,Loan_Register!$A$2:$A$301,Loan_Register!$N$2:$N$301,""), "")</f>
        <v/>
      </c>
      <c r="E631" s="8" t="n"/>
      <c r="F631">
        <f>IF($A631="","", IF($E631&gt;=$D631,"Paid", IF(TODAY()&gt;$C631,"Overdue","Pending")))</f>
        <v/>
      </c>
      <c r="G631" s="6" t="n"/>
      <c r="I631" s="8">
        <f>IF($A631="","", SUMIFS($D$2:$D$801,$A$2:$A$801,$A631) - SUMIFS($E$2:$E$801,$A$2:$A$801,$A631))</f>
        <v/>
      </c>
      <c r="J631">
        <f>IF($F631="Paid",0, IF($C631="","", MAX(0, TODAY()-$C631)))</f>
        <v/>
      </c>
    </row>
    <row r="632">
      <c r="C632" s="6">
        <f>IF(AND($A632&lt;&gt;"",$B632&lt;&gt;""), XLOOKUP($A632,Loan_Register!$A$2:$A$301,Loan_Register!$M$2:$M$301,"") + 7*($B632-1), "")</f>
        <v/>
      </c>
      <c r="D632" s="8">
        <f>IF($A632&lt;&gt;"", XLOOKUP($A632,Loan_Register!$A$2:$A$301,Loan_Register!$N$2:$N$301,""), "")</f>
        <v/>
      </c>
      <c r="E632" s="8" t="n"/>
      <c r="F632">
        <f>IF($A632="","", IF($E632&gt;=$D632,"Paid", IF(TODAY()&gt;$C632,"Overdue","Pending")))</f>
        <v/>
      </c>
      <c r="G632" s="6" t="n"/>
      <c r="I632" s="8">
        <f>IF($A632="","", SUMIFS($D$2:$D$801,$A$2:$A$801,$A632) - SUMIFS($E$2:$E$801,$A$2:$A$801,$A632))</f>
        <v/>
      </c>
      <c r="J632">
        <f>IF($F632="Paid",0, IF($C632="","", MAX(0, TODAY()-$C632)))</f>
        <v/>
      </c>
    </row>
    <row r="633">
      <c r="C633" s="6">
        <f>IF(AND($A633&lt;&gt;"",$B633&lt;&gt;""), XLOOKUP($A633,Loan_Register!$A$2:$A$301,Loan_Register!$M$2:$M$301,"") + 7*($B633-1), "")</f>
        <v/>
      </c>
      <c r="D633" s="8">
        <f>IF($A633&lt;&gt;"", XLOOKUP($A633,Loan_Register!$A$2:$A$301,Loan_Register!$N$2:$N$301,""), "")</f>
        <v/>
      </c>
      <c r="E633" s="8" t="n"/>
      <c r="F633">
        <f>IF($A633="","", IF($E633&gt;=$D633,"Paid", IF(TODAY()&gt;$C633,"Overdue","Pending")))</f>
        <v/>
      </c>
      <c r="G633" s="6" t="n"/>
      <c r="I633" s="8">
        <f>IF($A633="","", SUMIFS($D$2:$D$801,$A$2:$A$801,$A633) - SUMIFS($E$2:$E$801,$A$2:$A$801,$A633))</f>
        <v/>
      </c>
      <c r="J633">
        <f>IF($F633="Paid",0, IF($C633="","", MAX(0, TODAY()-$C633)))</f>
        <v/>
      </c>
    </row>
    <row r="634">
      <c r="C634" s="6">
        <f>IF(AND($A634&lt;&gt;"",$B634&lt;&gt;""), XLOOKUP($A634,Loan_Register!$A$2:$A$301,Loan_Register!$M$2:$M$301,"") + 7*($B634-1), "")</f>
        <v/>
      </c>
      <c r="D634" s="8">
        <f>IF($A634&lt;&gt;"", XLOOKUP($A634,Loan_Register!$A$2:$A$301,Loan_Register!$N$2:$N$301,""), "")</f>
        <v/>
      </c>
      <c r="E634" s="8" t="n"/>
      <c r="F634">
        <f>IF($A634="","", IF($E634&gt;=$D634,"Paid", IF(TODAY()&gt;$C634,"Overdue","Pending")))</f>
        <v/>
      </c>
      <c r="G634" s="6" t="n"/>
      <c r="I634" s="8">
        <f>IF($A634="","", SUMIFS($D$2:$D$801,$A$2:$A$801,$A634) - SUMIFS($E$2:$E$801,$A$2:$A$801,$A634))</f>
        <v/>
      </c>
      <c r="J634">
        <f>IF($F634="Paid",0, IF($C634="","", MAX(0, TODAY()-$C634)))</f>
        <v/>
      </c>
    </row>
    <row r="635">
      <c r="C635" s="6">
        <f>IF(AND($A635&lt;&gt;"",$B635&lt;&gt;""), XLOOKUP($A635,Loan_Register!$A$2:$A$301,Loan_Register!$M$2:$M$301,"") + 7*($B635-1), "")</f>
        <v/>
      </c>
      <c r="D635" s="8">
        <f>IF($A635&lt;&gt;"", XLOOKUP($A635,Loan_Register!$A$2:$A$301,Loan_Register!$N$2:$N$301,""), "")</f>
        <v/>
      </c>
      <c r="E635" s="8" t="n"/>
      <c r="F635">
        <f>IF($A635="","", IF($E635&gt;=$D635,"Paid", IF(TODAY()&gt;$C635,"Overdue","Pending")))</f>
        <v/>
      </c>
      <c r="G635" s="6" t="n"/>
      <c r="I635" s="8">
        <f>IF($A635="","", SUMIFS($D$2:$D$801,$A$2:$A$801,$A635) - SUMIFS($E$2:$E$801,$A$2:$A$801,$A635))</f>
        <v/>
      </c>
      <c r="J635">
        <f>IF($F635="Paid",0, IF($C635="","", MAX(0, TODAY()-$C635)))</f>
        <v/>
      </c>
    </row>
    <row r="636">
      <c r="C636" s="6">
        <f>IF(AND($A636&lt;&gt;"",$B636&lt;&gt;""), XLOOKUP($A636,Loan_Register!$A$2:$A$301,Loan_Register!$M$2:$M$301,"") + 7*($B636-1), "")</f>
        <v/>
      </c>
      <c r="D636" s="8">
        <f>IF($A636&lt;&gt;"", XLOOKUP($A636,Loan_Register!$A$2:$A$301,Loan_Register!$N$2:$N$301,""), "")</f>
        <v/>
      </c>
      <c r="E636" s="8" t="n"/>
      <c r="F636">
        <f>IF($A636="","", IF($E636&gt;=$D636,"Paid", IF(TODAY()&gt;$C636,"Overdue","Pending")))</f>
        <v/>
      </c>
      <c r="G636" s="6" t="n"/>
      <c r="I636" s="8">
        <f>IF($A636="","", SUMIFS($D$2:$D$801,$A$2:$A$801,$A636) - SUMIFS($E$2:$E$801,$A$2:$A$801,$A636))</f>
        <v/>
      </c>
      <c r="J636">
        <f>IF($F636="Paid",0, IF($C636="","", MAX(0, TODAY()-$C636)))</f>
        <v/>
      </c>
    </row>
    <row r="637">
      <c r="C637" s="6">
        <f>IF(AND($A637&lt;&gt;"",$B637&lt;&gt;""), XLOOKUP($A637,Loan_Register!$A$2:$A$301,Loan_Register!$M$2:$M$301,"") + 7*($B637-1), "")</f>
        <v/>
      </c>
      <c r="D637" s="8">
        <f>IF($A637&lt;&gt;"", XLOOKUP($A637,Loan_Register!$A$2:$A$301,Loan_Register!$N$2:$N$301,""), "")</f>
        <v/>
      </c>
      <c r="E637" s="8" t="n"/>
      <c r="F637">
        <f>IF($A637="","", IF($E637&gt;=$D637,"Paid", IF(TODAY()&gt;$C637,"Overdue","Pending")))</f>
        <v/>
      </c>
      <c r="G637" s="6" t="n"/>
      <c r="I637" s="8">
        <f>IF($A637="","", SUMIFS($D$2:$D$801,$A$2:$A$801,$A637) - SUMIFS($E$2:$E$801,$A$2:$A$801,$A637))</f>
        <v/>
      </c>
      <c r="J637">
        <f>IF($F637="Paid",0, IF($C637="","", MAX(0, TODAY()-$C637)))</f>
        <v/>
      </c>
    </row>
    <row r="638">
      <c r="C638" s="6">
        <f>IF(AND($A638&lt;&gt;"",$B638&lt;&gt;""), XLOOKUP($A638,Loan_Register!$A$2:$A$301,Loan_Register!$M$2:$M$301,"") + 7*($B638-1), "")</f>
        <v/>
      </c>
      <c r="D638" s="8">
        <f>IF($A638&lt;&gt;"", XLOOKUP($A638,Loan_Register!$A$2:$A$301,Loan_Register!$N$2:$N$301,""), "")</f>
        <v/>
      </c>
      <c r="E638" s="8" t="n"/>
      <c r="F638">
        <f>IF($A638="","", IF($E638&gt;=$D638,"Paid", IF(TODAY()&gt;$C638,"Overdue","Pending")))</f>
        <v/>
      </c>
      <c r="G638" s="6" t="n"/>
      <c r="I638" s="8">
        <f>IF($A638="","", SUMIFS($D$2:$D$801,$A$2:$A$801,$A638) - SUMIFS($E$2:$E$801,$A$2:$A$801,$A638))</f>
        <v/>
      </c>
      <c r="J638">
        <f>IF($F638="Paid",0, IF($C638="","", MAX(0, TODAY()-$C638)))</f>
        <v/>
      </c>
    </row>
    <row r="639">
      <c r="C639" s="6">
        <f>IF(AND($A639&lt;&gt;"",$B639&lt;&gt;""), XLOOKUP($A639,Loan_Register!$A$2:$A$301,Loan_Register!$M$2:$M$301,"") + 7*($B639-1), "")</f>
        <v/>
      </c>
      <c r="D639" s="8">
        <f>IF($A639&lt;&gt;"", XLOOKUP($A639,Loan_Register!$A$2:$A$301,Loan_Register!$N$2:$N$301,""), "")</f>
        <v/>
      </c>
      <c r="E639" s="8" t="n"/>
      <c r="F639">
        <f>IF($A639="","", IF($E639&gt;=$D639,"Paid", IF(TODAY()&gt;$C639,"Overdue","Pending")))</f>
        <v/>
      </c>
      <c r="G639" s="6" t="n"/>
      <c r="I639" s="8">
        <f>IF($A639="","", SUMIFS($D$2:$D$801,$A$2:$A$801,$A639) - SUMIFS($E$2:$E$801,$A$2:$A$801,$A639))</f>
        <v/>
      </c>
      <c r="J639">
        <f>IF($F639="Paid",0, IF($C639="","", MAX(0, TODAY()-$C639)))</f>
        <v/>
      </c>
    </row>
    <row r="640">
      <c r="C640" s="6">
        <f>IF(AND($A640&lt;&gt;"",$B640&lt;&gt;""), XLOOKUP($A640,Loan_Register!$A$2:$A$301,Loan_Register!$M$2:$M$301,"") + 7*($B640-1), "")</f>
        <v/>
      </c>
      <c r="D640" s="8">
        <f>IF($A640&lt;&gt;"", XLOOKUP($A640,Loan_Register!$A$2:$A$301,Loan_Register!$N$2:$N$301,""), "")</f>
        <v/>
      </c>
      <c r="E640" s="8" t="n"/>
      <c r="F640">
        <f>IF($A640="","", IF($E640&gt;=$D640,"Paid", IF(TODAY()&gt;$C640,"Overdue","Pending")))</f>
        <v/>
      </c>
      <c r="G640" s="6" t="n"/>
      <c r="I640" s="8">
        <f>IF($A640="","", SUMIFS($D$2:$D$801,$A$2:$A$801,$A640) - SUMIFS($E$2:$E$801,$A$2:$A$801,$A640))</f>
        <v/>
      </c>
      <c r="J640">
        <f>IF($F640="Paid",0, IF($C640="","", MAX(0, TODAY()-$C640)))</f>
        <v/>
      </c>
    </row>
    <row r="641">
      <c r="C641" s="6">
        <f>IF(AND($A641&lt;&gt;"",$B641&lt;&gt;""), XLOOKUP($A641,Loan_Register!$A$2:$A$301,Loan_Register!$M$2:$M$301,"") + 7*($B641-1), "")</f>
        <v/>
      </c>
      <c r="D641" s="8">
        <f>IF($A641&lt;&gt;"", XLOOKUP($A641,Loan_Register!$A$2:$A$301,Loan_Register!$N$2:$N$301,""), "")</f>
        <v/>
      </c>
      <c r="E641" s="8" t="n"/>
      <c r="F641">
        <f>IF($A641="","", IF($E641&gt;=$D641,"Paid", IF(TODAY()&gt;$C641,"Overdue","Pending")))</f>
        <v/>
      </c>
      <c r="G641" s="6" t="n"/>
      <c r="I641" s="8">
        <f>IF($A641="","", SUMIFS($D$2:$D$801,$A$2:$A$801,$A641) - SUMIFS($E$2:$E$801,$A$2:$A$801,$A641))</f>
        <v/>
      </c>
      <c r="J641">
        <f>IF($F641="Paid",0, IF($C641="","", MAX(0, TODAY()-$C641)))</f>
        <v/>
      </c>
    </row>
    <row r="642">
      <c r="C642" s="6">
        <f>IF(AND($A642&lt;&gt;"",$B642&lt;&gt;""), XLOOKUP($A642,Loan_Register!$A$2:$A$301,Loan_Register!$M$2:$M$301,"") + 7*($B642-1), "")</f>
        <v/>
      </c>
      <c r="D642" s="8">
        <f>IF($A642&lt;&gt;"", XLOOKUP($A642,Loan_Register!$A$2:$A$301,Loan_Register!$N$2:$N$301,""), "")</f>
        <v/>
      </c>
      <c r="E642" s="8" t="n"/>
      <c r="F642">
        <f>IF($A642="","", IF($E642&gt;=$D642,"Paid", IF(TODAY()&gt;$C642,"Overdue","Pending")))</f>
        <v/>
      </c>
      <c r="G642" s="6" t="n"/>
      <c r="I642" s="8">
        <f>IF($A642="","", SUMIFS($D$2:$D$801,$A$2:$A$801,$A642) - SUMIFS($E$2:$E$801,$A$2:$A$801,$A642))</f>
        <v/>
      </c>
      <c r="J642">
        <f>IF($F642="Paid",0, IF($C642="","", MAX(0, TODAY()-$C642)))</f>
        <v/>
      </c>
    </row>
    <row r="643">
      <c r="C643" s="6">
        <f>IF(AND($A643&lt;&gt;"",$B643&lt;&gt;""), XLOOKUP($A643,Loan_Register!$A$2:$A$301,Loan_Register!$M$2:$M$301,"") + 7*($B643-1), "")</f>
        <v/>
      </c>
      <c r="D643" s="8">
        <f>IF($A643&lt;&gt;"", XLOOKUP($A643,Loan_Register!$A$2:$A$301,Loan_Register!$N$2:$N$301,""), "")</f>
        <v/>
      </c>
      <c r="E643" s="8" t="n"/>
      <c r="F643">
        <f>IF($A643="","", IF($E643&gt;=$D643,"Paid", IF(TODAY()&gt;$C643,"Overdue","Pending")))</f>
        <v/>
      </c>
      <c r="G643" s="6" t="n"/>
      <c r="I643" s="8">
        <f>IF($A643="","", SUMIFS($D$2:$D$801,$A$2:$A$801,$A643) - SUMIFS($E$2:$E$801,$A$2:$A$801,$A643))</f>
        <v/>
      </c>
      <c r="J643">
        <f>IF($F643="Paid",0, IF($C643="","", MAX(0, TODAY()-$C643)))</f>
        <v/>
      </c>
    </row>
    <row r="644">
      <c r="C644" s="6">
        <f>IF(AND($A644&lt;&gt;"",$B644&lt;&gt;""), XLOOKUP($A644,Loan_Register!$A$2:$A$301,Loan_Register!$M$2:$M$301,"") + 7*($B644-1), "")</f>
        <v/>
      </c>
      <c r="D644" s="8">
        <f>IF($A644&lt;&gt;"", XLOOKUP($A644,Loan_Register!$A$2:$A$301,Loan_Register!$N$2:$N$301,""), "")</f>
        <v/>
      </c>
      <c r="E644" s="8" t="n"/>
      <c r="F644">
        <f>IF($A644="","", IF($E644&gt;=$D644,"Paid", IF(TODAY()&gt;$C644,"Overdue","Pending")))</f>
        <v/>
      </c>
      <c r="G644" s="6" t="n"/>
      <c r="I644" s="8">
        <f>IF($A644="","", SUMIFS($D$2:$D$801,$A$2:$A$801,$A644) - SUMIFS($E$2:$E$801,$A$2:$A$801,$A644))</f>
        <v/>
      </c>
      <c r="J644">
        <f>IF($F644="Paid",0, IF($C644="","", MAX(0, TODAY()-$C644)))</f>
        <v/>
      </c>
    </row>
    <row r="645">
      <c r="C645" s="6">
        <f>IF(AND($A645&lt;&gt;"",$B645&lt;&gt;""), XLOOKUP($A645,Loan_Register!$A$2:$A$301,Loan_Register!$M$2:$M$301,"") + 7*($B645-1), "")</f>
        <v/>
      </c>
      <c r="D645" s="8">
        <f>IF($A645&lt;&gt;"", XLOOKUP($A645,Loan_Register!$A$2:$A$301,Loan_Register!$N$2:$N$301,""), "")</f>
        <v/>
      </c>
      <c r="E645" s="8" t="n"/>
      <c r="F645">
        <f>IF($A645="","", IF($E645&gt;=$D645,"Paid", IF(TODAY()&gt;$C645,"Overdue","Pending")))</f>
        <v/>
      </c>
      <c r="G645" s="6" t="n"/>
      <c r="I645" s="8">
        <f>IF($A645="","", SUMIFS($D$2:$D$801,$A$2:$A$801,$A645) - SUMIFS($E$2:$E$801,$A$2:$A$801,$A645))</f>
        <v/>
      </c>
      <c r="J645">
        <f>IF($F645="Paid",0, IF($C645="","", MAX(0, TODAY()-$C645)))</f>
        <v/>
      </c>
    </row>
    <row r="646">
      <c r="C646" s="6">
        <f>IF(AND($A646&lt;&gt;"",$B646&lt;&gt;""), XLOOKUP($A646,Loan_Register!$A$2:$A$301,Loan_Register!$M$2:$M$301,"") + 7*($B646-1), "")</f>
        <v/>
      </c>
      <c r="D646" s="8">
        <f>IF($A646&lt;&gt;"", XLOOKUP($A646,Loan_Register!$A$2:$A$301,Loan_Register!$N$2:$N$301,""), "")</f>
        <v/>
      </c>
      <c r="E646" s="8" t="n"/>
      <c r="F646">
        <f>IF($A646="","", IF($E646&gt;=$D646,"Paid", IF(TODAY()&gt;$C646,"Overdue","Pending")))</f>
        <v/>
      </c>
      <c r="G646" s="6" t="n"/>
      <c r="I646" s="8">
        <f>IF($A646="","", SUMIFS($D$2:$D$801,$A$2:$A$801,$A646) - SUMIFS($E$2:$E$801,$A$2:$A$801,$A646))</f>
        <v/>
      </c>
      <c r="J646">
        <f>IF($F646="Paid",0, IF($C646="","", MAX(0, TODAY()-$C646)))</f>
        <v/>
      </c>
    </row>
    <row r="647">
      <c r="C647" s="6">
        <f>IF(AND($A647&lt;&gt;"",$B647&lt;&gt;""), XLOOKUP($A647,Loan_Register!$A$2:$A$301,Loan_Register!$M$2:$M$301,"") + 7*($B647-1), "")</f>
        <v/>
      </c>
      <c r="D647" s="8">
        <f>IF($A647&lt;&gt;"", XLOOKUP($A647,Loan_Register!$A$2:$A$301,Loan_Register!$N$2:$N$301,""), "")</f>
        <v/>
      </c>
      <c r="E647" s="8" t="n"/>
      <c r="F647">
        <f>IF($A647="","", IF($E647&gt;=$D647,"Paid", IF(TODAY()&gt;$C647,"Overdue","Pending")))</f>
        <v/>
      </c>
      <c r="G647" s="6" t="n"/>
      <c r="I647" s="8">
        <f>IF($A647="","", SUMIFS($D$2:$D$801,$A$2:$A$801,$A647) - SUMIFS($E$2:$E$801,$A$2:$A$801,$A647))</f>
        <v/>
      </c>
      <c r="J647">
        <f>IF($F647="Paid",0, IF($C647="","", MAX(0, TODAY()-$C647)))</f>
        <v/>
      </c>
    </row>
    <row r="648">
      <c r="C648" s="6">
        <f>IF(AND($A648&lt;&gt;"",$B648&lt;&gt;""), XLOOKUP($A648,Loan_Register!$A$2:$A$301,Loan_Register!$M$2:$M$301,"") + 7*($B648-1), "")</f>
        <v/>
      </c>
      <c r="D648" s="8">
        <f>IF($A648&lt;&gt;"", XLOOKUP($A648,Loan_Register!$A$2:$A$301,Loan_Register!$N$2:$N$301,""), "")</f>
        <v/>
      </c>
      <c r="E648" s="8" t="n"/>
      <c r="F648">
        <f>IF($A648="","", IF($E648&gt;=$D648,"Paid", IF(TODAY()&gt;$C648,"Overdue","Pending")))</f>
        <v/>
      </c>
      <c r="G648" s="6" t="n"/>
      <c r="I648" s="8">
        <f>IF($A648="","", SUMIFS($D$2:$D$801,$A$2:$A$801,$A648) - SUMIFS($E$2:$E$801,$A$2:$A$801,$A648))</f>
        <v/>
      </c>
      <c r="J648">
        <f>IF($F648="Paid",0, IF($C648="","", MAX(0, TODAY()-$C648)))</f>
        <v/>
      </c>
    </row>
    <row r="649">
      <c r="C649" s="6">
        <f>IF(AND($A649&lt;&gt;"",$B649&lt;&gt;""), XLOOKUP($A649,Loan_Register!$A$2:$A$301,Loan_Register!$M$2:$M$301,"") + 7*($B649-1), "")</f>
        <v/>
      </c>
      <c r="D649" s="8">
        <f>IF($A649&lt;&gt;"", XLOOKUP($A649,Loan_Register!$A$2:$A$301,Loan_Register!$N$2:$N$301,""), "")</f>
        <v/>
      </c>
      <c r="E649" s="8" t="n"/>
      <c r="F649">
        <f>IF($A649="","", IF($E649&gt;=$D649,"Paid", IF(TODAY()&gt;$C649,"Overdue","Pending")))</f>
        <v/>
      </c>
      <c r="G649" s="6" t="n"/>
      <c r="I649" s="8">
        <f>IF($A649="","", SUMIFS($D$2:$D$801,$A$2:$A$801,$A649) - SUMIFS($E$2:$E$801,$A$2:$A$801,$A649))</f>
        <v/>
      </c>
      <c r="J649">
        <f>IF($F649="Paid",0, IF($C649="","", MAX(0, TODAY()-$C649)))</f>
        <v/>
      </c>
    </row>
    <row r="650">
      <c r="C650" s="6">
        <f>IF(AND($A650&lt;&gt;"",$B650&lt;&gt;""), XLOOKUP($A650,Loan_Register!$A$2:$A$301,Loan_Register!$M$2:$M$301,"") + 7*($B650-1), "")</f>
        <v/>
      </c>
      <c r="D650" s="8">
        <f>IF($A650&lt;&gt;"", XLOOKUP($A650,Loan_Register!$A$2:$A$301,Loan_Register!$N$2:$N$301,""), "")</f>
        <v/>
      </c>
      <c r="E650" s="8" t="n"/>
      <c r="F650">
        <f>IF($A650="","", IF($E650&gt;=$D650,"Paid", IF(TODAY()&gt;$C650,"Overdue","Pending")))</f>
        <v/>
      </c>
      <c r="G650" s="6" t="n"/>
      <c r="I650" s="8">
        <f>IF($A650="","", SUMIFS($D$2:$D$801,$A$2:$A$801,$A650) - SUMIFS($E$2:$E$801,$A$2:$A$801,$A650))</f>
        <v/>
      </c>
      <c r="J650">
        <f>IF($F650="Paid",0, IF($C650="","", MAX(0, TODAY()-$C650)))</f>
        <v/>
      </c>
    </row>
    <row r="651">
      <c r="C651" s="6">
        <f>IF(AND($A651&lt;&gt;"",$B651&lt;&gt;""), XLOOKUP($A651,Loan_Register!$A$2:$A$301,Loan_Register!$M$2:$M$301,"") + 7*($B651-1), "")</f>
        <v/>
      </c>
      <c r="D651" s="8">
        <f>IF($A651&lt;&gt;"", XLOOKUP($A651,Loan_Register!$A$2:$A$301,Loan_Register!$N$2:$N$301,""), "")</f>
        <v/>
      </c>
      <c r="E651" s="8" t="n"/>
      <c r="F651">
        <f>IF($A651="","", IF($E651&gt;=$D651,"Paid", IF(TODAY()&gt;$C651,"Overdue","Pending")))</f>
        <v/>
      </c>
      <c r="G651" s="6" t="n"/>
      <c r="I651" s="8">
        <f>IF($A651="","", SUMIFS($D$2:$D$801,$A$2:$A$801,$A651) - SUMIFS($E$2:$E$801,$A$2:$A$801,$A651))</f>
        <v/>
      </c>
      <c r="J651">
        <f>IF($F651="Paid",0, IF($C651="","", MAX(0, TODAY()-$C651)))</f>
        <v/>
      </c>
    </row>
    <row r="652">
      <c r="C652" s="6">
        <f>IF(AND($A652&lt;&gt;"",$B652&lt;&gt;""), XLOOKUP($A652,Loan_Register!$A$2:$A$301,Loan_Register!$M$2:$M$301,"") + 7*($B652-1), "")</f>
        <v/>
      </c>
      <c r="D652" s="8">
        <f>IF($A652&lt;&gt;"", XLOOKUP($A652,Loan_Register!$A$2:$A$301,Loan_Register!$N$2:$N$301,""), "")</f>
        <v/>
      </c>
      <c r="E652" s="8" t="n"/>
      <c r="F652">
        <f>IF($A652="","", IF($E652&gt;=$D652,"Paid", IF(TODAY()&gt;$C652,"Overdue","Pending")))</f>
        <v/>
      </c>
      <c r="G652" s="6" t="n"/>
      <c r="I652" s="8">
        <f>IF($A652="","", SUMIFS($D$2:$D$801,$A$2:$A$801,$A652) - SUMIFS($E$2:$E$801,$A$2:$A$801,$A652))</f>
        <v/>
      </c>
      <c r="J652">
        <f>IF($F652="Paid",0, IF($C652="","", MAX(0, TODAY()-$C652)))</f>
        <v/>
      </c>
    </row>
    <row r="653">
      <c r="C653" s="6">
        <f>IF(AND($A653&lt;&gt;"",$B653&lt;&gt;""), XLOOKUP($A653,Loan_Register!$A$2:$A$301,Loan_Register!$M$2:$M$301,"") + 7*($B653-1), "")</f>
        <v/>
      </c>
      <c r="D653" s="8">
        <f>IF($A653&lt;&gt;"", XLOOKUP($A653,Loan_Register!$A$2:$A$301,Loan_Register!$N$2:$N$301,""), "")</f>
        <v/>
      </c>
      <c r="E653" s="8" t="n"/>
      <c r="F653">
        <f>IF($A653="","", IF($E653&gt;=$D653,"Paid", IF(TODAY()&gt;$C653,"Overdue","Pending")))</f>
        <v/>
      </c>
      <c r="G653" s="6" t="n"/>
      <c r="I653" s="8">
        <f>IF($A653="","", SUMIFS($D$2:$D$801,$A$2:$A$801,$A653) - SUMIFS($E$2:$E$801,$A$2:$A$801,$A653))</f>
        <v/>
      </c>
      <c r="J653">
        <f>IF($F653="Paid",0, IF($C653="","", MAX(0, TODAY()-$C653)))</f>
        <v/>
      </c>
    </row>
    <row r="654">
      <c r="C654" s="6">
        <f>IF(AND($A654&lt;&gt;"",$B654&lt;&gt;""), XLOOKUP($A654,Loan_Register!$A$2:$A$301,Loan_Register!$M$2:$M$301,"") + 7*($B654-1), "")</f>
        <v/>
      </c>
      <c r="D654" s="8">
        <f>IF($A654&lt;&gt;"", XLOOKUP($A654,Loan_Register!$A$2:$A$301,Loan_Register!$N$2:$N$301,""), "")</f>
        <v/>
      </c>
      <c r="E654" s="8" t="n"/>
      <c r="F654">
        <f>IF($A654="","", IF($E654&gt;=$D654,"Paid", IF(TODAY()&gt;$C654,"Overdue","Pending")))</f>
        <v/>
      </c>
      <c r="G654" s="6" t="n"/>
      <c r="I654" s="8">
        <f>IF($A654="","", SUMIFS($D$2:$D$801,$A$2:$A$801,$A654) - SUMIFS($E$2:$E$801,$A$2:$A$801,$A654))</f>
        <v/>
      </c>
      <c r="J654">
        <f>IF($F654="Paid",0, IF($C654="","", MAX(0, TODAY()-$C654)))</f>
        <v/>
      </c>
    </row>
    <row r="655">
      <c r="C655" s="6">
        <f>IF(AND($A655&lt;&gt;"",$B655&lt;&gt;""), XLOOKUP($A655,Loan_Register!$A$2:$A$301,Loan_Register!$M$2:$M$301,"") + 7*($B655-1), "")</f>
        <v/>
      </c>
      <c r="D655" s="8">
        <f>IF($A655&lt;&gt;"", XLOOKUP($A655,Loan_Register!$A$2:$A$301,Loan_Register!$N$2:$N$301,""), "")</f>
        <v/>
      </c>
      <c r="E655" s="8" t="n"/>
      <c r="F655">
        <f>IF($A655="","", IF($E655&gt;=$D655,"Paid", IF(TODAY()&gt;$C655,"Overdue","Pending")))</f>
        <v/>
      </c>
      <c r="G655" s="6" t="n"/>
      <c r="I655" s="8">
        <f>IF($A655="","", SUMIFS($D$2:$D$801,$A$2:$A$801,$A655) - SUMIFS($E$2:$E$801,$A$2:$A$801,$A655))</f>
        <v/>
      </c>
      <c r="J655">
        <f>IF($F655="Paid",0, IF($C655="","", MAX(0, TODAY()-$C655)))</f>
        <v/>
      </c>
    </row>
    <row r="656">
      <c r="C656" s="6">
        <f>IF(AND($A656&lt;&gt;"",$B656&lt;&gt;""), XLOOKUP($A656,Loan_Register!$A$2:$A$301,Loan_Register!$M$2:$M$301,"") + 7*($B656-1), "")</f>
        <v/>
      </c>
      <c r="D656" s="8">
        <f>IF($A656&lt;&gt;"", XLOOKUP($A656,Loan_Register!$A$2:$A$301,Loan_Register!$N$2:$N$301,""), "")</f>
        <v/>
      </c>
      <c r="E656" s="8" t="n"/>
      <c r="F656">
        <f>IF($A656="","", IF($E656&gt;=$D656,"Paid", IF(TODAY()&gt;$C656,"Overdue","Pending")))</f>
        <v/>
      </c>
      <c r="G656" s="6" t="n"/>
      <c r="I656" s="8">
        <f>IF($A656="","", SUMIFS($D$2:$D$801,$A$2:$A$801,$A656) - SUMIFS($E$2:$E$801,$A$2:$A$801,$A656))</f>
        <v/>
      </c>
      <c r="J656">
        <f>IF($F656="Paid",0, IF($C656="","", MAX(0, TODAY()-$C656)))</f>
        <v/>
      </c>
    </row>
    <row r="657">
      <c r="C657" s="6">
        <f>IF(AND($A657&lt;&gt;"",$B657&lt;&gt;""), XLOOKUP($A657,Loan_Register!$A$2:$A$301,Loan_Register!$M$2:$M$301,"") + 7*($B657-1), "")</f>
        <v/>
      </c>
      <c r="D657" s="8">
        <f>IF($A657&lt;&gt;"", XLOOKUP($A657,Loan_Register!$A$2:$A$301,Loan_Register!$N$2:$N$301,""), "")</f>
        <v/>
      </c>
      <c r="E657" s="8" t="n"/>
      <c r="F657">
        <f>IF($A657="","", IF($E657&gt;=$D657,"Paid", IF(TODAY()&gt;$C657,"Overdue","Pending")))</f>
        <v/>
      </c>
      <c r="G657" s="6" t="n"/>
      <c r="I657" s="8">
        <f>IF($A657="","", SUMIFS($D$2:$D$801,$A$2:$A$801,$A657) - SUMIFS($E$2:$E$801,$A$2:$A$801,$A657))</f>
        <v/>
      </c>
      <c r="J657">
        <f>IF($F657="Paid",0, IF($C657="","", MAX(0, TODAY()-$C657)))</f>
        <v/>
      </c>
    </row>
    <row r="658">
      <c r="C658" s="6">
        <f>IF(AND($A658&lt;&gt;"",$B658&lt;&gt;""), XLOOKUP($A658,Loan_Register!$A$2:$A$301,Loan_Register!$M$2:$M$301,"") + 7*($B658-1), "")</f>
        <v/>
      </c>
      <c r="D658" s="8">
        <f>IF($A658&lt;&gt;"", XLOOKUP($A658,Loan_Register!$A$2:$A$301,Loan_Register!$N$2:$N$301,""), "")</f>
        <v/>
      </c>
      <c r="E658" s="8" t="n"/>
      <c r="F658">
        <f>IF($A658="","", IF($E658&gt;=$D658,"Paid", IF(TODAY()&gt;$C658,"Overdue","Pending")))</f>
        <v/>
      </c>
      <c r="G658" s="6" t="n"/>
      <c r="I658" s="8">
        <f>IF($A658="","", SUMIFS($D$2:$D$801,$A$2:$A$801,$A658) - SUMIFS($E$2:$E$801,$A$2:$A$801,$A658))</f>
        <v/>
      </c>
      <c r="J658">
        <f>IF($F658="Paid",0, IF($C658="","", MAX(0, TODAY()-$C658)))</f>
        <v/>
      </c>
    </row>
    <row r="659">
      <c r="C659" s="6">
        <f>IF(AND($A659&lt;&gt;"",$B659&lt;&gt;""), XLOOKUP($A659,Loan_Register!$A$2:$A$301,Loan_Register!$M$2:$M$301,"") + 7*($B659-1), "")</f>
        <v/>
      </c>
      <c r="D659" s="8">
        <f>IF($A659&lt;&gt;"", XLOOKUP($A659,Loan_Register!$A$2:$A$301,Loan_Register!$N$2:$N$301,""), "")</f>
        <v/>
      </c>
      <c r="E659" s="8" t="n"/>
      <c r="F659">
        <f>IF($A659="","", IF($E659&gt;=$D659,"Paid", IF(TODAY()&gt;$C659,"Overdue","Pending")))</f>
        <v/>
      </c>
      <c r="G659" s="6" t="n"/>
      <c r="I659" s="8">
        <f>IF($A659="","", SUMIFS($D$2:$D$801,$A$2:$A$801,$A659) - SUMIFS($E$2:$E$801,$A$2:$A$801,$A659))</f>
        <v/>
      </c>
      <c r="J659">
        <f>IF($F659="Paid",0, IF($C659="","", MAX(0, TODAY()-$C659)))</f>
        <v/>
      </c>
    </row>
    <row r="660">
      <c r="C660" s="6">
        <f>IF(AND($A660&lt;&gt;"",$B660&lt;&gt;""), XLOOKUP($A660,Loan_Register!$A$2:$A$301,Loan_Register!$M$2:$M$301,"") + 7*($B660-1), "")</f>
        <v/>
      </c>
      <c r="D660" s="8">
        <f>IF($A660&lt;&gt;"", XLOOKUP($A660,Loan_Register!$A$2:$A$301,Loan_Register!$N$2:$N$301,""), "")</f>
        <v/>
      </c>
      <c r="E660" s="8" t="n"/>
      <c r="F660">
        <f>IF($A660="","", IF($E660&gt;=$D660,"Paid", IF(TODAY()&gt;$C660,"Overdue","Pending")))</f>
        <v/>
      </c>
      <c r="G660" s="6" t="n"/>
      <c r="I660" s="8">
        <f>IF($A660="","", SUMIFS($D$2:$D$801,$A$2:$A$801,$A660) - SUMIFS($E$2:$E$801,$A$2:$A$801,$A660))</f>
        <v/>
      </c>
      <c r="J660">
        <f>IF($F660="Paid",0, IF($C660="","", MAX(0, TODAY()-$C660)))</f>
        <v/>
      </c>
    </row>
    <row r="661">
      <c r="C661" s="6">
        <f>IF(AND($A661&lt;&gt;"",$B661&lt;&gt;""), XLOOKUP($A661,Loan_Register!$A$2:$A$301,Loan_Register!$M$2:$M$301,"") + 7*($B661-1), "")</f>
        <v/>
      </c>
      <c r="D661" s="8">
        <f>IF($A661&lt;&gt;"", XLOOKUP($A661,Loan_Register!$A$2:$A$301,Loan_Register!$N$2:$N$301,""), "")</f>
        <v/>
      </c>
      <c r="E661" s="8" t="n"/>
      <c r="F661">
        <f>IF($A661="","", IF($E661&gt;=$D661,"Paid", IF(TODAY()&gt;$C661,"Overdue","Pending")))</f>
        <v/>
      </c>
      <c r="G661" s="6" t="n"/>
      <c r="I661" s="8">
        <f>IF($A661="","", SUMIFS($D$2:$D$801,$A$2:$A$801,$A661) - SUMIFS($E$2:$E$801,$A$2:$A$801,$A661))</f>
        <v/>
      </c>
      <c r="J661">
        <f>IF($F661="Paid",0, IF($C661="","", MAX(0, TODAY()-$C661)))</f>
        <v/>
      </c>
    </row>
    <row r="662">
      <c r="C662" s="6">
        <f>IF(AND($A662&lt;&gt;"",$B662&lt;&gt;""), XLOOKUP($A662,Loan_Register!$A$2:$A$301,Loan_Register!$M$2:$M$301,"") + 7*($B662-1), "")</f>
        <v/>
      </c>
      <c r="D662" s="8">
        <f>IF($A662&lt;&gt;"", XLOOKUP($A662,Loan_Register!$A$2:$A$301,Loan_Register!$N$2:$N$301,""), "")</f>
        <v/>
      </c>
      <c r="E662" s="8" t="n"/>
      <c r="F662">
        <f>IF($A662="","", IF($E662&gt;=$D662,"Paid", IF(TODAY()&gt;$C662,"Overdue","Pending")))</f>
        <v/>
      </c>
      <c r="G662" s="6" t="n"/>
      <c r="I662" s="8">
        <f>IF($A662="","", SUMIFS($D$2:$D$801,$A$2:$A$801,$A662) - SUMIFS($E$2:$E$801,$A$2:$A$801,$A662))</f>
        <v/>
      </c>
      <c r="J662">
        <f>IF($F662="Paid",0, IF($C662="","", MAX(0, TODAY()-$C662)))</f>
        <v/>
      </c>
    </row>
    <row r="663">
      <c r="C663" s="6">
        <f>IF(AND($A663&lt;&gt;"",$B663&lt;&gt;""), XLOOKUP($A663,Loan_Register!$A$2:$A$301,Loan_Register!$M$2:$M$301,"") + 7*($B663-1), "")</f>
        <v/>
      </c>
      <c r="D663" s="8">
        <f>IF($A663&lt;&gt;"", XLOOKUP($A663,Loan_Register!$A$2:$A$301,Loan_Register!$N$2:$N$301,""), "")</f>
        <v/>
      </c>
      <c r="E663" s="8" t="n"/>
      <c r="F663">
        <f>IF($A663="","", IF($E663&gt;=$D663,"Paid", IF(TODAY()&gt;$C663,"Overdue","Pending")))</f>
        <v/>
      </c>
      <c r="G663" s="6" t="n"/>
      <c r="I663" s="8">
        <f>IF($A663="","", SUMIFS($D$2:$D$801,$A$2:$A$801,$A663) - SUMIFS($E$2:$E$801,$A$2:$A$801,$A663))</f>
        <v/>
      </c>
      <c r="J663">
        <f>IF($F663="Paid",0, IF($C663="","", MAX(0, TODAY()-$C663)))</f>
        <v/>
      </c>
    </row>
    <row r="664">
      <c r="C664" s="6">
        <f>IF(AND($A664&lt;&gt;"",$B664&lt;&gt;""), XLOOKUP($A664,Loan_Register!$A$2:$A$301,Loan_Register!$M$2:$M$301,"") + 7*($B664-1), "")</f>
        <v/>
      </c>
      <c r="D664" s="8">
        <f>IF($A664&lt;&gt;"", XLOOKUP($A664,Loan_Register!$A$2:$A$301,Loan_Register!$N$2:$N$301,""), "")</f>
        <v/>
      </c>
      <c r="E664" s="8" t="n"/>
      <c r="F664">
        <f>IF($A664="","", IF($E664&gt;=$D664,"Paid", IF(TODAY()&gt;$C664,"Overdue","Pending")))</f>
        <v/>
      </c>
      <c r="G664" s="6" t="n"/>
      <c r="I664" s="8">
        <f>IF($A664="","", SUMIFS($D$2:$D$801,$A$2:$A$801,$A664) - SUMIFS($E$2:$E$801,$A$2:$A$801,$A664))</f>
        <v/>
      </c>
      <c r="J664">
        <f>IF($F664="Paid",0, IF($C664="","", MAX(0, TODAY()-$C664)))</f>
        <v/>
      </c>
    </row>
    <row r="665">
      <c r="C665" s="6">
        <f>IF(AND($A665&lt;&gt;"",$B665&lt;&gt;""), XLOOKUP($A665,Loan_Register!$A$2:$A$301,Loan_Register!$M$2:$M$301,"") + 7*($B665-1), "")</f>
        <v/>
      </c>
      <c r="D665" s="8">
        <f>IF($A665&lt;&gt;"", XLOOKUP($A665,Loan_Register!$A$2:$A$301,Loan_Register!$N$2:$N$301,""), "")</f>
        <v/>
      </c>
      <c r="E665" s="8" t="n"/>
      <c r="F665">
        <f>IF($A665="","", IF($E665&gt;=$D665,"Paid", IF(TODAY()&gt;$C665,"Overdue","Pending")))</f>
        <v/>
      </c>
      <c r="G665" s="6" t="n"/>
      <c r="I665" s="8">
        <f>IF($A665="","", SUMIFS($D$2:$D$801,$A$2:$A$801,$A665) - SUMIFS($E$2:$E$801,$A$2:$A$801,$A665))</f>
        <v/>
      </c>
      <c r="J665">
        <f>IF($F665="Paid",0, IF($C665="","", MAX(0, TODAY()-$C665)))</f>
        <v/>
      </c>
    </row>
    <row r="666">
      <c r="C666" s="6">
        <f>IF(AND($A666&lt;&gt;"",$B666&lt;&gt;""), XLOOKUP($A666,Loan_Register!$A$2:$A$301,Loan_Register!$M$2:$M$301,"") + 7*($B666-1), "")</f>
        <v/>
      </c>
      <c r="D666" s="8">
        <f>IF($A666&lt;&gt;"", XLOOKUP($A666,Loan_Register!$A$2:$A$301,Loan_Register!$N$2:$N$301,""), "")</f>
        <v/>
      </c>
      <c r="E666" s="8" t="n"/>
      <c r="F666">
        <f>IF($A666="","", IF($E666&gt;=$D666,"Paid", IF(TODAY()&gt;$C666,"Overdue","Pending")))</f>
        <v/>
      </c>
      <c r="G666" s="6" t="n"/>
      <c r="I666" s="8">
        <f>IF($A666="","", SUMIFS($D$2:$D$801,$A$2:$A$801,$A666) - SUMIFS($E$2:$E$801,$A$2:$A$801,$A666))</f>
        <v/>
      </c>
      <c r="J666">
        <f>IF($F666="Paid",0, IF($C666="","", MAX(0, TODAY()-$C666)))</f>
        <v/>
      </c>
    </row>
    <row r="667">
      <c r="C667" s="6">
        <f>IF(AND($A667&lt;&gt;"",$B667&lt;&gt;""), XLOOKUP($A667,Loan_Register!$A$2:$A$301,Loan_Register!$M$2:$M$301,"") + 7*($B667-1), "")</f>
        <v/>
      </c>
      <c r="D667" s="8">
        <f>IF($A667&lt;&gt;"", XLOOKUP($A667,Loan_Register!$A$2:$A$301,Loan_Register!$N$2:$N$301,""), "")</f>
        <v/>
      </c>
      <c r="E667" s="8" t="n"/>
      <c r="F667">
        <f>IF($A667="","", IF($E667&gt;=$D667,"Paid", IF(TODAY()&gt;$C667,"Overdue","Pending")))</f>
        <v/>
      </c>
      <c r="G667" s="6" t="n"/>
      <c r="I667" s="8">
        <f>IF($A667="","", SUMIFS($D$2:$D$801,$A$2:$A$801,$A667) - SUMIFS($E$2:$E$801,$A$2:$A$801,$A667))</f>
        <v/>
      </c>
      <c r="J667">
        <f>IF($F667="Paid",0, IF($C667="","", MAX(0, TODAY()-$C667)))</f>
        <v/>
      </c>
    </row>
    <row r="668">
      <c r="C668" s="6">
        <f>IF(AND($A668&lt;&gt;"",$B668&lt;&gt;""), XLOOKUP($A668,Loan_Register!$A$2:$A$301,Loan_Register!$M$2:$M$301,"") + 7*($B668-1), "")</f>
        <v/>
      </c>
      <c r="D668" s="8">
        <f>IF($A668&lt;&gt;"", XLOOKUP($A668,Loan_Register!$A$2:$A$301,Loan_Register!$N$2:$N$301,""), "")</f>
        <v/>
      </c>
      <c r="E668" s="8" t="n"/>
      <c r="F668">
        <f>IF($A668="","", IF($E668&gt;=$D668,"Paid", IF(TODAY()&gt;$C668,"Overdue","Pending")))</f>
        <v/>
      </c>
      <c r="G668" s="6" t="n"/>
      <c r="I668" s="8">
        <f>IF($A668="","", SUMIFS($D$2:$D$801,$A$2:$A$801,$A668) - SUMIFS($E$2:$E$801,$A$2:$A$801,$A668))</f>
        <v/>
      </c>
      <c r="J668">
        <f>IF($F668="Paid",0, IF($C668="","", MAX(0, TODAY()-$C668)))</f>
        <v/>
      </c>
    </row>
    <row r="669">
      <c r="C669" s="6">
        <f>IF(AND($A669&lt;&gt;"",$B669&lt;&gt;""), XLOOKUP($A669,Loan_Register!$A$2:$A$301,Loan_Register!$M$2:$M$301,"") + 7*($B669-1), "")</f>
        <v/>
      </c>
      <c r="D669" s="8">
        <f>IF($A669&lt;&gt;"", XLOOKUP($A669,Loan_Register!$A$2:$A$301,Loan_Register!$N$2:$N$301,""), "")</f>
        <v/>
      </c>
      <c r="E669" s="8" t="n"/>
      <c r="F669">
        <f>IF($A669="","", IF($E669&gt;=$D669,"Paid", IF(TODAY()&gt;$C669,"Overdue","Pending")))</f>
        <v/>
      </c>
      <c r="G669" s="6" t="n"/>
      <c r="I669" s="8">
        <f>IF($A669="","", SUMIFS($D$2:$D$801,$A$2:$A$801,$A669) - SUMIFS($E$2:$E$801,$A$2:$A$801,$A669))</f>
        <v/>
      </c>
      <c r="J669">
        <f>IF($F669="Paid",0, IF($C669="","", MAX(0, TODAY()-$C669)))</f>
        <v/>
      </c>
    </row>
    <row r="670">
      <c r="C670" s="6">
        <f>IF(AND($A670&lt;&gt;"",$B670&lt;&gt;""), XLOOKUP($A670,Loan_Register!$A$2:$A$301,Loan_Register!$M$2:$M$301,"") + 7*($B670-1), "")</f>
        <v/>
      </c>
      <c r="D670" s="8">
        <f>IF($A670&lt;&gt;"", XLOOKUP($A670,Loan_Register!$A$2:$A$301,Loan_Register!$N$2:$N$301,""), "")</f>
        <v/>
      </c>
      <c r="E670" s="8" t="n"/>
      <c r="F670">
        <f>IF($A670="","", IF($E670&gt;=$D670,"Paid", IF(TODAY()&gt;$C670,"Overdue","Pending")))</f>
        <v/>
      </c>
      <c r="G670" s="6" t="n"/>
      <c r="I670" s="8">
        <f>IF($A670="","", SUMIFS($D$2:$D$801,$A$2:$A$801,$A670) - SUMIFS($E$2:$E$801,$A$2:$A$801,$A670))</f>
        <v/>
      </c>
      <c r="J670">
        <f>IF($F670="Paid",0, IF($C670="","", MAX(0, TODAY()-$C670)))</f>
        <v/>
      </c>
    </row>
    <row r="671">
      <c r="C671" s="6">
        <f>IF(AND($A671&lt;&gt;"",$B671&lt;&gt;""), XLOOKUP($A671,Loan_Register!$A$2:$A$301,Loan_Register!$M$2:$M$301,"") + 7*($B671-1), "")</f>
        <v/>
      </c>
      <c r="D671" s="8">
        <f>IF($A671&lt;&gt;"", XLOOKUP($A671,Loan_Register!$A$2:$A$301,Loan_Register!$N$2:$N$301,""), "")</f>
        <v/>
      </c>
      <c r="E671" s="8" t="n"/>
      <c r="F671">
        <f>IF($A671="","", IF($E671&gt;=$D671,"Paid", IF(TODAY()&gt;$C671,"Overdue","Pending")))</f>
        <v/>
      </c>
      <c r="G671" s="6" t="n"/>
      <c r="I671" s="8">
        <f>IF($A671="","", SUMIFS($D$2:$D$801,$A$2:$A$801,$A671) - SUMIFS($E$2:$E$801,$A$2:$A$801,$A671))</f>
        <v/>
      </c>
      <c r="J671">
        <f>IF($F671="Paid",0, IF($C671="","", MAX(0, TODAY()-$C671)))</f>
        <v/>
      </c>
    </row>
    <row r="672">
      <c r="C672" s="6">
        <f>IF(AND($A672&lt;&gt;"",$B672&lt;&gt;""), XLOOKUP($A672,Loan_Register!$A$2:$A$301,Loan_Register!$M$2:$M$301,"") + 7*($B672-1), "")</f>
        <v/>
      </c>
      <c r="D672" s="8">
        <f>IF($A672&lt;&gt;"", XLOOKUP($A672,Loan_Register!$A$2:$A$301,Loan_Register!$N$2:$N$301,""), "")</f>
        <v/>
      </c>
      <c r="E672" s="8" t="n"/>
      <c r="F672">
        <f>IF($A672="","", IF($E672&gt;=$D672,"Paid", IF(TODAY()&gt;$C672,"Overdue","Pending")))</f>
        <v/>
      </c>
      <c r="G672" s="6" t="n"/>
      <c r="I672" s="8">
        <f>IF($A672="","", SUMIFS($D$2:$D$801,$A$2:$A$801,$A672) - SUMIFS($E$2:$E$801,$A$2:$A$801,$A672))</f>
        <v/>
      </c>
      <c r="J672">
        <f>IF($F672="Paid",0, IF($C672="","", MAX(0, TODAY()-$C672)))</f>
        <v/>
      </c>
    </row>
    <row r="673">
      <c r="C673" s="6">
        <f>IF(AND($A673&lt;&gt;"",$B673&lt;&gt;""), XLOOKUP($A673,Loan_Register!$A$2:$A$301,Loan_Register!$M$2:$M$301,"") + 7*($B673-1), "")</f>
        <v/>
      </c>
      <c r="D673" s="8">
        <f>IF($A673&lt;&gt;"", XLOOKUP($A673,Loan_Register!$A$2:$A$301,Loan_Register!$N$2:$N$301,""), "")</f>
        <v/>
      </c>
      <c r="E673" s="8" t="n"/>
      <c r="F673">
        <f>IF($A673="","", IF($E673&gt;=$D673,"Paid", IF(TODAY()&gt;$C673,"Overdue","Pending")))</f>
        <v/>
      </c>
      <c r="G673" s="6" t="n"/>
      <c r="I673" s="8">
        <f>IF($A673="","", SUMIFS($D$2:$D$801,$A$2:$A$801,$A673) - SUMIFS($E$2:$E$801,$A$2:$A$801,$A673))</f>
        <v/>
      </c>
      <c r="J673">
        <f>IF($F673="Paid",0, IF($C673="","", MAX(0, TODAY()-$C673)))</f>
        <v/>
      </c>
    </row>
    <row r="674">
      <c r="C674" s="6">
        <f>IF(AND($A674&lt;&gt;"",$B674&lt;&gt;""), XLOOKUP($A674,Loan_Register!$A$2:$A$301,Loan_Register!$M$2:$M$301,"") + 7*($B674-1), "")</f>
        <v/>
      </c>
      <c r="D674" s="8">
        <f>IF($A674&lt;&gt;"", XLOOKUP($A674,Loan_Register!$A$2:$A$301,Loan_Register!$N$2:$N$301,""), "")</f>
        <v/>
      </c>
      <c r="E674" s="8" t="n"/>
      <c r="F674">
        <f>IF($A674="","", IF($E674&gt;=$D674,"Paid", IF(TODAY()&gt;$C674,"Overdue","Pending")))</f>
        <v/>
      </c>
      <c r="G674" s="6" t="n"/>
      <c r="I674" s="8">
        <f>IF($A674="","", SUMIFS($D$2:$D$801,$A$2:$A$801,$A674) - SUMIFS($E$2:$E$801,$A$2:$A$801,$A674))</f>
        <v/>
      </c>
      <c r="J674">
        <f>IF($F674="Paid",0, IF($C674="","", MAX(0, TODAY()-$C674)))</f>
        <v/>
      </c>
    </row>
    <row r="675">
      <c r="C675" s="6">
        <f>IF(AND($A675&lt;&gt;"",$B675&lt;&gt;""), XLOOKUP($A675,Loan_Register!$A$2:$A$301,Loan_Register!$M$2:$M$301,"") + 7*($B675-1), "")</f>
        <v/>
      </c>
      <c r="D675" s="8">
        <f>IF($A675&lt;&gt;"", XLOOKUP($A675,Loan_Register!$A$2:$A$301,Loan_Register!$N$2:$N$301,""), "")</f>
        <v/>
      </c>
      <c r="E675" s="8" t="n"/>
      <c r="F675">
        <f>IF($A675="","", IF($E675&gt;=$D675,"Paid", IF(TODAY()&gt;$C675,"Overdue","Pending")))</f>
        <v/>
      </c>
      <c r="G675" s="6" t="n"/>
      <c r="I675" s="8">
        <f>IF($A675="","", SUMIFS($D$2:$D$801,$A$2:$A$801,$A675) - SUMIFS($E$2:$E$801,$A$2:$A$801,$A675))</f>
        <v/>
      </c>
      <c r="J675">
        <f>IF($F675="Paid",0, IF($C675="","", MAX(0, TODAY()-$C675)))</f>
        <v/>
      </c>
    </row>
    <row r="676">
      <c r="C676" s="6">
        <f>IF(AND($A676&lt;&gt;"",$B676&lt;&gt;""), XLOOKUP($A676,Loan_Register!$A$2:$A$301,Loan_Register!$M$2:$M$301,"") + 7*($B676-1), "")</f>
        <v/>
      </c>
      <c r="D676" s="8">
        <f>IF($A676&lt;&gt;"", XLOOKUP($A676,Loan_Register!$A$2:$A$301,Loan_Register!$N$2:$N$301,""), "")</f>
        <v/>
      </c>
      <c r="E676" s="8" t="n"/>
      <c r="F676">
        <f>IF($A676="","", IF($E676&gt;=$D676,"Paid", IF(TODAY()&gt;$C676,"Overdue","Pending")))</f>
        <v/>
      </c>
      <c r="G676" s="6" t="n"/>
      <c r="I676" s="8">
        <f>IF($A676="","", SUMIFS($D$2:$D$801,$A$2:$A$801,$A676) - SUMIFS($E$2:$E$801,$A$2:$A$801,$A676))</f>
        <v/>
      </c>
      <c r="J676">
        <f>IF($F676="Paid",0, IF($C676="","", MAX(0, TODAY()-$C676)))</f>
        <v/>
      </c>
    </row>
    <row r="677">
      <c r="C677" s="6">
        <f>IF(AND($A677&lt;&gt;"",$B677&lt;&gt;""), XLOOKUP($A677,Loan_Register!$A$2:$A$301,Loan_Register!$M$2:$M$301,"") + 7*($B677-1), "")</f>
        <v/>
      </c>
      <c r="D677" s="8">
        <f>IF($A677&lt;&gt;"", XLOOKUP($A677,Loan_Register!$A$2:$A$301,Loan_Register!$N$2:$N$301,""), "")</f>
        <v/>
      </c>
      <c r="E677" s="8" t="n"/>
      <c r="F677">
        <f>IF($A677="","", IF($E677&gt;=$D677,"Paid", IF(TODAY()&gt;$C677,"Overdue","Pending")))</f>
        <v/>
      </c>
      <c r="G677" s="6" t="n"/>
      <c r="I677" s="8">
        <f>IF($A677="","", SUMIFS($D$2:$D$801,$A$2:$A$801,$A677) - SUMIFS($E$2:$E$801,$A$2:$A$801,$A677))</f>
        <v/>
      </c>
      <c r="J677">
        <f>IF($F677="Paid",0, IF($C677="","", MAX(0, TODAY()-$C677)))</f>
        <v/>
      </c>
    </row>
    <row r="678">
      <c r="C678" s="6">
        <f>IF(AND($A678&lt;&gt;"",$B678&lt;&gt;""), XLOOKUP($A678,Loan_Register!$A$2:$A$301,Loan_Register!$M$2:$M$301,"") + 7*($B678-1), "")</f>
        <v/>
      </c>
      <c r="D678" s="8">
        <f>IF($A678&lt;&gt;"", XLOOKUP($A678,Loan_Register!$A$2:$A$301,Loan_Register!$N$2:$N$301,""), "")</f>
        <v/>
      </c>
      <c r="E678" s="8" t="n"/>
      <c r="F678">
        <f>IF($A678="","", IF($E678&gt;=$D678,"Paid", IF(TODAY()&gt;$C678,"Overdue","Pending")))</f>
        <v/>
      </c>
      <c r="G678" s="6" t="n"/>
      <c r="I678" s="8">
        <f>IF($A678="","", SUMIFS($D$2:$D$801,$A$2:$A$801,$A678) - SUMIFS($E$2:$E$801,$A$2:$A$801,$A678))</f>
        <v/>
      </c>
      <c r="J678">
        <f>IF($F678="Paid",0, IF($C678="","", MAX(0, TODAY()-$C678)))</f>
        <v/>
      </c>
    </row>
    <row r="679">
      <c r="C679" s="6">
        <f>IF(AND($A679&lt;&gt;"",$B679&lt;&gt;""), XLOOKUP($A679,Loan_Register!$A$2:$A$301,Loan_Register!$M$2:$M$301,"") + 7*($B679-1), "")</f>
        <v/>
      </c>
      <c r="D679" s="8">
        <f>IF($A679&lt;&gt;"", XLOOKUP($A679,Loan_Register!$A$2:$A$301,Loan_Register!$N$2:$N$301,""), "")</f>
        <v/>
      </c>
      <c r="E679" s="8" t="n"/>
      <c r="F679">
        <f>IF($A679="","", IF($E679&gt;=$D679,"Paid", IF(TODAY()&gt;$C679,"Overdue","Pending")))</f>
        <v/>
      </c>
      <c r="G679" s="6" t="n"/>
      <c r="I679" s="8">
        <f>IF($A679="","", SUMIFS($D$2:$D$801,$A$2:$A$801,$A679) - SUMIFS($E$2:$E$801,$A$2:$A$801,$A679))</f>
        <v/>
      </c>
      <c r="J679">
        <f>IF($F679="Paid",0, IF($C679="","", MAX(0, TODAY()-$C679)))</f>
        <v/>
      </c>
    </row>
    <row r="680">
      <c r="C680" s="6">
        <f>IF(AND($A680&lt;&gt;"",$B680&lt;&gt;""), XLOOKUP($A680,Loan_Register!$A$2:$A$301,Loan_Register!$M$2:$M$301,"") + 7*($B680-1), "")</f>
        <v/>
      </c>
      <c r="D680" s="8">
        <f>IF($A680&lt;&gt;"", XLOOKUP($A680,Loan_Register!$A$2:$A$301,Loan_Register!$N$2:$N$301,""), "")</f>
        <v/>
      </c>
      <c r="E680" s="8" t="n"/>
      <c r="F680">
        <f>IF($A680="","", IF($E680&gt;=$D680,"Paid", IF(TODAY()&gt;$C680,"Overdue","Pending")))</f>
        <v/>
      </c>
      <c r="G680" s="6" t="n"/>
      <c r="I680" s="8">
        <f>IF($A680="","", SUMIFS($D$2:$D$801,$A$2:$A$801,$A680) - SUMIFS($E$2:$E$801,$A$2:$A$801,$A680))</f>
        <v/>
      </c>
      <c r="J680">
        <f>IF($F680="Paid",0, IF($C680="","", MAX(0, TODAY()-$C680)))</f>
        <v/>
      </c>
    </row>
    <row r="681">
      <c r="C681" s="6">
        <f>IF(AND($A681&lt;&gt;"",$B681&lt;&gt;""), XLOOKUP($A681,Loan_Register!$A$2:$A$301,Loan_Register!$M$2:$M$301,"") + 7*($B681-1), "")</f>
        <v/>
      </c>
      <c r="D681" s="8">
        <f>IF($A681&lt;&gt;"", XLOOKUP($A681,Loan_Register!$A$2:$A$301,Loan_Register!$N$2:$N$301,""), "")</f>
        <v/>
      </c>
      <c r="E681" s="8" t="n"/>
      <c r="F681">
        <f>IF($A681="","", IF($E681&gt;=$D681,"Paid", IF(TODAY()&gt;$C681,"Overdue","Pending")))</f>
        <v/>
      </c>
      <c r="G681" s="6" t="n"/>
      <c r="I681" s="8">
        <f>IF($A681="","", SUMIFS($D$2:$D$801,$A$2:$A$801,$A681) - SUMIFS($E$2:$E$801,$A$2:$A$801,$A681))</f>
        <v/>
      </c>
      <c r="J681">
        <f>IF($F681="Paid",0, IF($C681="","", MAX(0, TODAY()-$C681)))</f>
        <v/>
      </c>
    </row>
    <row r="682">
      <c r="C682" s="6">
        <f>IF(AND($A682&lt;&gt;"",$B682&lt;&gt;""), XLOOKUP($A682,Loan_Register!$A$2:$A$301,Loan_Register!$M$2:$M$301,"") + 7*($B682-1), "")</f>
        <v/>
      </c>
      <c r="D682" s="8">
        <f>IF($A682&lt;&gt;"", XLOOKUP($A682,Loan_Register!$A$2:$A$301,Loan_Register!$N$2:$N$301,""), "")</f>
        <v/>
      </c>
      <c r="E682" s="8" t="n"/>
      <c r="F682">
        <f>IF($A682="","", IF($E682&gt;=$D682,"Paid", IF(TODAY()&gt;$C682,"Overdue","Pending")))</f>
        <v/>
      </c>
      <c r="G682" s="6" t="n"/>
      <c r="I682" s="8">
        <f>IF($A682="","", SUMIFS($D$2:$D$801,$A$2:$A$801,$A682) - SUMIFS($E$2:$E$801,$A$2:$A$801,$A682))</f>
        <v/>
      </c>
      <c r="J682">
        <f>IF($F682="Paid",0, IF($C682="","", MAX(0, TODAY()-$C682)))</f>
        <v/>
      </c>
    </row>
    <row r="683">
      <c r="C683" s="6">
        <f>IF(AND($A683&lt;&gt;"",$B683&lt;&gt;""), XLOOKUP($A683,Loan_Register!$A$2:$A$301,Loan_Register!$M$2:$M$301,"") + 7*($B683-1), "")</f>
        <v/>
      </c>
      <c r="D683" s="8">
        <f>IF($A683&lt;&gt;"", XLOOKUP($A683,Loan_Register!$A$2:$A$301,Loan_Register!$N$2:$N$301,""), "")</f>
        <v/>
      </c>
      <c r="E683" s="8" t="n"/>
      <c r="F683">
        <f>IF($A683="","", IF($E683&gt;=$D683,"Paid", IF(TODAY()&gt;$C683,"Overdue","Pending")))</f>
        <v/>
      </c>
      <c r="G683" s="6" t="n"/>
      <c r="I683" s="8">
        <f>IF($A683="","", SUMIFS($D$2:$D$801,$A$2:$A$801,$A683) - SUMIFS($E$2:$E$801,$A$2:$A$801,$A683))</f>
        <v/>
      </c>
      <c r="J683">
        <f>IF($F683="Paid",0, IF($C683="","", MAX(0, TODAY()-$C683)))</f>
        <v/>
      </c>
    </row>
    <row r="684">
      <c r="C684" s="6">
        <f>IF(AND($A684&lt;&gt;"",$B684&lt;&gt;""), XLOOKUP($A684,Loan_Register!$A$2:$A$301,Loan_Register!$M$2:$M$301,"") + 7*($B684-1), "")</f>
        <v/>
      </c>
      <c r="D684" s="8">
        <f>IF($A684&lt;&gt;"", XLOOKUP($A684,Loan_Register!$A$2:$A$301,Loan_Register!$N$2:$N$301,""), "")</f>
        <v/>
      </c>
      <c r="E684" s="8" t="n"/>
      <c r="F684">
        <f>IF($A684="","", IF($E684&gt;=$D684,"Paid", IF(TODAY()&gt;$C684,"Overdue","Pending")))</f>
        <v/>
      </c>
      <c r="G684" s="6" t="n"/>
      <c r="I684" s="8">
        <f>IF($A684="","", SUMIFS($D$2:$D$801,$A$2:$A$801,$A684) - SUMIFS($E$2:$E$801,$A$2:$A$801,$A684))</f>
        <v/>
      </c>
      <c r="J684">
        <f>IF($F684="Paid",0, IF($C684="","", MAX(0, TODAY()-$C684)))</f>
        <v/>
      </c>
    </row>
    <row r="685">
      <c r="C685" s="6">
        <f>IF(AND($A685&lt;&gt;"",$B685&lt;&gt;""), XLOOKUP($A685,Loan_Register!$A$2:$A$301,Loan_Register!$M$2:$M$301,"") + 7*($B685-1), "")</f>
        <v/>
      </c>
      <c r="D685" s="8">
        <f>IF($A685&lt;&gt;"", XLOOKUP($A685,Loan_Register!$A$2:$A$301,Loan_Register!$N$2:$N$301,""), "")</f>
        <v/>
      </c>
      <c r="E685" s="8" t="n"/>
      <c r="F685">
        <f>IF($A685="","", IF($E685&gt;=$D685,"Paid", IF(TODAY()&gt;$C685,"Overdue","Pending")))</f>
        <v/>
      </c>
      <c r="G685" s="6" t="n"/>
      <c r="I685" s="8">
        <f>IF($A685="","", SUMIFS($D$2:$D$801,$A$2:$A$801,$A685) - SUMIFS($E$2:$E$801,$A$2:$A$801,$A685))</f>
        <v/>
      </c>
      <c r="J685">
        <f>IF($F685="Paid",0, IF($C685="","", MAX(0, TODAY()-$C685)))</f>
        <v/>
      </c>
    </row>
    <row r="686">
      <c r="C686" s="6">
        <f>IF(AND($A686&lt;&gt;"",$B686&lt;&gt;""), XLOOKUP($A686,Loan_Register!$A$2:$A$301,Loan_Register!$M$2:$M$301,"") + 7*($B686-1), "")</f>
        <v/>
      </c>
      <c r="D686" s="8">
        <f>IF($A686&lt;&gt;"", XLOOKUP($A686,Loan_Register!$A$2:$A$301,Loan_Register!$N$2:$N$301,""), "")</f>
        <v/>
      </c>
      <c r="E686" s="8" t="n"/>
      <c r="F686">
        <f>IF($A686="","", IF($E686&gt;=$D686,"Paid", IF(TODAY()&gt;$C686,"Overdue","Pending")))</f>
        <v/>
      </c>
      <c r="G686" s="6" t="n"/>
      <c r="I686" s="8">
        <f>IF($A686="","", SUMIFS($D$2:$D$801,$A$2:$A$801,$A686) - SUMIFS($E$2:$E$801,$A$2:$A$801,$A686))</f>
        <v/>
      </c>
      <c r="J686">
        <f>IF($F686="Paid",0, IF($C686="","", MAX(0, TODAY()-$C686)))</f>
        <v/>
      </c>
    </row>
    <row r="687">
      <c r="C687" s="6">
        <f>IF(AND($A687&lt;&gt;"",$B687&lt;&gt;""), XLOOKUP($A687,Loan_Register!$A$2:$A$301,Loan_Register!$M$2:$M$301,"") + 7*($B687-1), "")</f>
        <v/>
      </c>
      <c r="D687" s="8">
        <f>IF($A687&lt;&gt;"", XLOOKUP($A687,Loan_Register!$A$2:$A$301,Loan_Register!$N$2:$N$301,""), "")</f>
        <v/>
      </c>
      <c r="E687" s="8" t="n"/>
      <c r="F687">
        <f>IF($A687="","", IF($E687&gt;=$D687,"Paid", IF(TODAY()&gt;$C687,"Overdue","Pending")))</f>
        <v/>
      </c>
      <c r="G687" s="6" t="n"/>
      <c r="I687" s="8">
        <f>IF($A687="","", SUMIFS($D$2:$D$801,$A$2:$A$801,$A687) - SUMIFS($E$2:$E$801,$A$2:$A$801,$A687))</f>
        <v/>
      </c>
      <c r="J687">
        <f>IF($F687="Paid",0, IF($C687="","", MAX(0, TODAY()-$C687)))</f>
        <v/>
      </c>
    </row>
    <row r="688">
      <c r="C688" s="6">
        <f>IF(AND($A688&lt;&gt;"",$B688&lt;&gt;""), XLOOKUP($A688,Loan_Register!$A$2:$A$301,Loan_Register!$M$2:$M$301,"") + 7*($B688-1), "")</f>
        <v/>
      </c>
      <c r="D688" s="8">
        <f>IF($A688&lt;&gt;"", XLOOKUP($A688,Loan_Register!$A$2:$A$301,Loan_Register!$N$2:$N$301,""), "")</f>
        <v/>
      </c>
      <c r="E688" s="8" t="n"/>
      <c r="F688">
        <f>IF($A688="","", IF($E688&gt;=$D688,"Paid", IF(TODAY()&gt;$C688,"Overdue","Pending")))</f>
        <v/>
      </c>
      <c r="G688" s="6" t="n"/>
      <c r="I688" s="8">
        <f>IF($A688="","", SUMIFS($D$2:$D$801,$A$2:$A$801,$A688) - SUMIFS($E$2:$E$801,$A$2:$A$801,$A688))</f>
        <v/>
      </c>
      <c r="J688">
        <f>IF($F688="Paid",0, IF($C688="","", MAX(0, TODAY()-$C688)))</f>
        <v/>
      </c>
    </row>
    <row r="689">
      <c r="C689" s="6">
        <f>IF(AND($A689&lt;&gt;"",$B689&lt;&gt;""), XLOOKUP($A689,Loan_Register!$A$2:$A$301,Loan_Register!$M$2:$M$301,"") + 7*($B689-1), "")</f>
        <v/>
      </c>
      <c r="D689" s="8">
        <f>IF($A689&lt;&gt;"", XLOOKUP($A689,Loan_Register!$A$2:$A$301,Loan_Register!$N$2:$N$301,""), "")</f>
        <v/>
      </c>
      <c r="E689" s="8" t="n"/>
      <c r="F689">
        <f>IF($A689="","", IF($E689&gt;=$D689,"Paid", IF(TODAY()&gt;$C689,"Overdue","Pending")))</f>
        <v/>
      </c>
      <c r="G689" s="6" t="n"/>
      <c r="I689" s="8">
        <f>IF($A689="","", SUMIFS($D$2:$D$801,$A$2:$A$801,$A689) - SUMIFS($E$2:$E$801,$A$2:$A$801,$A689))</f>
        <v/>
      </c>
      <c r="J689">
        <f>IF($F689="Paid",0, IF($C689="","", MAX(0, TODAY()-$C689)))</f>
        <v/>
      </c>
    </row>
    <row r="690">
      <c r="C690" s="6">
        <f>IF(AND($A690&lt;&gt;"",$B690&lt;&gt;""), XLOOKUP($A690,Loan_Register!$A$2:$A$301,Loan_Register!$M$2:$M$301,"") + 7*($B690-1), "")</f>
        <v/>
      </c>
      <c r="D690" s="8">
        <f>IF($A690&lt;&gt;"", XLOOKUP($A690,Loan_Register!$A$2:$A$301,Loan_Register!$N$2:$N$301,""), "")</f>
        <v/>
      </c>
      <c r="E690" s="8" t="n"/>
      <c r="F690">
        <f>IF($A690="","", IF($E690&gt;=$D690,"Paid", IF(TODAY()&gt;$C690,"Overdue","Pending")))</f>
        <v/>
      </c>
      <c r="G690" s="6" t="n"/>
      <c r="I690" s="8">
        <f>IF($A690="","", SUMIFS($D$2:$D$801,$A$2:$A$801,$A690) - SUMIFS($E$2:$E$801,$A$2:$A$801,$A690))</f>
        <v/>
      </c>
      <c r="J690">
        <f>IF($F690="Paid",0, IF($C690="","", MAX(0, TODAY()-$C690)))</f>
        <v/>
      </c>
    </row>
    <row r="691">
      <c r="C691" s="6">
        <f>IF(AND($A691&lt;&gt;"",$B691&lt;&gt;""), XLOOKUP($A691,Loan_Register!$A$2:$A$301,Loan_Register!$M$2:$M$301,"") + 7*($B691-1), "")</f>
        <v/>
      </c>
      <c r="D691" s="8">
        <f>IF($A691&lt;&gt;"", XLOOKUP($A691,Loan_Register!$A$2:$A$301,Loan_Register!$N$2:$N$301,""), "")</f>
        <v/>
      </c>
      <c r="E691" s="8" t="n"/>
      <c r="F691">
        <f>IF($A691="","", IF($E691&gt;=$D691,"Paid", IF(TODAY()&gt;$C691,"Overdue","Pending")))</f>
        <v/>
      </c>
      <c r="G691" s="6" t="n"/>
      <c r="I691" s="8">
        <f>IF($A691="","", SUMIFS($D$2:$D$801,$A$2:$A$801,$A691) - SUMIFS($E$2:$E$801,$A$2:$A$801,$A691))</f>
        <v/>
      </c>
      <c r="J691">
        <f>IF($F691="Paid",0, IF($C691="","", MAX(0, TODAY()-$C691)))</f>
        <v/>
      </c>
    </row>
    <row r="692">
      <c r="C692" s="6">
        <f>IF(AND($A692&lt;&gt;"",$B692&lt;&gt;""), XLOOKUP($A692,Loan_Register!$A$2:$A$301,Loan_Register!$M$2:$M$301,"") + 7*($B692-1), "")</f>
        <v/>
      </c>
      <c r="D692" s="8">
        <f>IF($A692&lt;&gt;"", XLOOKUP($A692,Loan_Register!$A$2:$A$301,Loan_Register!$N$2:$N$301,""), "")</f>
        <v/>
      </c>
      <c r="E692" s="8" t="n"/>
      <c r="F692">
        <f>IF($A692="","", IF($E692&gt;=$D692,"Paid", IF(TODAY()&gt;$C692,"Overdue","Pending")))</f>
        <v/>
      </c>
      <c r="G692" s="6" t="n"/>
      <c r="I692" s="8">
        <f>IF($A692="","", SUMIFS($D$2:$D$801,$A$2:$A$801,$A692) - SUMIFS($E$2:$E$801,$A$2:$A$801,$A692))</f>
        <v/>
      </c>
      <c r="J692">
        <f>IF($F692="Paid",0, IF($C692="","", MAX(0, TODAY()-$C692)))</f>
        <v/>
      </c>
    </row>
    <row r="693">
      <c r="C693" s="6">
        <f>IF(AND($A693&lt;&gt;"",$B693&lt;&gt;""), XLOOKUP($A693,Loan_Register!$A$2:$A$301,Loan_Register!$M$2:$M$301,"") + 7*($B693-1), "")</f>
        <v/>
      </c>
      <c r="D693" s="8">
        <f>IF($A693&lt;&gt;"", XLOOKUP($A693,Loan_Register!$A$2:$A$301,Loan_Register!$N$2:$N$301,""), "")</f>
        <v/>
      </c>
      <c r="E693" s="8" t="n"/>
      <c r="F693">
        <f>IF($A693="","", IF($E693&gt;=$D693,"Paid", IF(TODAY()&gt;$C693,"Overdue","Pending")))</f>
        <v/>
      </c>
      <c r="G693" s="6" t="n"/>
      <c r="I693" s="8">
        <f>IF($A693="","", SUMIFS($D$2:$D$801,$A$2:$A$801,$A693) - SUMIFS($E$2:$E$801,$A$2:$A$801,$A693))</f>
        <v/>
      </c>
      <c r="J693">
        <f>IF($F693="Paid",0, IF($C693="","", MAX(0, TODAY()-$C693)))</f>
        <v/>
      </c>
    </row>
    <row r="694">
      <c r="C694" s="6">
        <f>IF(AND($A694&lt;&gt;"",$B694&lt;&gt;""), XLOOKUP($A694,Loan_Register!$A$2:$A$301,Loan_Register!$M$2:$M$301,"") + 7*($B694-1), "")</f>
        <v/>
      </c>
      <c r="D694" s="8">
        <f>IF($A694&lt;&gt;"", XLOOKUP($A694,Loan_Register!$A$2:$A$301,Loan_Register!$N$2:$N$301,""), "")</f>
        <v/>
      </c>
      <c r="E694" s="8" t="n"/>
      <c r="F694">
        <f>IF($A694="","", IF($E694&gt;=$D694,"Paid", IF(TODAY()&gt;$C694,"Overdue","Pending")))</f>
        <v/>
      </c>
      <c r="G694" s="6" t="n"/>
      <c r="I694" s="8">
        <f>IF($A694="","", SUMIFS($D$2:$D$801,$A$2:$A$801,$A694) - SUMIFS($E$2:$E$801,$A$2:$A$801,$A694))</f>
        <v/>
      </c>
      <c r="J694">
        <f>IF($F694="Paid",0, IF($C694="","", MAX(0, TODAY()-$C694)))</f>
        <v/>
      </c>
    </row>
    <row r="695">
      <c r="C695" s="6">
        <f>IF(AND($A695&lt;&gt;"",$B695&lt;&gt;""), XLOOKUP($A695,Loan_Register!$A$2:$A$301,Loan_Register!$M$2:$M$301,"") + 7*($B695-1), "")</f>
        <v/>
      </c>
      <c r="D695" s="8">
        <f>IF($A695&lt;&gt;"", XLOOKUP($A695,Loan_Register!$A$2:$A$301,Loan_Register!$N$2:$N$301,""), "")</f>
        <v/>
      </c>
      <c r="E695" s="8" t="n"/>
      <c r="F695">
        <f>IF($A695="","", IF($E695&gt;=$D695,"Paid", IF(TODAY()&gt;$C695,"Overdue","Pending")))</f>
        <v/>
      </c>
      <c r="G695" s="6" t="n"/>
      <c r="I695" s="8">
        <f>IF($A695="","", SUMIFS($D$2:$D$801,$A$2:$A$801,$A695) - SUMIFS($E$2:$E$801,$A$2:$A$801,$A695))</f>
        <v/>
      </c>
      <c r="J695">
        <f>IF($F695="Paid",0, IF($C695="","", MAX(0, TODAY()-$C695)))</f>
        <v/>
      </c>
    </row>
    <row r="696">
      <c r="C696" s="6">
        <f>IF(AND($A696&lt;&gt;"",$B696&lt;&gt;""), XLOOKUP($A696,Loan_Register!$A$2:$A$301,Loan_Register!$M$2:$M$301,"") + 7*($B696-1), "")</f>
        <v/>
      </c>
      <c r="D696" s="8">
        <f>IF($A696&lt;&gt;"", XLOOKUP($A696,Loan_Register!$A$2:$A$301,Loan_Register!$N$2:$N$301,""), "")</f>
        <v/>
      </c>
      <c r="E696" s="8" t="n"/>
      <c r="F696">
        <f>IF($A696="","", IF($E696&gt;=$D696,"Paid", IF(TODAY()&gt;$C696,"Overdue","Pending")))</f>
        <v/>
      </c>
      <c r="G696" s="6" t="n"/>
      <c r="I696" s="8">
        <f>IF($A696="","", SUMIFS($D$2:$D$801,$A$2:$A$801,$A696) - SUMIFS($E$2:$E$801,$A$2:$A$801,$A696))</f>
        <v/>
      </c>
      <c r="J696">
        <f>IF($F696="Paid",0, IF($C696="","", MAX(0, TODAY()-$C696)))</f>
        <v/>
      </c>
    </row>
    <row r="697">
      <c r="C697" s="6">
        <f>IF(AND($A697&lt;&gt;"",$B697&lt;&gt;""), XLOOKUP($A697,Loan_Register!$A$2:$A$301,Loan_Register!$M$2:$M$301,"") + 7*($B697-1), "")</f>
        <v/>
      </c>
      <c r="D697" s="8">
        <f>IF($A697&lt;&gt;"", XLOOKUP($A697,Loan_Register!$A$2:$A$301,Loan_Register!$N$2:$N$301,""), "")</f>
        <v/>
      </c>
      <c r="E697" s="8" t="n"/>
      <c r="F697">
        <f>IF($A697="","", IF($E697&gt;=$D697,"Paid", IF(TODAY()&gt;$C697,"Overdue","Pending")))</f>
        <v/>
      </c>
      <c r="G697" s="6" t="n"/>
      <c r="I697" s="8">
        <f>IF($A697="","", SUMIFS($D$2:$D$801,$A$2:$A$801,$A697) - SUMIFS($E$2:$E$801,$A$2:$A$801,$A697))</f>
        <v/>
      </c>
      <c r="J697">
        <f>IF($F697="Paid",0, IF($C697="","", MAX(0, TODAY()-$C697)))</f>
        <v/>
      </c>
    </row>
    <row r="698">
      <c r="C698" s="6">
        <f>IF(AND($A698&lt;&gt;"",$B698&lt;&gt;""), XLOOKUP($A698,Loan_Register!$A$2:$A$301,Loan_Register!$M$2:$M$301,"") + 7*($B698-1), "")</f>
        <v/>
      </c>
      <c r="D698" s="8">
        <f>IF($A698&lt;&gt;"", XLOOKUP($A698,Loan_Register!$A$2:$A$301,Loan_Register!$N$2:$N$301,""), "")</f>
        <v/>
      </c>
      <c r="E698" s="8" t="n"/>
      <c r="F698">
        <f>IF($A698="","", IF($E698&gt;=$D698,"Paid", IF(TODAY()&gt;$C698,"Overdue","Pending")))</f>
        <v/>
      </c>
      <c r="G698" s="6" t="n"/>
      <c r="I698" s="8">
        <f>IF($A698="","", SUMIFS($D$2:$D$801,$A$2:$A$801,$A698) - SUMIFS($E$2:$E$801,$A$2:$A$801,$A698))</f>
        <v/>
      </c>
      <c r="J698">
        <f>IF($F698="Paid",0, IF($C698="","", MAX(0, TODAY()-$C698)))</f>
        <v/>
      </c>
    </row>
    <row r="699">
      <c r="C699" s="6">
        <f>IF(AND($A699&lt;&gt;"",$B699&lt;&gt;""), XLOOKUP($A699,Loan_Register!$A$2:$A$301,Loan_Register!$M$2:$M$301,"") + 7*($B699-1), "")</f>
        <v/>
      </c>
      <c r="D699" s="8">
        <f>IF($A699&lt;&gt;"", XLOOKUP($A699,Loan_Register!$A$2:$A$301,Loan_Register!$N$2:$N$301,""), "")</f>
        <v/>
      </c>
      <c r="E699" s="8" t="n"/>
      <c r="F699">
        <f>IF($A699="","", IF($E699&gt;=$D699,"Paid", IF(TODAY()&gt;$C699,"Overdue","Pending")))</f>
        <v/>
      </c>
      <c r="G699" s="6" t="n"/>
      <c r="I699" s="8">
        <f>IF($A699="","", SUMIFS($D$2:$D$801,$A$2:$A$801,$A699) - SUMIFS($E$2:$E$801,$A$2:$A$801,$A699))</f>
        <v/>
      </c>
      <c r="J699">
        <f>IF($F699="Paid",0, IF($C699="","", MAX(0, TODAY()-$C699)))</f>
        <v/>
      </c>
    </row>
    <row r="700">
      <c r="C700" s="6">
        <f>IF(AND($A700&lt;&gt;"",$B700&lt;&gt;""), XLOOKUP($A700,Loan_Register!$A$2:$A$301,Loan_Register!$M$2:$M$301,"") + 7*($B700-1), "")</f>
        <v/>
      </c>
      <c r="D700" s="8">
        <f>IF($A700&lt;&gt;"", XLOOKUP($A700,Loan_Register!$A$2:$A$301,Loan_Register!$N$2:$N$301,""), "")</f>
        <v/>
      </c>
      <c r="E700" s="8" t="n"/>
      <c r="F700">
        <f>IF($A700="","", IF($E700&gt;=$D700,"Paid", IF(TODAY()&gt;$C700,"Overdue","Pending")))</f>
        <v/>
      </c>
      <c r="G700" s="6" t="n"/>
      <c r="I700" s="8">
        <f>IF($A700="","", SUMIFS($D$2:$D$801,$A$2:$A$801,$A700) - SUMIFS($E$2:$E$801,$A$2:$A$801,$A700))</f>
        <v/>
      </c>
      <c r="J700">
        <f>IF($F700="Paid",0, IF($C700="","", MAX(0, TODAY()-$C700)))</f>
        <v/>
      </c>
    </row>
    <row r="701">
      <c r="C701" s="6">
        <f>IF(AND($A701&lt;&gt;"",$B701&lt;&gt;""), XLOOKUP($A701,Loan_Register!$A$2:$A$301,Loan_Register!$M$2:$M$301,"") + 7*($B701-1), "")</f>
        <v/>
      </c>
      <c r="D701" s="8">
        <f>IF($A701&lt;&gt;"", XLOOKUP($A701,Loan_Register!$A$2:$A$301,Loan_Register!$N$2:$N$301,""), "")</f>
        <v/>
      </c>
      <c r="E701" s="8" t="n"/>
      <c r="F701">
        <f>IF($A701="","", IF($E701&gt;=$D701,"Paid", IF(TODAY()&gt;$C701,"Overdue","Pending")))</f>
        <v/>
      </c>
      <c r="G701" s="6" t="n"/>
      <c r="I701" s="8">
        <f>IF($A701="","", SUMIFS($D$2:$D$801,$A$2:$A$801,$A701) - SUMIFS($E$2:$E$801,$A$2:$A$801,$A701))</f>
        <v/>
      </c>
      <c r="J701">
        <f>IF($F701="Paid",0, IF($C701="","", MAX(0, TODAY()-$C701)))</f>
        <v/>
      </c>
    </row>
    <row r="702">
      <c r="C702" s="6">
        <f>IF(AND($A702&lt;&gt;"",$B702&lt;&gt;""), XLOOKUP($A702,Loan_Register!$A$2:$A$301,Loan_Register!$M$2:$M$301,"") + 7*($B702-1), "")</f>
        <v/>
      </c>
      <c r="D702" s="8">
        <f>IF($A702&lt;&gt;"", XLOOKUP($A702,Loan_Register!$A$2:$A$301,Loan_Register!$N$2:$N$301,""), "")</f>
        <v/>
      </c>
      <c r="E702" s="8" t="n"/>
      <c r="F702">
        <f>IF($A702="","", IF($E702&gt;=$D702,"Paid", IF(TODAY()&gt;$C702,"Overdue","Pending")))</f>
        <v/>
      </c>
      <c r="G702" s="6" t="n"/>
      <c r="I702" s="8">
        <f>IF($A702="","", SUMIFS($D$2:$D$801,$A$2:$A$801,$A702) - SUMIFS($E$2:$E$801,$A$2:$A$801,$A702))</f>
        <v/>
      </c>
      <c r="J702">
        <f>IF($F702="Paid",0, IF($C702="","", MAX(0, TODAY()-$C702)))</f>
        <v/>
      </c>
    </row>
    <row r="703">
      <c r="C703" s="6">
        <f>IF(AND($A703&lt;&gt;"",$B703&lt;&gt;""), XLOOKUP($A703,Loan_Register!$A$2:$A$301,Loan_Register!$M$2:$M$301,"") + 7*($B703-1), "")</f>
        <v/>
      </c>
      <c r="D703" s="8">
        <f>IF($A703&lt;&gt;"", XLOOKUP($A703,Loan_Register!$A$2:$A$301,Loan_Register!$N$2:$N$301,""), "")</f>
        <v/>
      </c>
      <c r="E703" s="8" t="n"/>
      <c r="F703">
        <f>IF($A703="","", IF($E703&gt;=$D703,"Paid", IF(TODAY()&gt;$C703,"Overdue","Pending")))</f>
        <v/>
      </c>
      <c r="G703" s="6" t="n"/>
      <c r="I703" s="8">
        <f>IF($A703="","", SUMIFS($D$2:$D$801,$A$2:$A$801,$A703) - SUMIFS($E$2:$E$801,$A$2:$A$801,$A703))</f>
        <v/>
      </c>
      <c r="J703">
        <f>IF($F703="Paid",0, IF($C703="","", MAX(0, TODAY()-$C703)))</f>
        <v/>
      </c>
    </row>
    <row r="704">
      <c r="C704" s="6">
        <f>IF(AND($A704&lt;&gt;"",$B704&lt;&gt;""), XLOOKUP($A704,Loan_Register!$A$2:$A$301,Loan_Register!$M$2:$M$301,"") + 7*($B704-1), "")</f>
        <v/>
      </c>
      <c r="D704" s="8">
        <f>IF($A704&lt;&gt;"", XLOOKUP($A704,Loan_Register!$A$2:$A$301,Loan_Register!$N$2:$N$301,""), "")</f>
        <v/>
      </c>
      <c r="E704" s="8" t="n"/>
      <c r="F704">
        <f>IF($A704="","", IF($E704&gt;=$D704,"Paid", IF(TODAY()&gt;$C704,"Overdue","Pending")))</f>
        <v/>
      </c>
      <c r="G704" s="6" t="n"/>
      <c r="I704" s="8">
        <f>IF($A704="","", SUMIFS($D$2:$D$801,$A$2:$A$801,$A704) - SUMIFS($E$2:$E$801,$A$2:$A$801,$A704))</f>
        <v/>
      </c>
      <c r="J704">
        <f>IF($F704="Paid",0, IF($C704="","", MAX(0, TODAY()-$C704)))</f>
        <v/>
      </c>
    </row>
    <row r="705">
      <c r="C705" s="6">
        <f>IF(AND($A705&lt;&gt;"",$B705&lt;&gt;""), XLOOKUP($A705,Loan_Register!$A$2:$A$301,Loan_Register!$M$2:$M$301,"") + 7*($B705-1), "")</f>
        <v/>
      </c>
      <c r="D705" s="8">
        <f>IF($A705&lt;&gt;"", XLOOKUP($A705,Loan_Register!$A$2:$A$301,Loan_Register!$N$2:$N$301,""), "")</f>
        <v/>
      </c>
      <c r="E705" s="8" t="n"/>
      <c r="F705">
        <f>IF($A705="","", IF($E705&gt;=$D705,"Paid", IF(TODAY()&gt;$C705,"Overdue","Pending")))</f>
        <v/>
      </c>
      <c r="G705" s="6" t="n"/>
      <c r="I705" s="8">
        <f>IF($A705="","", SUMIFS($D$2:$D$801,$A$2:$A$801,$A705) - SUMIFS($E$2:$E$801,$A$2:$A$801,$A705))</f>
        <v/>
      </c>
      <c r="J705">
        <f>IF($F705="Paid",0, IF($C705="","", MAX(0, TODAY()-$C705)))</f>
        <v/>
      </c>
    </row>
    <row r="706">
      <c r="C706" s="6">
        <f>IF(AND($A706&lt;&gt;"",$B706&lt;&gt;""), XLOOKUP($A706,Loan_Register!$A$2:$A$301,Loan_Register!$M$2:$M$301,"") + 7*($B706-1), "")</f>
        <v/>
      </c>
      <c r="D706" s="8">
        <f>IF($A706&lt;&gt;"", XLOOKUP($A706,Loan_Register!$A$2:$A$301,Loan_Register!$N$2:$N$301,""), "")</f>
        <v/>
      </c>
      <c r="E706" s="8" t="n"/>
      <c r="F706">
        <f>IF($A706="","", IF($E706&gt;=$D706,"Paid", IF(TODAY()&gt;$C706,"Overdue","Pending")))</f>
        <v/>
      </c>
      <c r="G706" s="6" t="n"/>
      <c r="I706" s="8">
        <f>IF($A706="","", SUMIFS($D$2:$D$801,$A$2:$A$801,$A706) - SUMIFS($E$2:$E$801,$A$2:$A$801,$A706))</f>
        <v/>
      </c>
      <c r="J706">
        <f>IF($F706="Paid",0, IF($C706="","", MAX(0, TODAY()-$C706)))</f>
        <v/>
      </c>
    </row>
    <row r="707">
      <c r="C707" s="6">
        <f>IF(AND($A707&lt;&gt;"",$B707&lt;&gt;""), XLOOKUP($A707,Loan_Register!$A$2:$A$301,Loan_Register!$M$2:$M$301,"") + 7*($B707-1), "")</f>
        <v/>
      </c>
      <c r="D707" s="8">
        <f>IF($A707&lt;&gt;"", XLOOKUP($A707,Loan_Register!$A$2:$A$301,Loan_Register!$N$2:$N$301,""), "")</f>
        <v/>
      </c>
      <c r="E707" s="8" t="n"/>
      <c r="F707">
        <f>IF($A707="","", IF($E707&gt;=$D707,"Paid", IF(TODAY()&gt;$C707,"Overdue","Pending")))</f>
        <v/>
      </c>
      <c r="G707" s="6" t="n"/>
      <c r="I707" s="8">
        <f>IF($A707="","", SUMIFS($D$2:$D$801,$A$2:$A$801,$A707) - SUMIFS($E$2:$E$801,$A$2:$A$801,$A707))</f>
        <v/>
      </c>
      <c r="J707">
        <f>IF($F707="Paid",0, IF($C707="","", MAX(0, TODAY()-$C707)))</f>
        <v/>
      </c>
    </row>
    <row r="708">
      <c r="C708" s="6">
        <f>IF(AND($A708&lt;&gt;"",$B708&lt;&gt;""), XLOOKUP($A708,Loan_Register!$A$2:$A$301,Loan_Register!$M$2:$M$301,"") + 7*($B708-1), "")</f>
        <v/>
      </c>
      <c r="D708" s="8">
        <f>IF($A708&lt;&gt;"", XLOOKUP($A708,Loan_Register!$A$2:$A$301,Loan_Register!$N$2:$N$301,""), "")</f>
        <v/>
      </c>
      <c r="E708" s="8" t="n"/>
      <c r="F708">
        <f>IF($A708="","", IF($E708&gt;=$D708,"Paid", IF(TODAY()&gt;$C708,"Overdue","Pending")))</f>
        <v/>
      </c>
      <c r="G708" s="6" t="n"/>
      <c r="I708" s="8">
        <f>IF($A708="","", SUMIFS($D$2:$D$801,$A$2:$A$801,$A708) - SUMIFS($E$2:$E$801,$A$2:$A$801,$A708))</f>
        <v/>
      </c>
      <c r="J708">
        <f>IF($F708="Paid",0, IF($C708="","", MAX(0, TODAY()-$C708)))</f>
        <v/>
      </c>
    </row>
    <row r="709">
      <c r="C709" s="6">
        <f>IF(AND($A709&lt;&gt;"",$B709&lt;&gt;""), XLOOKUP($A709,Loan_Register!$A$2:$A$301,Loan_Register!$M$2:$M$301,"") + 7*($B709-1), "")</f>
        <v/>
      </c>
      <c r="D709" s="8">
        <f>IF($A709&lt;&gt;"", XLOOKUP($A709,Loan_Register!$A$2:$A$301,Loan_Register!$N$2:$N$301,""), "")</f>
        <v/>
      </c>
      <c r="E709" s="8" t="n"/>
      <c r="F709">
        <f>IF($A709="","", IF($E709&gt;=$D709,"Paid", IF(TODAY()&gt;$C709,"Overdue","Pending")))</f>
        <v/>
      </c>
      <c r="G709" s="6" t="n"/>
      <c r="I709" s="8">
        <f>IF($A709="","", SUMIFS($D$2:$D$801,$A$2:$A$801,$A709) - SUMIFS($E$2:$E$801,$A$2:$A$801,$A709))</f>
        <v/>
      </c>
      <c r="J709">
        <f>IF($F709="Paid",0, IF($C709="","", MAX(0, TODAY()-$C709)))</f>
        <v/>
      </c>
    </row>
    <row r="710">
      <c r="C710" s="6">
        <f>IF(AND($A710&lt;&gt;"",$B710&lt;&gt;""), XLOOKUP($A710,Loan_Register!$A$2:$A$301,Loan_Register!$M$2:$M$301,"") + 7*($B710-1), "")</f>
        <v/>
      </c>
      <c r="D710" s="8">
        <f>IF($A710&lt;&gt;"", XLOOKUP($A710,Loan_Register!$A$2:$A$301,Loan_Register!$N$2:$N$301,""), "")</f>
        <v/>
      </c>
      <c r="E710" s="8" t="n"/>
      <c r="F710">
        <f>IF($A710="","", IF($E710&gt;=$D710,"Paid", IF(TODAY()&gt;$C710,"Overdue","Pending")))</f>
        <v/>
      </c>
      <c r="G710" s="6" t="n"/>
      <c r="I710" s="8">
        <f>IF($A710="","", SUMIFS($D$2:$D$801,$A$2:$A$801,$A710) - SUMIFS($E$2:$E$801,$A$2:$A$801,$A710))</f>
        <v/>
      </c>
      <c r="J710">
        <f>IF($F710="Paid",0, IF($C710="","", MAX(0, TODAY()-$C710)))</f>
        <v/>
      </c>
    </row>
    <row r="711">
      <c r="C711" s="6">
        <f>IF(AND($A711&lt;&gt;"",$B711&lt;&gt;""), XLOOKUP($A711,Loan_Register!$A$2:$A$301,Loan_Register!$M$2:$M$301,"") + 7*($B711-1), "")</f>
        <v/>
      </c>
      <c r="D711" s="8">
        <f>IF($A711&lt;&gt;"", XLOOKUP($A711,Loan_Register!$A$2:$A$301,Loan_Register!$N$2:$N$301,""), "")</f>
        <v/>
      </c>
      <c r="E711" s="8" t="n"/>
      <c r="F711">
        <f>IF($A711="","", IF($E711&gt;=$D711,"Paid", IF(TODAY()&gt;$C711,"Overdue","Pending")))</f>
        <v/>
      </c>
      <c r="G711" s="6" t="n"/>
      <c r="I711" s="8">
        <f>IF($A711="","", SUMIFS($D$2:$D$801,$A$2:$A$801,$A711) - SUMIFS($E$2:$E$801,$A$2:$A$801,$A711))</f>
        <v/>
      </c>
      <c r="J711">
        <f>IF($F711="Paid",0, IF($C711="","", MAX(0, TODAY()-$C711)))</f>
        <v/>
      </c>
    </row>
    <row r="712">
      <c r="C712" s="6">
        <f>IF(AND($A712&lt;&gt;"",$B712&lt;&gt;""), XLOOKUP($A712,Loan_Register!$A$2:$A$301,Loan_Register!$M$2:$M$301,"") + 7*($B712-1), "")</f>
        <v/>
      </c>
      <c r="D712" s="8">
        <f>IF($A712&lt;&gt;"", XLOOKUP($A712,Loan_Register!$A$2:$A$301,Loan_Register!$N$2:$N$301,""), "")</f>
        <v/>
      </c>
      <c r="E712" s="8" t="n"/>
      <c r="F712">
        <f>IF($A712="","", IF($E712&gt;=$D712,"Paid", IF(TODAY()&gt;$C712,"Overdue","Pending")))</f>
        <v/>
      </c>
      <c r="G712" s="6" t="n"/>
      <c r="I712" s="8">
        <f>IF($A712="","", SUMIFS($D$2:$D$801,$A$2:$A$801,$A712) - SUMIFS($E$2:$E$801,$A$2:$A$801,$A712))</f>
        <v/>
      </c>
      <c r="J712">
        <f>IF($F712="Paid",0, IF($C712="","", MAX(0, TODAY()-$C712)))</f>
        <v/>
      </c>
    </row>
    <row r="713">
      <c r="C713" s="6">
        <f>IF(AND($A713&lt;&gt;"",$B713&lt;&gt;""), XLOOKUP($A713,Loan_Register!$A$2:$A$301,Loan_Register!$M$2:$M$301,"") + 7*($B713-1), "")</f>
        <v/>
      </c>
      <c r="D713" s="8">
        <f>IF($A713&lt;&gt;"", XLOOKUP($A713,Loan_Register!$A$2:$A$301,Loan_Register!$N$2:$N$301,""), "")</f>
        <v/>
      </c>
      <c r="E713" s="8" t="n"/>
      <c r="F713">
        <f>IF($A713="","", IF($E713&gt;=$D713,"Paid", IF(TODAY()&gt;$C713,"Overdue","Pending")))</f>
        <v/>
      </c>
      <c r="G713" s="6" t="n"/>
      <c r="I713" s="8">
        <f>IF($A713="","", SUMIFS($D$2:$D$801,$A$2:$A$801,$A713) - SUMIFS($E$2:$E$801,$A$2:$A$801,$A713))</f>
        <v/>
      </c>
      <c r="J713">
        <f>IF($F713="Paid",0, IF($C713="","", MAX(0, TODAY()-$C713)))</f>
        <v/>
      </c>
    </row>
    <row r="714">
      <c r="C714" s="6">
        <f>IF(AND($A714&lt;&gt;"",$B714&lt;&gt;""), XLOOKUP($A714,Loan_Register!$A$2:$A$301,Loan_Register!$M$2:$M$301,"") + 7*($B714-1), "")</f>
        <v/>
      </c>
      <c r="D714" s="8">
        <f>IF($A714&lt;&gt;"", XLOOKUP($A714,Loan_Register!$A$2:$A$301,Loan_Register!$N$2:$N$301,""), "")</f>
        <v/>
      </c>
      <c r="E714" s="8" t="n"/>
      <c r="F714">
        <f>IF($A714="","", IF($E714&gt;=$D714,"Paid", IF(TODAY()&gt;$C714,"Overdue","Pending")))</f>
        <v/>
      </c>
      <c r="G714" s="6" t="n"/>
      <c r="I714" s="8">
        <f>IF($A714="","", SUMIFS($D$2:$D$801,$A$2:$A$801,$A714) - SUMIFS($E$2:$E$801,$A$2:$A$801,$A714))</f>
        <v/>
      </c>
      <c r="J714">
        <f>IF($F714="Paid",0, IF($C714="","", MAX(0, TODAY()-$C714)))</f>
        <v/>
      </c>
    </row>
    <row r="715">
      <c r="C715" s="6">
        <f>IF(AND($A715&lt;&gt;"",$B715&lt;&gt;""), XLOOKUP($A715,Loan_Register!$A$2:$A$301,Loan_Register!$M$2:$M$301,"") + 7*($B715-1), "")</f>
        <v/>
      </c>
      <c r="D715" s="8">
        <f>IF($A715&lt;&gt;"", XLOOKUP($A715,Loan_Register!$A$2:$A$301,Loan_Register!$N$2:$N$301,""), "")</f>
        <v/>
      </c>
      <c r="E715" s="8" t="n"/>
      <c r="F715">
        <f>IF($A715="","", IF($E715&gt;=$D715,"Paid", IF(TODAY()&gt;$C715,"Overdue","Pending")))</f>
        <v/>
      </c>
      <c r="G715" s="6" t="n"/>
      <c r="I715" s="8">
        <f>IF($A715="","", SUMIFS($D$2:$D$801,$A$2:$A$801,$A715) - SUMIFS($E$2:$E$801,$A$2:$A$801,$A715))</f>
        <v/>
      </c>
      <c r="J715">
        <f>IF($F715="Paid",0, IF($C715="","", MAX(0, TODAY()-$C715)))</f>
        <v/>
      </c>
    </row>
    <row r="716">
      <c r="C716" s="6">
        <f>IF(AND($A716&lt;&gt;"",$B716&lt;&gt;""), XLOOKUP($A716,Loan_Register!$A$2:$A$301,Loan_Register!$M$2:$M$301,"") + 7*($B716-1), "")</f>
        <v/>
      </c>
      <c r="D716" s="8">
        <f>IF($A716&lt;&gt;"", XLOOKUP($A716,Loan_Register!$A$2:$A$301,Loan_Register!$N$2:$N$301,""), "")</f>
        <v/>
      </c>
      <c r="E716" s="8" t="n"/>
      <c r="F716">
        <f>IF($A716="","", IF($E716&gt;=$D716,"Paid", IF(TODAY()&gt;$C716,"Overdue","Pending")))</f>
        <v/>
      </c>
      <c r="G716" s="6" t="n"/>
      <c r="I716" s="8">
        <f>IF($A716="","", SUMIFS($D$2:$D$801,$A$2:$A$801,$A716) - SUMIFS($E$2:$E$801,$A$2:$A$801,$A716))</f>
        <v/>
      </c>
      <c r="J716">
        <f>IF($F716="Paid",0, IF($C716="","", MAX(0, TODAY()-$C716)))</f>
        <v/>
      </c>
    </row>
    <row r="717">
      <c r="C717" s="6">
        <f>IF(AND($A717&lt;&gt;"",$B717&lt;&gt;""), XLOOKUP($A717,Loan_Register!$A$2:$A$301,Loan_Register!$M$2:$M$301,"") + 7*($B717-1), "")</f>
        <v/>
      </c>
      <c r="D717" s="8">
        <f>IF($A717&lt;&gt;"", XLOOKUP($A717,Loan_Register!$A$2:$A$301,Loan_Register!$N$2:$N$301,""), "")</f>
        <v/>
      </c>
      <c r="E717" s="8" t="n"/>
      <c r="F717">
        <f>IF($A717="","", IF($E717&gt;=$D717,"Paid", IF(TODAY()&gt;$C717,"Overdue","Pending")))</f>
        <v/>
      </c>
      <c r="G717" s="6" t="n"/>
      <c r="I717" s="8">
        <f>IF($A717="","", SUMIFS($D$2:$D$801,$A$2:$A$801,$A717) - SUMIFS($E$2:$E$801,$A$2:$A$801,$A717))</f>
        <v/>
      </c>
      <c r="J717">
        <f>IF($F717="Paid",0, IF($C717="","", MAX(0, TODAY()-$C717)))</f>
        <v/>
      </c>
    </row>
    <row r="718">
      <c r="C718" s="6">
        <f>IF(AND($A718&lt;&gt;"",$B718&lt;&gt;""), XLOOKUP($A718,Loan_Register!$A$2:$A$301,Loan_Register!$M$2:$M$301,"") + 7*($B718-1), "")</f>
        <v/>
      </c>
      <c r="D718" s="8">
        <f>IF($A718&lt;&gt;"", XLOOKUP($A718,Loan_Register!$A$2:$A$301,Loan_Register!$N$2:$N$301,""), "")</f>
        <v/>
      </c>
      <c r="E718" s="8" t="n"/>
      <c r="F718">
        <f>IF($A718="","", IF($E718&gt;=$D718,"Paid", IF(TODAY()&gt;$C718,"Overdue","Pending")))</f>
        <v/>
      </c>
      <c r="G718" s="6" t="n"/>
      <c r="I718" s="8">
        <f>IF($A718="","", SUMIFS($D$2:$D$801,$A$2:$A$801,$A718) - SUMIFS($E$2:$E$801,$A$2:$A$801,$A718))</f>
        <v/>
      </c>
      <c r="J718">
        <f>IF($F718="Paid",0, IF($C718="","", MAX(0, TODAY()-$C718)))</f>
        <v/>
      </c>
    </row>
    <row r="719">
      <c r="C719" s="6">
        <f>IF(AND($A719&lt;&gt;"",$B719&lt;&gt;""), XLOOKUP($A719,Loan_Register!$A$2:$A$301,Loan_Register!$M$2:$M$301,"") + 7*($B719-1), "")</f>
        <v/>
      </c>
      <c r="D719" s="8">
        <f>IF($A719&lt;&gt;"", XLOOKUP($A719,Loan_Register!$A$2:$A$301,Loan_Register!$N$2:$N$301,""), "")</f>
        <v/>
      </c>
      <c r="E719" s="8" t="n"/>
      <c r="F719">
        <f>IF($A719="","", IF($E719&gt;=$D719,"Paid", IF(TODAY()&gt;$C719,"Overdue","Pending")))</f>
        <v/>
      </c>
      <c r="G719" s="6" t="n"/>
      <c r="I719" s="8">
        <f>IF($A719="","", SUMIFS($D$2:$D$801,$A$2:$A$801,$A719) - SUMIFS($E$2:$E$801,$A$2:$A$801,$A719))</f>
        <v/>
      </c>
      <c r="J719">
        <f>IF($F719="Paid",0, IF($C719="","", MAX(0, TODAY()-$C719)))</f>
        <v/>
      </c>
    </row>
    <row r="720">
      <c r="C720" s="6">
        <f>IF(AND($A720&lt;&gt;"",$B720&lt;&gt;""), XLOOKUP($A720,Loan_Register!$A$2:$A$301,Loan_Register!$M$2:$M$301,"") + 7*($B720-1), "")</f>
        <v/>
      </c>
      <c r="D720" s="8">
        <f>IF($A720&lt;&gt;"", XLOOKUP($A720,Loan_Register!$A$2:$A$301,Loan_Register!$N$2:$N$301,""), "")</f>
        <v/>
      </c>
      <c r="E720" s="8" t="n"/>
      <c r="F720">
        <f>IF($A720="","", IF($E720&gt;=$D720,"Paid", IF(TODAY()&gt;$C720,"Overdue","Pending")))</f>
        <v/>
      </c>
      <c r="G720" s="6" t="n"/>
      <c r="I720" s="8">
        <f>IF($A720="","", SUMIFS($D$2:$D$801,$A$2:$A$801,$A720) - SUMIFS($E$2:$E$801,$A$2:$A$801,$A720))</f>
        <v/>
      </c>
      <c r="J720">
        <f>IF($F720="Paid",0, IF($C720="","", MAX(0, TODAY()-$C720)))</f>
        <v/>
      </c>
    </row>
    <row r="721">
      <c r="C721" s="6">
        <f>IF(AND($A721&lt;&gt;"",$B721&lt;&gt;""), XLOOKUP($A721,Loan_Register!$A$2:$A$301,Loan_Register!$M$2:$M$301,"") + 7*($B721-1), "")</f>
        <v/>
      </c>
      <c r="D721" s="8">
        <f>IF($A721&lt;&gt;"", XLOOKUP($A721,Loan_Register!$A$2:$A$301,Loan_Register!$N$2:$N$301,""), "")</f>
        <v/>
      </c>
      <c r="E721" s="8" t="n"/>
      <c r="F721">
        <f>IF($A721="","", IF($E721&gt;=$D721,"Paid", IF(TODAY()&gt;$C721,"Overdue","Pending")))</f>
        <v/>
      </c>
      <c r="G721" s="6" t="n"/>
      <c r="I721" s="8">
        <f>IF($A721="","", SUMIFS($D$2:$D$801,$A$2:$A$801,$A721) - SUMIFS($E$2:$E$801,$A$2:$A$801,$A721))</f>
        <v/>
      </c>
      <c r="J721">
        <f>IF($F721="Paid",0, IF($C721="","", MAX(0, TODAY()-$C721)))</f>
        <v/>
      </c>
    </row>
    <row r="722">
      <c r="C722" s="6">
        <f>IF(AND($A722&lt;&gt;"",$B722&lt;&gt;""), XLOOKUP($A722,Loan_Register!$A$2:$A$301,Loan_Register!$M$2:$M$301,"") + 7*($B722-1), "")</f>
        <v/>
      </c>
      <c r="D722" s="8">
        <f>IF($A722&lt;&gt;"", XLOOKUP($A722,Loan_Register!$A$2:$A$301,Loan_Register!$N$2:$N$301,""), "")</f>
        <v/>
      </c>
      <c r="E722" s="8" t="n"/>
      <c r="F722">
        <f>IF($A722="","", IF($E722&gt;=$D722,"Paid", IF(TODAY()&gt;$C722,"Overdue","Pending")))</f>
        <v/>
      </c>
      <c r="G722" s="6" t="n"/>
      <c r="I722" s="8">
        <f>IF($A722="","", SUMIFS($D$2:$D$801,$A$2:$A$801,$A722) - SUMIFS($E$2:$E$801,$A$2:$A$801,$A722))</f>
        <v/>
      </c>
      <c r="J722">
        <f>IF($F722="Paid",0, IF($C722="","", MAX(0, TODAY()-$C722)))</f>
        <v/>
      </c>
    </row>
    <row r="723">
      <c r="C723" s="6">
        <f>IF(AND($A723&lt;&gt;"",$B723&lt;&gt;""), XLOOKUP($A723,Loan_Register!$A$2:$A$301,Loan_Register!$M$2:$M$301,"") + 7*($B723-1), "")</f>
        <v/>
      </c>
      <c r="D723" s="8">
        <f>IF($A723&lt;&gt;"", XLOOKUP($A723,Loan_Register!$A$2:$A$301,Loan_Register!$N$2:$N$301,""), "")</f>
        <v/>
      </c>
      <c r="E723" s="8" t="n"/>
      <c r="F723">
        <f>IF($A723="","", IF($E723&gt;=$D723,"Paid", IF(TODAY()&gt;$C723,"Overdue","Pending")))</f>
        <v/>
      </c>
      <c r="G723" s="6" t="n"/>
      <c r="I723" s="8">
        <f>IF($A723="","", SUMIFS($D$2:$D$801,$A$2:$A$801,$A723) - SUMIFS($E$2:$E$801,$A$2:$A$801,$A723))</f>
        <v/>
      </c>
      <c r="J723">
        <f>IF($F723="Paid",0, IF($C723="","", MAX(0, TODAY()-$C723)))</f>
        <v/>
      </c>
    </row>
    <row r="724">
      <c r="C724" s="6">
        <f>IF(AND($A724&lt;&gt;"",$B724&lt;&gt;""), XLOOKUP($A724,Loan_Register!$A$2:$A$301,Loan_Register!$M$2:$M$301,"") + 7*($B724-1), "")</f>
        <v/>
      </c>
      <c r="D724" s="8">
        <f>IF($A724&lt;&gt;"", XLOOKUP($A724,Loan_Register!$A$2:$A$301,Loan_Register!$N$2:$N$301,""), "")</f>
        <v/>
      </c>
      <c r="E724" s="8" t="n"/>
      <c r="F724">
        <f>IF($A724="","", IF($E724&gt;=$D724,"Paid", IF(TODAY()&gt;$C724,"Overdue","Pending")))</f>
        <v/>
      </c>
      <c r="G724" s="6" t="n"/>
      <c r="I724" s="8">
        <f>IF($A724="","", SUMIFS($D$2:$D$801,$A$2:$A$801,$A724) - SUMIFS($E$2:$E$801,$A$2:$A$801,$A724))</f>
        <v/>
      </c>
      <c r="J724">
        <f>IF($F724="Paid",0, IF($C724="","", MAX(0, TODAY()-$C724)))</f>
        <v/>
      </c>
    </row>
    <row r="725">
      <c r="C725" s="6">
        <f>IF(AND($A725&lt;&gt;"",$B725&lt;&gt;""), XLOOKUP($A725,Loan_Register!$A$2:$A$301,Loan_Register!$M$2:$M$301,"") + 7*($B725-1), "")</f>
        <v/>
      </c>
      <c r="D725" s="8">
        <f>IF($A725&lt;&gt;"", XLOOKUP($A725,Loan_Register!$A$2:$A$301,Loan_Register!$N$2:$N$301,""), "")</f>
        <v/>
      </c>
      <c r="E725" s="8" t="n"/>
      <c r="F725">
        <f>IF($A725="","", IF($E725&gt;=$D725,"Paid", IF(TODAY()&gt;$C725,"Overdue","Pending")))</f>
        <v/>
      </c>
      <c r="G725" s="6" t="n"/>
      <c r="I725" s="8">
        <f>IF($A725="","", SUMIFS($D$2:$D$801,$A$2:$A$801,$A725) - SUMIFS($E$2:$E$801,$A$2:$A$801,$A725))</f>
        <v/>
      </c>
      <c r="J725">
        <f>IF($F725="Paid",0, IF($C725="","", MAX(0, TODAY()-$C725)))</f>
        <v/>
      </c>
    </row>
    <row r="726">
      <c r="C726" s="6">
        <f>IF(AND($A726&lt;&gt;"",$B726&lt;&gt;""), XLOOKUP($A726,Loan_Register!$A$2:$A$301,Loan_Register!$M$2:$M$301,"") + 7*($B726-1), "")</f>
        <v/>
      </c>
      <c r="D726" s="8">
        <f>IF($A726&lt;&gt;"", XLOOKUP($A726,Loan_Register!$A$2:$A$301,Loan_Register!$N$2:$N$301,""), "")</f>
        <v/>
      </c>
      <c r="E726" s="8" t="n"/>
      <c r="F726">
        <f>IF($A726="","", IF($E726&gt;=$D726,"Paid", IF(TODAY()&gt;$C726,"Overdue","Pending")))</f>
        <v/>
      </c>
      <c r="G726" s="6" t="n"/>
      <c r="I726" s="8">
        <f>IF($A726="","", SUMIFS($D$2:$D$801,$A$2:$A$801,$A726) - SUMIFS($E$2:$E$801,$A$2:$A$801,$A726))</f>
        <v/>
      </c>
      <c r="J726">
        <f>IF($F726="Paid",0, IF($C726="","", MAX(0, TODAY()-$C726)))</f>
        <v/>
      </c>
    </row>
    <row r="727">
      <c r="C727" s="6">
        <f>IF(AND($A727&lt;&gt;"",$B727&lt;&gt;""), XLOOKUP($A727,Loan_Register!$A$2:$A$301,Loan_Register!$M$2:$M$301,"") + 7*($B727-1), "")</f>
        <v/>
      </c>
      <c r="D727" s="8">
        <f>IF($A727&lt;&gt;"", XLOOKUP($A727,Loan_Register!$A$2:$A$301,Loan_Register!$N$2:$N$301,""), "")</f>
        <v/>
      </c>
      <c r="E727" s="8" t="n"/>
      <c r="F727">
        <f>IF($A727="","", IF($E727&gt;=$D727,"Paid", IF(TODAY()&gt;$C727,"Overdue","Pending")))</f>
        <v/>
      </c>
      <c r="G727" s="6" t="n"/>
      <c r="I727" s="8">
        <f>IF($A727="","", SUMIFS($D$2:$D$801,$A$2:$A$801,$A727) - SUMIFS($E$2:$E$801,$A$2:$A$801,$A727))</f>
        <v/>
      </c>
      <c r="J727">
        <f>IF($F727="Paid",0, IF($C727="","", MAX(0, TODAY()-$C727)))</f>
        <v/>
      </c>
    </row>
    <row r="728">
      <c r="C728" s="6">
        <f>IF(AND($A728&lt;&gt;"",$B728&lt;&gt;""), XLOOKUP($A728,Loan_Register!$A$2:$A$301,Loan_Register!$M$2:$M$301,"") + 7*($B728-1), "")</f>
        <v/>
      </c>
      <c r="D728" s="8">
        <f>IF($A728&lt;&gt;"", XLOOKUP($A728,Loan_Register!$A$2:$A$301,Loan_Register!$N$2:$N$301,""), "")</f>
        <v/>
      </c>
      <c r="E728" s="8" t="n"/>
      <c r="F728">
        <f>IF($A728="","", IF($E728&gt;=$D728,"Paid", IF(TODAY()&gt;$C728,"Overdue","Pending")))</f>
        <v/>
      </c>
      <c r="G728" s="6" t="n"/>
      <c r="I728" s="8">
        <f>IF($A728="","", SUMIFS($D$2:$D$801,$A$2:$A$801,$A728) - SUMIFS($E$2:$E$801,$A$2:$A$801,$A728))</f>
        <v/>
      </c>
      <c r="J728">
        <f>IF($F728="Paid",0, IF($C728="","", MAX(0, TODAY()-$C728)))</f>
        <v/>
      </c>
    </row>
    <row r="729">
      <c r="C729" s="6">
        <f>IF(AND($A729&lt;&gt;"",$B729&lt;&gt;""), XLOOKUP($A729,Loan_Register!$A$2:$A$301,Loan_Register!$M$2:$M$301,"") + 7*($B729-1), "")</f>
        <v/>
      </c>
      <c r="D729" s="8">
        <f>IF($A729&lt;&gt;"", XLOOKUP($A729,Loan_Register!$A$2:$A$301,Loan_Register!$N$2:$N$301,""), "")</f>
        <v/>
      </c>
      <c r="E729" s="8" t="n"/>
      <c r="F729">
        <f>IF($A729="","", IF($E729&gt;=$D729,"Paid", IF(TODAY()&gt;$C729,"Overdue","Pending")))</f>
        <v/>
      </c>
      <c r="G729" s="6" t="n"/>
      <c r="I729" s="8">
        <f>IF($A729="","", SUMIFS($D$2:$D$801,$A$2:$A$801,$A729) - SUMIFS($E$2:$E$801,$A$2:$A$801,$A729))</f>
        <v/>
      </c>
      <c r="J729">
        <f>IF($F729="Paid",0, IF($C729="","", MAX(0, TODAY()-$C729)))</f>
        <v/>
      </c>
    </row>
    <row r="730">
      <c r="C730" s="6">
        <f>IF(AND($A730&lt;&gt;"",$B730&lt;&gt;""), XLOOKUP($A730,Loan_Register!$A$2:$A$301,Loan_Register!$M$2:$M$301,"") + 7*($B730-1), "")</f>
        <v/>
      </c>
      <c r="D730" s="8">
        <f>IF($A730&lt;&gt;"", XLOOKUP($A730,Loan_Register!$A$2:$A$301,Loan_Register!$N$2:$N$301,""), "")</f>
        <v/>
      </c>
      <c r="E730" s="8" t="n"/>
      <c r="F730">
        <f>IF($A730="","", IF($E730&gt;=$D730,"Paid", IF(TODAY()&gt;$C730,"Overdue","Pending")))</f>
        <v/>
      </c>
      <c r="G730" s="6" t="n"/>
      <c r="I730" s="8">
        <f>IF($A730="","", SUMIFS($D$2:$D$801,$A$2:$A$801,$A730) - SUMIFS($E$2:$E$801,$A$2:$A$801,$A730))</f>
        <v/>
      </c>
      <c r="J730">
        <f>IF($F730="Paid",0, IF($C730="","", MAX(0, TODAY()-$C730)))</f>
        <v/>
      </c>
    </row>
    <row r="731">
      <c r="C731" s="6">
        <f>IF(AND($A731&lt;&gt;"",$B731&lt;&gt;""), XLOOKUP($A731,Loan_Register!$A$2:$A$301,Loan_Register!$M$2:$M$301,"") + 7*($B731-1), "")</f>
        <v/>
      </c>
      <c r="D731" s="8">
        <f>IF($A731&lt;&gt;"", XLOOKUP($A731,Loan_Register!$A$2:$A$301,Loan_Register!$N$2:$N$301,""), "")</f>
        <v/>
      </c>
      <c r="E731" s="8" t="n"/>
      <c r="F731">
        <f>IF($A731="","", IF($E731&gt;=$D731,"Paid", IF(TODAY()&gt;$C731,"Overdue","Pending")))</f>
        <v/>
      </c>
      <c r="G731" s="6" t="n"/>
      <c r="I731" s="8">
        <f>IF($A731="","", SUMIFS($D$2:$D$801,$A$2:$A$801,$A731) - SUMIFS($E$2:$E$801,$A$2:$A$801,$A731))</f>
        <v/>
      </c>
      <c r="J731">
        <f>IF($F731="Paid",0, IF($C731="","", MAX(0, TODAY()-$C731)))</f>
        <v/>
      </c>
    </row>
    <row r="732">
      <c r="C732" s="6">
        <f>IF(AND($A732&lt;&gt;"",$B732&lt;&gt;""), XLOOKUP($A732,Loan_Register!$A$2:$A$301,Loan_Register!$M$2:$M$301,"") + 7*($B732-1), "")</f>
        <v/>
      </c>
      <c r="D732" s="8">
        <f>IF($A732&lt;&gt;"", XLOOKUP($A732,Loan_Register!$A$2:$A$301,Loan_Register!$N$2:$N$301,""), "")</f>
        <v/>
      </c>
      <c r="E732" s="8" t="n"/>
      <c r="F732">
        <f>IF($A732="","", IF($E732&gt;=$D732,"Paid", IF(TODAY()&gt;$C732,"Overdue","Pending")))</f>
        <v/>
      </c>
      <c r="G732" s="6" t="n"/>
      <c r="I732" s="8">
        <f>IF($A732="","", SUMIFS($D$2:$D$801,$A$2:$A$801,$A732) - SUMIFS($E$2:$E$801,$A$2:$A$801,$A732))</f>
        <v/>
      </c>
      <c r="J732">
        <f>IF($F732="Paid",0, IF($C732="","", MAX(0, TODAY()-$C732)))</f>
        <v/>
      </c>
    </row>
    <row r="733">
      <c r="C733" s="6">
        <f>IF(AND($A733&lt;&gt;"",$B733&lt;&gt;""), XLOOKUP($A733,Loan_Register!$A$2:$A$301,Loan_Register!$M$2:$M$301,"") + 7*($B733-1), "")</f>
        <v/>
      </c>
      <c r="D733" s="8">
        <f>IF($A733&lt;&gt;"", XLOOKUP($A733,Loan_Register!$A$2:$A$301,Loan_Register!$N$2:$N$301,""), "")</f>
        <v/>
      </c>
      <c r="E733" s="8" t="n"/>
      <c r="F733">
        <f>IF($A733="","", IF($E733&gt;=$D733,"Paid", IF(TODAY()&gt;$C733,"Overdue","Pending")))</f>
        <v/>
      </c>
      <c r="G733" s="6" t="n"/>
      <c r="I733" s="8">
        <f>IF($A733="","", SUMIFS($D$2:$D$801,$A$2:$A$801,$A733) - SUMIFS($E$2:$E$801,$A$2:$A$801,$A733))</f>
        <v/>
      </c>
      <c r="J733">
        <f>IF($F733="Paid",0, IF($C733="","", MAX(0, TODAY()-$C733)))</f>
        <v/>
      </c>
    </row>
    <row r="734">
      <c r="C734" s="6">
        <f>IF(AND($A734&lt;&gt;"",$B734&lt;&gt;""), XLOOKUP($A734,Loan_Register!$A$2:$A$301,Loan_Register!$M$2:$M$301,"") + 7*($B734-1), "")</f>
        <v/>
      </c>
      <c r="D734" s="8">
        <f>IF($A734&lt;&gt;"", XLOOKUP($A734,Loan_Register!$A$2:$A$301,Loan_Register!$N$2:$N$301,""), "")</f>
        <v/>
      </c>
      <c r="E734" s="8" t="n"/>
      <c r="F734">
        <f>IF($A734="","", IF($E734&gt;=$D734,"Paid", IF(TODAY()&gt;$C734,"Overdue","Pending")))</f>
        <v/>
      </c>
      <c r="G734" s="6" t="n"/>
      <c r="I734" s="8">
        <f>IF($A734="","", SUMIFS($D$2:$D$801,$A$2:$A$801,$A734) - SUMIFS($E$2:$E$801,$A$2:$A$801,$A734))</f>
        <v/>
      </c>
      <c r="J734">
        <f>IF($F734="Paid",0, IF($C734="","", MAX(0, TODAY()-$C734)))</f>
        <v/>
      </c>
    </row>
    <row r="735">
      <c r="C735" s="6">
        <f>IF(AND($A735&lt;&gt;"",$B735&lt;&gt;""), XLOOKUP($A735,Loan_Register!$A$2:$A$301,Loan_Register!$M$2:$M$301,"") + 7*($B735-1), "")</f>
        <v/>
      </c>
      <c r="D735" s="8">
        <f>IF($A735&lt;&gt;"", XLOOKUP($A735,Loan_Register!$A$2:$A$301,Loan_Register!$N$2:$N$301,""), "")</f>
        <v/>
      </c>
      <c r="E735" s="8" t="n"/>
      <c r="F735">
        <f>IF($A735="","", IF($E735&gt;=$D735,"Paid", IF(TODAY()&gt;$C735,"Overdue","Pending")))</f>
        <v/>
      </c>
      <c r="G735" s="6" t="n"/>
      <c r="I735" s="8">
        <f>IF($A735="","", SUMIFS($D$2:$D$801,$A$2:$A$801,$A735) - SUMIFS($E$2:$E$801,$A$2:$A$801,$A735))</f>
        <v/>
      </c>
      <c r="J735">
        <f>IF($F735="Paid",0, IF($C735="","", MAX(0, TODAY()-$C735)))</f>
        <v/>
      </c>
    </row>
    <row r="736">
      <c r="C736" s="6">
        <f>IF(AND($A736&lt;&gt;"",$B736&lt;&gt;""), XLOOKUP($A736,Loan_Register!$A$2:$A$301,Loan_Register!$M$2:$M$301,"") + 7*($B736-1), "")</f>
        <v/>
      </c>
      <c r="D736" s="8">
        <f>IF($A736&lt;&gt;"", XLOOKUP($A736,Loan_Register!$A$2:$A$301,Loan_Register!$N$2:$N$301,""), "")</f>
        <v/>
      </c>
      <c r="E736" s="8" t="n"/>
      <c r="F736">
        <f>IF($A736="","", IF($E736&gt;=$D736,"Paid", IF(TODAY()&gt;$C736,"Overdue","Pending")))</f>
        <v/>
      </c>
      <c r="G736" s="6" t="n"/>
      <c r="I736" s="8">
        <f>IF($A736="","", SUMIFS($D$2:$D$801,$A$2:$A$801,$A736) - SUMIFS($E$2:$E$801,$A$2:$A$801,$A736))</f>
        <v/>
      </c>
      <c r="J736">
        <f>IF($F736="Paid",0, IF($C736="","", MAX(0, TODAY()-$C736)))</f>
        <v/>
      </c>
    </row>
    <row r="737">
      <c r="C737" s="6">
        <f>IF(AND($A737&lt;&gt;"",$B737&lt;&gt;""), XLOOKUP($A737,Loan_Register!$A$2:$A$301,Loan_Register!$M$2:$M$301,"") + 7*($B737-1), "")</f>
        <v/>
      </c>
      <c r="D737" s="8">
        <f>IF($A737&lt;&gt;"", XLOOKUP($A737,Loan_Register!$A$2:$A$301,Loan_Register!$N$2:$N$301,""), "")</f>
        <v/>
      </c>
      <c r="E737" s="8" t="n"/>
      <c r="F737">
        <f>IF($A737="","", IF($E737&gt;=$D737,"Paid", IF(TODAY()&gt;$C737,"Overdue","Pending")))</f>
        <v/>
      </c>
      <c r="G737" s="6" t="n"/>
      <c r="I737" s="8">
        <f>IF($A737="","", SUMIFS($D$2:$D$801,$A$2:$A$801,$A737) - SUMIFS($E$2:$E$801,$A$2:$A$801,$A737))</f>
        <v/>
      </c>
      <c r="J737">
        <f>IF($F737="Paid",0, IF($C737="","", MAX(0, TODAY()-$C737)))</f>
        <v/>
      </c>
    </row>
    <row r="738">
      <c r="C738" s="6">
        <f>IF(AND($A738&lt;&gt;"",$B738&lt;&gt;""), XLOOKUP($A738,Loan_Register!$A$2:$A$301,Loan_Register!$M$2:$M$301,"") + 7*($B738-1), "")</f>
        <v/>
      </c>
      <c r="D738" s="8">
        <f>IF($A738&lt;&gt;"", XLOOKUP($A738,Loan_Register!$A$2:$A$301,Loan_Register!$N$2:$N$301,""), "")</f>
        <v/>
      </c>
      <c r="E738" s="8" t="n"/>
      <c r="F738">
        <f>IF($A738="","", IF($E738&gt;=$D738,"Paid", IF(TODAY()&gt;$C738,"Overdue","Pending")))</f>
        <v/>
      </c>
      <c r="G738" s="6" t="n"/>
      <c r="I738" s="8">
        <f>IF($A738="","", SUMIFS($D$2:$D$801,$A$2:$A$801,$A738) - SUMIFS($E$2:$E$801,$A$2:$A$801,$A738))</f>
        <v/>
      </c>
      <c r="J738">
        <f>IF($F738="Paid",0, IF($C738="","", MAX(0, TODAY()-$C738)))</f>
        <v/>
      </c>
    </row>
    <row r="739">
      <c r="C739" s="6">
        <f>IF(AND($A739&lt;&gt;"",$B739&lt;&gt;""), XLOOKUP($A739,Loan_Register!$A$2:$A$301,Loan_Register!$M$2:$M$301,"") + 7*($B739-1), "")</f>
        <v/>
      </c>
      <c r="D739" s="8">
        <f>IF($A739&lt;&gt;"", XLOOKUP($A739,Loan_Register!$A$2:$A$301,Loan_Register!$N$2:$N$301,""), "")</f>
        <v/>
      </c>
      <c r="E739" s="8" t="n"/>
      <c r="F739">
        <f>IF($A739="","", IF($E739&gt;=$D739,"Paid", IF(TODAY()&gt;$C739,"Overdue","Pending")))</f>
        <v/>
      </c>
      <c r="G739" s="6" t="n"/>
      <c r="I739" s="8">
        <f>IF($A739="","", SUMIFS($D$2:$D$801,$A$2:$A$801,$A739) - SUMIFS($E$2:$E$801,$A$2:$A$801,$A739))</f>
        <v/>
      </c>
      <c r="J739">
        <f>IF($F739="Paid",0, IF($C739="","", MAX(0, TODAY()-$C739)))</f>
        <v/>
      </c>
    </row>
    <row r="740">
      <c r="C740" s="6">
        <f>IF(AND($A740&lt;&gt;"",$B740&lt;&gt;""), XLOOKUP($A740,Loan_Register!$A$2:$A$301,Loan_Register!$M$2:$M$301,"") + 7*($B740-1), "")</f>
        <v/>
      </c>
      <c r="D740" s="8">
        <f>IF($A740&lt;&gt;"", XLOOKUP($A740,Loan_Register!$A$2:$A$301,Loan_Register!$N$2:$N$301,""), "")</f>
        <v/>
      </c>
      <c r="E740" s="8" t="n"/>
      <c r="F740">
        <f>IF($A740="","", IF($E740&gt;=$D740,"Paid", IF(TODAY()&gt;$C740,"Overdue","Pending")))</f>
        <v/>
      </c>
      <c r="G740" s="6" t="n"/>
      <c r="I740" s="8">
        <f>IF($A740="","", SUMIFS($D$2:$D$801,$A$2:$A$801,$A740) - SUMIFS($E$2:$E$801,$A$2:$A$801,$A740))</f>
        <v/>
      </c>
      <c r="J740">
        <f>IF($F740="Paid",0, IF($C740="","", MAX(0, TODAY()-$C740)))</f>
        <v/>
      </c>
    </row>
    <row r="741">
      <c r="C741" s="6">
        <f>IF(AND($A741&lt;&gt;"",$B741&lt;&gt;""), XLOOKUP($A741,Loan_Register!$A$2:$A$301,Loan_Register!$M$2:$M$301,"") + 7*($B741-1), "")</f>
        <v/>
      </c>
      <c r="D741" s="8">
        <f>IF($A741&lt;&gt;"", XLOOKUP($A741,Loan_Register!$A$2:$A$301,Loan_Register!$N$2:$N$301,""), "")</f>
        <v/>
      </c>
      <c r="E741" s="8" t="n"/>
      <c r="F741">
        <f>IF($A741="","", IF($E741&gt;=$D741,"Paid", IF(TODAY()&gt;$C741,"Overdue","Pending")))</f>
        <v/>
      </c>
      <c r="G741" s="6" t="n"/>
      <c r="I741" s="8">
        <f>IF($A741="","", SUMIFS($D$2:$D$801,$A$2:$A$801,$A741) - SUMIFS($E$2:$E$801,$A$2:$A$801,$A741))</f>
        <v/>
      </c>
      <c r="J741">
        <f>IF($F741="Paid",0, IF($C741="","", MAX(0, TODAY()-$C741)))</f>
        <v/>
      </c>
    </row>
    <row r="742">
      <c r="C742" s="6">
        <f>IF(AND($A742&lt;&gt;"",$B742&lt;&gt;""), XLOOKUP($A742,Loan_Register!$A$2:$A$301,Loan_Register!$M$2:$M$301,"") + 7*($B742-1), "")</f>
        <v/>
      </c>
      <c r="D742" s="8">
        <f>IF($A742&lt;&gt;"", XLOOKUP($A742,Loan_Register!$A$2:$A$301,Loan_Register!$N$2:$N$301,""), "")</f>
        <v/>
      </c>
      <c r="E742" s="8" t="n"/>
      <c r="F742">
        <f>IF($A742="","", IF($E742&gt;=$D742,"Paid", IF(TODAY()&gt;$C742,"Overdue","Pending")))</f>
        <v/>
      </c>
      <c r="G742" s="6" t="n"/>
      <c r="I742" s="8">
        <f>IF($A742="","", SUMIFS($D$2:$D$801,$A$2:$A$801,$A742) - SUMIFS($E$2:$E$801,$A$2:$A$801,$A742))</f>
        <v/>
      </c>
      <c r="J742">
        <f>IF($F742="Paid",0, IF($C742="","", MAX(0, TODAY()-$C742)))</f>
        <v/>
      </c>
    </row>
    <row r="743">
      <c r="C743" s="6">
        <f>IF(AND($A743&lt;&gt;"",$B743&lt;&gt;""), XLOOKUP($A743,Loan_Register!$A$2:$A$301,Loan_Register!$M$2:$M$301,"") + 7*($B743-1), "")</f>
        <v/>
      </c>
      <c r="D743" s="8">
        <f>IF($A743&lt;&gt;"", XLOOKUP($A743,Loan_Register!$A$2:$A$301,Loan_Register!$N$2:$N$301,""), "")</f>
        <v/>
      </c>
      <c r="E743" s="8" t="n"/>
      <c r="F743">
        <f>IF($A743="","", IF($E743&gt;=$D743,"Paid", IF(TODAY()&gt;$C743,"Overdue","Pending")))</f>
        <v/>
      </c>
      <c r="G743" s="6" t="n"/>
      <c r="I743" s="8">
        <f>IF($A743="","", SUMIFS($D$2:$D$801,$A$2:$A$801,$A743) - SUMIFS($E$2:$E$801,$A$2:$A$801,$A743))</f>
        <v/>
      </c>
      <c r="J743">
        <f>IF($F743="Paid",0, IF($C743="","", MAX(0, TODAY()-$C743)))</f>
        <v/>
      </c>
    </row>
    <row r="744">
      <c r="C744" s="6">
        <f>IF(AND($A744&lt;&gt;"",$B744&lt;&gt;""), XLOOKUP($A744,Loan_Register!$A$2:$A$301,Loan_Register!$M$2:$M$301,"") + 7*($B744-1), "")</f>
        <v/>
      </c>
      <c r="D744" s="8">
        <f>IF($A744&lt;&gt;"", XLOOKUP($A744,Loan_Register!$A$2:$A$301,Loan_Register!$N$2:$N$301,""), "")</f>
        <v/>
      </c>
      <c r="E744" s="8" t="n"/>
      <c r="F744">
        <f>IF($A744="","", IF($E744&gt;=$D744,"Paid", IF(TODAY()&gt;$C744,"Overdue","Pending")))</f>
        <v/>
      </c>
      <c r="G744" s="6" t="n"/>
      <c r="I744" s="8">
        <f>IF($A744="","", SUMIFS($D$2:$D$801,$A$2:$A$801,$A744) - SUMIFS($E$2:$E$801,$A$2:$A$801,$A744))</f>
        <v/>
      </c>
      <c r="J744">
        <f>IF($F744="Paid",0, IF($C744="","", MAX(0, TODAY()-$C744)))</f>
        <v/>
      </c>
    </row>
    <row r="745">
      <c r="C745" s="6">
        <f>IF(AND($A745&lt;&gt;"",$B745&lt;&gt;""), XLOOKUP($A745,Loan_Register!$A$2:$A$301,Loan_Register!$M$2:$M$301,"") + 7*($B745-1), "")</f>
        <v/>
      </c>
      <c r="D745" s="8">
        <f>IF($A745&lt;&gt;"", XLOOKUP($A745,Loan_Register!$A$2:$A$301,Loan_Register!$N$2:$N$301,""), "")</f>
        <v/>
      </c>
      <c r="E745" s="8" t="n"/>
      <c r="F745">
        <f>IF($A745="","", IF($E745&gt;=$D745,"Paid", IF(TODAY()&gt;$C745,"Overdue","Pending")))</f>
        <v/>
      </c>
      <c r="G745" s="6" t="n"/>
      <c r="I745" s="8">
        <f>IF($A745="","", SUMIFS($D$2:$D$801,$A$2:$A$801,$A745) - SUMIFS($E$2:$E$801,$A$2:$A$801,$A745))</f>
        <v/>
      </c>
      <c r="J745">
        <f>IF($F745="Paid",0, IF($C745="","", MAX(0, TODAY()-$C745)))</f>
        <v/>
      </c>
    </row>
    <row r="746">
      <c r="C746" s="6">
        <f>IF(AND($A746&lt;&gt;"",$B746&lt;&gt;""), XLOOKUP($A746,Loan_Register!$A$2:$A$301,Loan_Register!$M$2:$M$301,"") + 7*($B746-1), "")</f>
        <v/>
      </c>
      <c r="D746" s="8">
        <f>IF($A746&lt;&gt;"", XLOOKUP($A746,Loan_Register!$A$2:$A$301,Loan_Register!$N$2:$N$301,""), "")</f>
        <v/>
      </c>
      <c r="E746" s="8" t="n"/>
      <c r="F746">
        <f>IF($A746="","", IF($E746&gt;=$D746,"Paid", IF(TODAY()&gt;$C746,"Overdue","Pending")))</f>
        <v/>
      </c>
      <c r="G746" s="6" t="n"/>
      <c r="I746" s="8">
        <f>IF($A746="","", SUMIFS($D$2:$D$801,$A$2:$A$801,$A746) - SUMIFS($E$2:$E$801,$A$2:$A$801,$A746))</f>
        <v/>
      </c>
      <c r="J746">
        <f>IF($F746="Paid",0, IF($C746="","", MAX(0, TODAY()-$C746)))</f>
        <v/>
      </c>
    </row>
    <row r="747">
      <c r="C747" s="6">
        <f>IF(AND($A747&lt;&gt;"",$B747&lt;&gt;""), XLOOKUP($A747,Loan_Register!$A$2:$A$301,Loan_Register!$M$2:$M$301,"") + 7*($B747-1), "")</f>
        <v/>
      </c>
      <c r="D747" s="8">
        <f>IF($A747&lt;&gt;"", XLOOKUP($A747,Loan_Register!$A$2:$A$301,Loan_Register!$N$2:$N$301,""), "")</f>
        <v/>
      </c>
      <c r="E747" s="8" t="n"/>
      <c r="F747">
        <f>IF($A747="","", IF($E747&gt;=$D747,"Paid", IF(TODAY()&gt;$C747,"Overdue","Pending")))</f>
        <v/>
      </c>
      <c r="G747" s="6" t="n"/>
      <c r="I747" s="8">
        <f>IF($A747="","", SUMIFS($D$2:$D$801,$A$2:$A$801,$A747) - SUMIFS($E$2:$E$801,$A$2:$A$801,$A747))</f>
        <v/>
      </c>
      <c r="J747">
        <f>IF($F747="Paid",0, IF($C747="","", MAX(0, TODAY()-$C747)))</f>
        <v/>
      </c>
    </row>
    <row r="748">
      <c r="C748" s="6">
        <f>IF(AND($A748&lt;&gt;"",$B748&lt;&gt;""), XLOOKUP($A748,Loan_Register!$A$2:$A$301,Loan_Register!$M$2:$M$301,"") + 7*($B748-1), "")</f>
        <v/>
      </c>
      <c r="D748" s="8">
        <f>IF($A748&lt;&gt;"", XLOOKUP($A748,Loan_Register!$A$2:$A$301,Loan_Register!$N$2:$N$301,""), "")</f>
        <v/>
      </c>
      <c r="E748" s="8" t="n"/>
      <c r="F748">
        <f>IF($A748="","", IF($E748&gt;=$D748,"Paid", IF(TODAY()&gt;$C748,"Overdue","Pending")))</f>
        <v/>
      </c>
      <c r="G748" s="6" t="n"/>
      <c r="I748" s="8">
        <f>IF($A748="","", SUMIFS($D$2:$D$801,$A$2:$A$801,$A748) - SUMIFS($E$2:$E$801,$A$2:$A$801,$A748))</f>
        <v/>
      </c>
      <c r="J748">
        <f>IF($F748="Paid",0, IF($C748="","", MAX(0, TODAY()-$C748)))</f>
        <v/>
      </c>
    </row>
    <row r="749">
      <c r="C749" s="6">
        <f>IF(AND($A749&lt;&gt;"",$B749&lt;&gt;""), XLOOKUP($A749,Loan_Register!$A$2:$A$301,Loan_Register!$M$2:$M$301,"") + 7*($B749-1), "")</f>
        <v/>
      </c>
      <c r="D749" s="8">
        <f>IF($A749&lt;&gt;"", XLOOKUP($A749,Loan_Register!$A$2:$A$301,Loan_Register!$N$2:$N$301,""), "")</f>
        <v/>
      </c>
      <c r="E749" s="8" t="n"/>
      <c r="F749">
        <f>IF($A749="","", IF($E749&gt;=$D749,"Paid", IF(TODAY()&gt;$C749,"Overdue","Pending")))</f>
        <v/>
      </c>
      <c r="G749" s="6" t="n"/>
      <c r="I749" s="8">
        <f>IF($A749="","", SUMIFS($D$2:$D$801,$A$2:$A$801,$A749) - SUMIFS($E$2:$E$801,$A$2:$A$801,$A749))</f>
        <v/>
      </c>
      <c r="J749">
        <f>IF($F749="Paid",0, IF($C749="","", MAX(0, TODAY()-$C749)))</f>
        <v/>
      </c>
    </row>
    <row r="750">
      <c r="C750" s="6">
        <f>IF(AND($A750&lt;&gt;"",$B750&lt;&gt;""), XLOOKUP($A750,Loan_Register!$A$2:$A$301,Loan_Register!$M$2:$M$301,"") + 7*($B750-1), "")</f>
        <v/>
      </c>
      <c r="D750" s="8">
        <f>IF($A750&lt;&gt;"", XLOOKUP($A750,Loan_Register!$A$2:$A$301,Loan_Register!$N$2:$N$301,""), "")</f>
        <v/>
      </c>
      <c r="E750" s="8" t="n"/>
      <c r="F750">
        <f>IF($A750="","", IF($E750&gt;=$D750,"Paid", IF(TODAY()&gt;$C750,"Overdue","Pending")))</f>
        <v/>
      </c>
      <c r="G750" s="6" t="n"/>
      <c r="I750" s="8">
        <f>IF($A750="","", SUMIFS($D$2:$D$801,$A$2:$A$801,$A750) - SUMIFS($E$2:$E$801,$A$2:$A$801,$A750))</f>
        <v/>
      </c>
      <c r="J750">
        <f>IF($F750="Paid",0, IF($C750="","", MAX(0, TODAY()-$C750)))</f>
        <v/>
      </c>
    </row>
    <row r="751">
      <c r="C751" s="6">
        <f>IF(AND($A751&lt;&gt;"",$B751&lt;&gt;""), XLOOKUP($A751,Loan_Register!$A$2:$A$301,Loan_Register!$M$2:$M$301,"") + 7*($B751-1), "")</f>
        <v/>
      </c>
      <c r="D751" s="8">
        <f>IF($A751&lt;&gt;"", XLOOKUP($A751,Loan_Register!$A$2:$A$301,Loan_Register!$N$2:$N$301,""), "")</f>
        <v/>
      </c>
      <c r="E751" s="8" t="n"/>
      <c r="F751">
        <f>IF($A751="","", IF($E751&gt;=$D751,"Paid", IF(TODAY()&gt;$C751,"Overdue","Pending")))</f>
        <v/>
      </c>
      <c r="G751" s="6" t="n"/>
      <c r="I751" s="8">
        <f>IF($A751="","", SUMIFS($D$2:$D$801,$A$2:$A$801,$A751) - SUMIFS($E$2:$E$801,$A$2:$A$801,$A751))</f>
        <v/>
      </c>
      <c r="J751">
        <f>IF($F751="Paid",0, IF($C751="","", MAX(0, TODAY()-$C751)))</f>
        <v/>
      </c>
    </row>
    <row r="752">
      <c r="C752" s="6">
        <f>IF(AND($A752&lt;&gt;"",$B752&lt;&gt;""), XLOOKUP($A752,Loan_Register!$A$2:$A$301,Loan_Register!$M$2:$M$301,"") + 7*($B752-1), "")</f>
        <v/>
      </c>
      <c r="D752" s="8">
        <f>IF($A752&lt;&gt;"", XLOOKUP($A752,Loan_Register!$A$2:$A$301,Loan_Register!$N$2:$N$301,""), "")</f>
        <v/>
      </c>
      <c r="E752" s="8" t="n"/>
      <c r="F752">
        <f>IF($A752="","", IF($E752&gt;=$D752,"Paid", IF(TODAY()&gt;$C752,"Overdue","Pending")))</f>
        <v/>
      </c>
      <c r="G752" s="6" t="n"/>
      <c r="I752" s="8">
        <f>IF($A752="","", SUMIFS($D$2:$D$801,$A$2:$A$801,$A752) - SUMIFS($E$2:$E$801,$A$2:$A$801,$A752))</f>
        <v/>
      </c>
      <c r="J752">
        <f>IF($F752="Paid",0, IF($C752="","", MAX(0, TODAY()-$C752)))</f>
        <v/>
      </c>
    </row>
    <row r="753">
      <c r="C753" s="6">
        <f>IF(AND($A753&lt;&gt;"",$B753&lt;&gt;""), XLOOKUP($A753,Loan_Register!$A$2:$A$301,Loan_Register!$M$2:$M$301,"") + 7*($B753-1), "")</f>
        <v/>
      </c>
      <c r="D753" s="8">
        <f>IF($A753&lt;&gt;"", XLOOKUP($A753,Loan_Register!$A$2:$A$301,Loan_Register!$N$2:$N$301,""), "")</f>
        <v/>
      </c>
      <c r="E753" s="8" t="n"/>
      <c r="F753">
        <f>IF($A753="","", IF($E753&gt;=$D753,"Paid", IF(TODAY()&gt;$C753,"Overdue","Pending")))</f>
        <v/>
      </c>
      <c r="G753" s="6" t="n"/>
      <c r="I753" s="8">
        <f>IF($A753="","", SUMIFS($D$2:$D$801,$A$2:$A$801,$A753) - SUMIFS($E$2:$E$801,$A$2:$A$801,$A753))</f>
        <v/>
      </c>
      <c r="J753">
        <f>IF($F753="Paid",0, IF($C753="","", MAX(0, TODAY()-$C753)))</f>
        <v/>
      </c>
    </row>
    <row r="754">
      <c r="C754" s="6">
        <f>IF(AND($A754&lt;&gt;"",$B754&lt;&gt;""), XLOOKUP($A754,Loan_Register!$A$2:$A$301,Loan_Register!$M$2:$M$301,"") + 7*($B754-1), "")</f>
        <v/>
      </c>
      <c r="D754" s="8">
        <f>IF($A754&lt;&gt;"", XLOOKUP($A754,Loan_Register!$A$2:$A$301,Loan_Register!$N$2:$N$301,""), "")</f>
        <v/>
      </c>
      <c r="E754" s="8" t="n"/>
      <c r="F754">
        <f>IF($A754="","", IF($E754&gt;=$D754,"Paid", IF(TODAY()&gt;$C754,"Overdue","Pending")))</f>
        <v/>
      </c>
      <c r="G754" s="6" t="n"/>
      <c r="I754" s="8">
        <f>IF($A754="","", SUMIFS($D$2:$D$801,$A$2:$A$801,$A754) - SUMIFS($E$2:$E$801,$A$2:$A$801,$A754))</f>
        <v/>
      </c>
      <c r="J754">
        <f>IF($F754="Paid",0, IF($C754="","", MAX(0, TODAY()-$C754)))</f>
        <v/>
      </c>
    </row>
    <row r="755">
      <c r="C755" s="6">
        <f>IF(AND($A755&lt;&gt;"",$B755&lt;&gt;""), XLOOKUP($A755,Loan_Register!$A$2:$A$301,Loan_Register!$M$2:$M$301,"") + 7*($B755-1), "")</f>
        <v/>
      </c>
      <c r="D755" s="8">
        <f>IF($A755&lt;&gt;"", XLOOKUP($A755,Loan_Register!$A$2:$A$301,Loan_Register!$N$2:$N$301,""), "")</f>
        <v/>
      </c>
      <c r="E755" s="8" t="n"/>
      <c r="F755">
        <f>IF($A755="","", IF($E755&gt;=$D755,"Paid", IF(TODAY()&gt;$C755,"Overdue","Pending")))</f>
        <v/>
      </c>
      <c r="G755" s="6" t="n"/>
      <c r="I755" s="8">
        <f>IF($A755="","", SUMIFS($D$2:$D$801,$A$2:$A$801,$A755) - SUMIFS($E$2:$E$801,$A$2:$A$801,$A755))</f>
        <v/>
      </c>
      <c r="J755">
        <f>IF($F755="Paid",0, IF($C755="","", MAX(0, TODAY()-$C755)))</f>
        <v/>
      </c>
    </row>
    <row r="756">
      <c r="C756" s="6">
        <f>IF(AND($A756&lt;&gt;"",$B756&lt;&gt;""), XLOOKUP($A756,Loan_Register!$A$2:$A$301,Loan_Register!$M$2:$M$301,"") + 7*($B756-1), "")</f>
        <v/>
      </c>
      <c r="D756" s="8">
        <f>IF($A756&lt;&gt;"", XLOOKUP($A756,Loan_Register!$A$2:$A$301,Loan_Register!$N$2:$N$301,""), "")</f>
        <v/>
      </c>
      <c r="E756" s="8" t="n"/>
      <c r="F756">
        <f>IF($A756="","", IF($E756&gt;=$D756,"Paid", IF(TODAY()&gt;$C756,"Overdue","Pending")))</f>
        <v/>
      </c>
      <c r="G756" s="6" t="n"/>
      <c r="I756" s="8">
        <f>IF($A756="","", SUMIFS($D$2:$D$801,$A$2:$A$801,$A756) - SUMIFS($E$2:$E$801,$A$2:$A$801,$A756))</f>
        <v/>
      </c>
      <c r="J756">
        <f>IF($F756="Paid",0, IF($C756="","", MAX(0, TODAY()-$C756)))</f>
        <v/>
      </c>
    </row>
    <row r="757">
      <c r="C757" s="6">
        <f>IF(AND($A757&lt;&gt;"",$B757&lt;&gt;""), XLOOKUP($A757,Loan_Register!$A$2:$A$301,Loan_Register!$M$2:$M$301,"") + 7*($B757-1), "")</f>
        <v/>
      </c>
      <c r="D757" s="8">
        <f>IF($A757&lt;&gt;"", XLOOKUP($A757,Loan_Register!$A$2:$A$301,Loan_Register!$N$2:$N$301,""), "")</f>
        <v/>
      </c>
      <c r="E757" s="8" t="n"/>
      <c r="F757">
        <f>IF($A757="","", IF($E757&gt;=$D757,"Paid", IF(TODAY()&gt;$C757,"Overdue","Pending")))</f>
        <v/>
      </c>
      <c r="G757" s="6" t="n"/>
      <c r="I757" s="8">
        <f>IF($A757="","", SUMIFS($D$2:$D$801,$A$2:$A$801,$A757) - SUMIFS($E$2:$E$801,$A$2:$A$801,$A757))</f>
        <v/>
      </c>
      <c r="J757">
        <f>IF($F757="Paid",0, IF($C757="","", MAX(0, TODAY()-$C757)))</f>
        <v/>
      </c>
    </row>
    <row r="758">
      <c r="C758" s="6">
        <f>IF(AND($A758&lt;&gt;"",$B758&lt;&gt;""), XLOOKUP($A758,Loan_Register!$A$2:$A$301,Loan_Register!$M$2:$M$301,"") + 7*($B758-1), "")</f>
        <v/>
      </c>
      <c r="D758" s="8">
        <f>IF($A758&lt;&gt;"", XLOOKUP($A758,Loan_Register!$A$2:$A$301,Loan_Register!$N$2:$N$301,""), "")</f>
        <v/>
      </c>
      <c r="E758" s="8" t="n"/>
      <c r="F758">
        <f>IF($A758="","", IF($E758&gt;=$D758,"Paid", IF(TODAY()&gt;$C758,"Overdue","Pending")))</f>
        <v/>
      </c>
      <c r="G758" s="6" t="n"/>
      <c r="I758" s="8">
        <f>IF($A758="","", SUMIFS($D$2:$D$801,$A$2:$A$801,$A758) - SUMIFS($E$2:$E$801,$A$2:$A$801,$A758))</f>
        <v/>
      </c>
      <c r="J758">
        <f>IF($F758="Paid",0, IF($C758="","", MAX(0, TODAY()-$C758)))</f>
        <v/>
      </c>
    </row>
    <row r="759">
      <c r="C759" s="6">
        <f>IF(AND($A759&lt;&gt;"",$B759&lt;&gt;""), XLOOKUP($A759,Loan_Register!$A$2:$A$301,Loan_Register!$M$2:$M$301,"") + 7*($B759-1), "")</f>
        <v/>
      </c>
      <c r="D759" s="8">
        <f>IF($A759&lt;&gt;"", XLOOKUP($A759,Loan_Register!$A$2:$A$301,Loan_Register!$N$2:$N$301,""), "")</f>
        <v/>
      </c>
      <c r="E759" s="8" t="n"/>
      <c r="F759">
        <f>IF($A759="","", IF($E759&gt;=$D759,"Paid", IF(TODAY()&gt;$C759,"Overdue","Pending")))</f>
        <v/>
      </c>
      <c r="G759" s="6" t="n"/>
      <c r="I759" s="8">
        <f>IF($A759="","", SUMIFS($D$2:$D$801,$A$2:$A$801,$A759) - SUMIFS($E$2:$E$801,$A$2:$A$801,$A759))</f>
        <v/>
      </c>
      <c r="J759">
        <f>IF($F759="Paid",0, IF($C759="","", MAX(0, TODAY()-$C759)))</f>
        <v/>
      </c>
    </row>
    <row r="760">
      <c r="C760" s="6">
        <f>IF(AND($A760&lt;&gt;"",$B760&lt;&gt;""), XLOOKUP($A760,Loan_Register!$A$2:$A$301,Loan_Register!$M$2:$M$301,"") + 7*($B760-1), "")</f>
        <v/>
      </c>
      <c r="D760" s="8">
        <f>IF($A760&lt;&gt;"", XLOOKUP($A760,Loan_Register!$A$2:$A$301,Loan_Register!$N$2:$N$301,""), "")</f>
        <v/>
      </c>
      <c r="E760" s="8" t="n"/>
      <c r="F760">
        <f>IF($A760="","", IF($E760&gt;=$D760,"Paid", IF(TODAY()&gt;$C760,"Overdue","Pending")))</f>
        <v/>
      </c>
      <c r="G760" s="6" t="n"/>
      <c r="I760" s="8">
        <f>IF($A760="","", SUMIFS($D$2:$D$801,$A$2:$A$801,$A760) - SUMIFS($E$2:$E$801,$A$2:$A$801,$A760))</f>
        <v/>
      </c>
      <c r="J760">
        <f>IF($F760="Paid",0, IF($C760="","", MAX(0, TODAY()-$C760)))</f>
        <v/>
      </c>
    </row>
    <row r="761">
      <c r="C761" s="6">
        <f>IF(AND($A761&lt;&gt;"",$B761&lt;&gt;""), XLOOKUP($A761,Loan_Register!$A$2:$A$301,Loan_Register!$M$2:$M$301,"") + 7*($B761-1), "")</f>
        <v/>
      </c>
      <c r="D761" s="8">
        <f>IF($A761&lt;&gt;"", XLOOKUP($A761,Loan_Register!$A$2:$A$301,Loan_Register!$N$2:$N$301,""), "")</f>
        <v/>
      </c>
      <c r="E761" s="8" t="n"/>
      <c r="F761">
        <f>IF($A761="","", IF($E761&gt;=$D761,"Paid", IF(TODAY()&gt;$C761,"Overdue","Pending")))</f>
        <v/>
      </c>
      <c r="G761" s="6" t="n"/>
      <c r="I761" s="8">
        <f>IF($A761="","", SUMIFS($D$2:$D$801,$A$2:$A$801,$A761) - SUMIFS($E$2:$E$801,$A$2:$A$801,$A761))</f>
        <v/>
      </c>
      <c r="J761">
        <f>IF($F761="Paid",0, IF($C761="","", MAX(0, TODAY()-$C761)))</f>
        <v/>
      </c>
    </row>
    <row r="762">
      <c r="C762" s="6">
        <f>IF(AND($A762&lt;&gt;"",$B762&lt;&gt;""), XLOOKUP($A762,Loan_Register!$A$2:$A$301,Loan_Register!$M$2:$M$301,"") + 7*($B762-1), "")</f>
        <v/>
      </c>
      <c r="D762" s="8">
        <f>IF($A762&lt;&gt;"", XLOOKUP($A762,Loan_Register!$A$2:$A$301,Loan_Register!$N$2:$N$301,""), "")</f>
        <v/>
      </c>
      <c r="E762" s="8" t="n"/>
      <c r="F762">
        <f>IF($A762="","", IF($E762&gt;=$D762,"Paid", IF(TODAY()&gt;$C762,"Overdue","Pending")))</f>
        <v/>
      </c>
      <c r="G762" s="6" t="n"/>
      <c r="I762" s="8">
        <f>IF($A762="","", SUMIFS($D$2:$D$801,$A$2:$A$801,$A762) - SUMIFS($E$2:$E$801,$A$2:$A$801,$A762))</f>
        <v/>
      </c>
      <c r="J762">
        <f>IF($F762="Paid",0, IF($C762="","", MAX(0, TODAY()-$C762)))</f>
        <v/>
      </c>
    </row>
    <row r="763">
      <c r="C763" s="6">
        <f>IF(AND($A763&lt;&gt;"",$B763&lt;&gt;""), XLOOKUP($A763,Loan_Register!$A$2:$A$301,Loan_Register!$M$2:$M$301,"") + 7*($B763-1), "")</f>
        <v/>
      </c>
      <c r="D763" s="8">
        <f>IF($A763&lt;&gt;"", XLOOKUP($A763,Loan_Register!$A$2:$A$301,Loan_Register!$N$2:$N$301,""), "")</f>
        <v/>
      </c>
      <c r="E763" s="8" t="n"/>
      <c r="F763">
        <f>IF($A763="","", IF($E763&gt;=$D763,"Paid", IF(TODAY()&gt;$C763,"Overdue","Pending")))</f>
        <v/>
      </c>
      <c r="G763" s="6" t="n"/>
      <c r="I763" s="8">
        <f>IF($A763="","", SUMIFS($D$2:$D$801,$A$2:$A$801,$A763) - SUMIFS($E$2:$E$801,$A$2:$A$801,$A763))</f>
        <v/>
      </c>
      <c r="J763">
        <f>IF($F763="Paid",0, IF($C763="","", MAX(0, TODAY()-$C763)))</f>
        <v/>
      </c>
    </row>
    <row r="764">
      <c r="C764" s="6">
        <f>IF(AND($A764&lt;&gt;"",$B764&lt;&gt;""), XLOOKUP($A764,Loan_Register!$A$2:$A$301,Loan_Register!$M$2:$M$301,"") + 7*($B764-1), "")</f>
        <v/>
      </c>
      <c r="D764" s="8">
        <f>IF($A764&lt;&gt;"", XLOOKUP($A764,Loan_Register!$A$2:$A$301,Loan_Register!$N$2:$N$301,""), "")</f>
        <v/>
      </c>
      <c r="E764" s="8" t="n"/>
      <c r="F764">
        <f>IF($A764="","", IF($E764&gt;=$D764,"Paid", IF(TODAY()&gt;$C764,"Overdue","Pending")))</f>
        <v/>
      </c>
      <c r="G764" s="6" t="n"/>
      <c r="I764" s="8">
        <f>IF($A764="","", SUMIFS($D$2:$D$801,$A$2:$A$801,$A764) - SUMIFS($E$2:$E$801,$A$2:$A$801,$A764))</f>
        <v/>
      </c>
      <c r="J764">
        <f>IF($F764="Paid",0, IF($C764="","", MAX(0, TODAY()-$C764)))</f>
        <v/>
      </c>
    </row>
    <row r="765">
      <c r="C765" s="6">
        <f>IF(AND($A765&lt;&gt;"",$B765&lt;&gt;""), XLOOKUP($A765,Loan_Register!$A$2:$A$301,Loan_Register!$M$2:$M$301,"") + 7*($B765-1), "")</f>
        <v/>
      </c>
      <c r="D765" s="8">
        <f>IF($A765&lt;&gt;"", XLOOKUP($A765,Loan_Register!$A$2:$A$301,Loan_Register!$N$2:$N$301,""), "")</f>
        <v/>
      </c>
      <c r="E765" s="8" t="n"/>
      <c r="F765">
        <f>IF($A765="","", IF($E765&gt;=$D765,"Paid", IF(TODAY()&gt;$C765,"Overdue","Pending")))</f>
        <v/>
      </c>
      <c r="G765" s="6" t="n"/>
      <c r="I765" s="8">
        <f>IF($A765="","", SUMIFS($D$2:$D$801,$A$2:$A$801,$A765) - SUMIFS($E$2:$E$801,$A$2:$A$801,$A765))</f>
        <v/>
      </c>
      <c r="J765">
        <f>IF($F765="Paid",0, IF($C765="","", MAX(0, TODAY()-$C765)))</f>
        <v/>
      </c>
    </row>
    <row r="766">
      <c r="C766" s="6">
        <f>IF(AND($A766&lt;&gt;"",$B766&lt;&gt;""), XLOOKUP($A766,Loan_Register!$A$2:$A$301,Loan_Register!$M$2:$M$301,"") + 7*($B766-1), "")</f>
        <v/>
      </c>
      <c r="D766" s="8">
        <f>IF($A766&lt;&gt;"", XLOOKUP($A766,Loan_Register!$A$2:$A$301,Loan_Register!$N$2:$N$301,""), "")</f>
        <v/>
      </c>
      <c r="E766" s="8" t="n"/>
      <c r="F766">
        <f>IF($A766="","", IF($E766&gt;=$D766,"Paid", IF(TODAY()&gt;$C766,"Overdue","Pending")))</f>
        <v/>
      </c>
      <c r="G766" s="6" t="n"/>
      <c r="I766" s="8">
        <f>IF($A766="","", SUMIFS($D$2:$D$801,$A$2:$A$801,$A766) - SUMIFS($E$2:$E$801,$A$2:$A$801,$A766))</f>
        <v/>
      </c>
      <c r="J766">
        <f>IF($F766="Paid",0, IF($C766="","", MAX(0, TODAY()-$C766)))</f>
        <v/>
      </c>
    </row>
    <row r="767">
      <c r="C767" s="6">
        <f>IF(AND($A767&lt;&gt;"",$B767&lt;&gt;""), XLOOKUP($A767,Loan_Register!$A$2:$A$301,Loan_Register!$M$2:$M$301,"") + 7*($B767-1), "")</f>
        <v/>
      </c>
      <c r="D767" s="8">
        <f>IF($A767&lt;&gt;"", XLOOKUP($A767,Loan_Register!$A$2:$A$301,Loan_Register!$N$2:$N$301,""), "")</f>
        <v/>
      </c>
      <c r="E767" s="8" t="n"/>
      <c r="F767">
        <f>IF($A767="","", IF($E767&gt;=$D767,"Paid", IF(TODAY()&gt;$C767,"Overdue","Pending")))</f>
        <v/>
      </c>
      <c r="G767" s="6" t="n"/>
      <c r="I767" s="8">
        <f>IF($A767="","", SUMIFS($D$2:$D$801,$A$2:$A$801,$A767) - SUMIFS($E$2:$E$801,$A$2:$A$801,$A767))</f>
        <v/>
      </c>
      <c r="J767">
        <f>IF($F767="Paid",0, IF($C767="","", MAX(0, TODAY()-$C767)))</f>
        <v/>
      </c>
    </row>
    <row r="768">
      <c r="C768" s="6">
        <f>IF(AND($A768&lt;&gt;"",$B768&lt;&gt;""), XLOOKUP($A768,Loan_Register!$A$2:$A$301,Loan_Register!$M$2:$M$301,"") + 7*($B768-1), "")</f>
        <v/>
      </c>
      <c r="D768" s="8">
        <f>IF($A768&lt;&gt;"", XLOOKUP($A768,Loan_Register!$A$2:$A$301,Loan_Register!$N$2:$N$301,""), "")</f>
        <v/>
      </c>
      <c r="E768" s="8" t="n"/>
      <c r="F768">
        <f>IF($A768="","", IF($E768&gt;=$D768,"Paid", IF(TODAY()&gt;$C768,"Overdue","Pending")))</f>
        <v/>
      </c>
      <c r="G768" s="6" t="n"/>
      <c r="I768" s="8">
        <f>IF($A768="","", SUMIFS($D$2:$D$801,$A$2:$A$801,$A768) - SUMIFS($E$2:$E$801,$A$2:$A$801,$A768))</f>
        <v/>
      </c>
      <c r="J768">
        <f>IF($F768="Paid",0, IF($C768="","", MAX(0, TODAY()-$C768)))</f>
        <v/>
      </c>
    </row>
    <row r="769">
      <c r="C769" s="6">
        <f>IF(AND($A769&lt;&gt;"",$B769&lt;&gt;""), XLOOKUP($A769,Loan_Register!$A$2:$A$301,Loan_Register!$M$2:$M$301,"") + 7*($B769-1), "")</f>
        <v/>
      </c>
      <c r="D769" s="8">
        <f>IF($A769&lt;&gt;"", XLOOKUP($A769,Loan_Register!$A$2:$A$301,Loan_Register!$N$2:$N$301,""), "")</f>
        <v/>
      </c>
      <c r="E769" s="8" t="n"/>
      <c r="F769">
        <f>IF($A769="","", IF($E769&gt;=$D769,"Paid", IF(TODAY()&gt;$C769,"Overdue","Pending")))</f>
        <v/>
      </c>
      <c r="G769" s="6" t="n"/>
      <c r="I769" s="8">
        <f>IF($A769="","", SUMIFS($D$2:$D$801,$A$2:$A$801,$A769) - SUMIFS($E$2:$E$801,$A$2:$A$801,$A769))</f>
        <v/>
      </c>
      <c r="J769">
        <f>IF($F769="Paid",0, IF($C769="","", MAX(0, TODAY()-$C769)))</f>
        <v/>
      </c>
    </row>
    <row r="770">
      <c r="C770" s="6">
        <f>IF(AND($A770&lt;&gt;"",$B770&lt;&gt;""), XLOOKUP($A770,Loan_Register!$A$2:$A$301,Loan_Register!$M$2:$M$301,"") + 7*($B770-1), "")</f>
        <v/>
      </c>
      <c r="D770" s="8">
        <f>IF($A770&lt;&gt;"", XLOOKUP($A770,Loan_Register!$A$2:$A$301,Loan_Register!$N$2:$N$301,""), "")</f>
        <v/>
      </c>
      <c r="E770" s="8" t="n"/>
      <c r="F770">
        <f>IF($A770="","", IF($E770&gt;=$D770,"Paid", IF(TODAY()&gt;$C770,"Overdue","Pending")))</f>
        <v/>
      </c>
      <c r="G770" s="6" t="n"/>
      <c r="I770" s="8">
        <f>IF($A770="","", SUMIFS($D$2:$D$801,$A$2:$A$801,$A770) - SUMIFS($E$2:$E$801,$A$2:$A$801,$A770))</f>
        <v/>
      </c>
      <c r="J770">
        <f>IF($F770="Paid",0, IF($C770="","", MAX(0, TODAY()-$C770)))</f>
        <v/>
      </c>
    </row>
    <row r="771">
      <c r="C771" s="6">
        <f>IF(AND($A771&lt;&gt;"",$B771&lt;&gt;""), XLOOKUP($A771,Loan_Register!$A$2:$A$301,Loan_Register!$M$2:$M$301,"") + 7*($B771-1), "")</f>
        <v/>
      </c>
      <c r="D771" s="8">
        <f>IF($A771&lt;&gt;"", XLOOKUP($A771,Loan_Register!$A$2:$A$301,Loan_Register!$N$2:$N$301,""), "")</f>
        <v/>
      </c>
      <c r="E771" s="8" t="n"/>
      <c r="F771">
        <f>IF($A771="","", IF($E771&gt;=$D771,"Paid", IF(TODAY()&gt;$C771,"Overdue","Pending")))</f>
        <v/>
      </c>
      <c r="G771" s="6" t="n"/>
      <c r="I771" s="8">
        <f>IF($A771="","", SUMIFS($D$2:$D$801,$A$2:$A$801,$A771) - SUMIFS($E$2:$E$801,$A$2:$A$801,$A771))</f>
        <v/>
      </c>
      <c r="J771">
        <f>IF($F771="Paid",0, IF($C771="","", MAX(0, TODAY()-$C771)))</f>
        <v/>
      </c>
    </row>
    <row r="772">
      <c r="C772" s="6">
        <f>IF(AND($A772&lt;&gt;"",$B772&lt;&gt;""), XLOOKUP($A772,Loan_Register!$A$2:$A$301,Loan_Register!$M$2:$M$301,"") + 7*($B772-1), "")</f>
        <v/>
      </c>
      <c r="D772" s="8">
        <f>IF($A772&lt;&gt;"", XLOOKUP($A772,Loan_Register!$A$2:$A$301,Loan_Register!$N$2:$N$301,""), "")</f>
        <v/>
      </c>
      <c r="E772" s="8" t="n"/>
      <c r="F772">
        <f>IF($A772="","", IF($E772&gt;=$D772,"Paid", IF(TODAY()&gt;$C772,"Overdue","Pending")))</f>
        <v/>
      </c>
      <c r="G772" s="6" t="n"/>
      <c r="I772" s="8">
        <f>IF($A772="","", SUMIFS($D$2:$D$801,$A$2:$A$801,$A772) - SUMIFS($E$2:$E$801,$A$2:$A$801,$A772))</f>
        <v/>
      </c>
      <c r="J772">
        <f>IF($F772="Paid",0, IF($C772="","", MAX(0, TODAY()-$C772)))</f>
        <v/>
      </c>
    </row>
    <row r="773">
      <c r="C773" s="6">
        <f>IF(AND($A773&lt;&gt;"",$B773&lt;&gt;""), XLOOKUP($A773,Loan_Register!$A$2:$A$301,Loan_Register!$M$2:$M$301,"") + 7*($B773-1), "")</f>
        <v/>
      </c>
      <c r="D773" s="8">
        <f>IF($A773&lt;&gt;"", XLOOKUP($A773,Loan_Register!$A$2:$A$301,Loan_Register!$N$2:$N$301,""), "")</f>
        <v/>
      </c>
      <c r="E773" s="8" t="n"/>
      <c r="F773">
        <f>IF($A773="","", IF($E773&gt;=$D773,"Paid", IF(TODAY()&gt;$C773,"Overdue","Pending")))</f>
        <v/>
      </c>
      <c r="G773" s="6" t="n"/>
      <c r="I773" s="8">
        <f>IF($A773="","", SUMIFS($D$2:$D$801,$A$2:$A$801,$A773) - SUMIFS($E$2:$E$801,$A$2:$A$801,$A773))</f>
        <v/>
      </c>
      <c r="J773">
        <f>IF($F773="Paid",0, IF($C773="","", MAX(0, TODAY()-$C773)))</f>
        <v/>
      </c>
    </row>
    <row r="774">
      <c r="C774" s="6">
        <f>IF(AND($A774&lt;&gt;"",$B774&lt;&gt;""), XLOOKUP($A774,Loan_Register!$A$2:$A$301,Loan_Register!$M$2:$M$301,"") + 7*($B774-1), "")</f>
        <v/>
      </c>
      <c r="D774" s="8">
        <f>IF($A774&lt;&gt;"", XLOOKUP($A774,Loan_Register!$A$2:$A$301,Loan_Register!$N$2:$N$301,""), "")</f>
        <v/>
      </c>
      <c r="E774" s="8" t="n"/>
      <c r="F774">
        <f>IF($A774="","", IF($E774&gt;=$D774,"Paid", IF(TODAY()&gt;$C774,"Overdue","Pending")))</f>
        <v/>
      </c>
      <c r="G774" s="6" t="n"/>
      <c r="I774" s="8">
        <f>IF($A774="","", SUMIFS($D$2:$D$801,$A$2:$A$801,$A774) - SUMIFS($E$2:$E$801,$A$2:$A$801,$A774))</f>
        <v/>
      </c>
      <c r="J774">
        <f>IF($F774="Paid",0, IF($C774="","", MAX(0, TODAY()-$C774)))</f>
        <v/>
      </c>
    </row>
    <row r="775">
      <c r="C775" s="6">
        <f>IF(AND($A775&lt;&gt;"",$B775&lt;&gt;""), XLOOKUP($A775,Loan_Register!$A$2:$A$301,Loan_Register!$M$2:$M$301,"") + 7*($B775-1), "")</f>
        <v/>
      </c>
      <c r="D775" s="8">
        <f>IF($A775&lt;&gt;"", XLOOKUP($A775,Loan_Register!$A$2:$A$301,Loan_Register!$N$2:$N$301,""), "")</f>
        <v/>
      </c>
      <c r="E775" s="8" t="n"/>
      <c r="F775">
        <f>IF($A775="","", IF($E775&gt;=$D775,"Paid", IF(TODAY()&gt;$C775,"Overdue","Pending")))</f>
        <v/>
      </c>
      <c r="G775" s="6" t="n"/>
      <c r="I775" s="8">
        <f>IF($A775="","", SUMIFS($D$2:$D$801,$A$2:$A$801,$A775) - SUMIFS($E$2:$E$801,$A$2:$A$801,$A775))</f>
        <v/>
      </c>
      <c r="J775">
        <f>IF($F775="Paid",0, IF($C775="","", MAX(0, TODAY()-$C775)))</f>
        <v/>
      </c>
    </row>
    <row r="776">
      <c r="C776" s="6">
        <f>IF(AND($A776&lt;&gt;"",$B776&lt;&gt;""), XLOOKUP($A776,Loan_Register!$A$2:$A$301,Loan_Register!$M$2:$M$301,"") + 7*($B776-1), "")</f>
        <v/>
      </c>
      <c r="D776" s="8">
        <f>IF($A776&lt;&gt;"", XLOOKUP($A776,Loan_Register!$A$2:$A$301,Loan_Register!$N$2:$N$301,""), "")</f>
        <v/>
      </c>
      <c r="E776" s="8" t="n"/>
      <c r="F776">
        <f>IF($A776="","", IF($E776&gt;=$D776,"Paid", IF(TODAY()&gt;$C776,"Overdue","Pending")))</f>
        <v/>
      </c>
      <c r="G776" s="6" t="n"/>
      <c r="I776" s="8">
        <f>IF($A776="","", SUMIFS($D$2:$D$801,$A$2:$A$801,$A776) - SUMIFS($E$2:$E$801,$A$2:$A$801,$A776))</f>
        <v/>
      </c>
      <c r="J776">
        <f>IF($F776="Paid",0, IF($C776="","", MAX(0, TODAY()-$C776)))</f>
        <v/>
      </c>
    </row>
    <row r="777">
      <c r="C777" s="6">
        <f>IF(AND($A777&lt;&gt;"",$B777&lt;&gt;""), XLOOKUP($A777,Loan_Register!$A$2:$A$301,Loan_Register!$M$2:$M$301,"") + 7*($B777-1), "")</f>
        <v/>
      </c>
      <c r="D777" s="8">
        <f>IF($A777&lt;&gt;"", XLOOKUP($A777,Loan_Register!$A$2:$A$301,Loan_Register!$N$2:$N$301,""), "")</f>
        <v/>
      </c>
      <c r="E777" s="8" t="n"/>
      <c r="F777">
        <f>IF($A777="","", IF($E777&gt;=$D777,"Paid", IF(TODAY()&gt;$C777,"Overdue","Pending")))</f>
        <v/>
      </c>
      <c r="G777" s="6" t="n"/>
      <c r="I777" s="8">
        <f>IF($A777="","", SUMIFS($D$2:$D$801,$A$2:$A$801,$A777) - SUMIFS($E$2:$E$801,$A$2:$A$801,$A777))</f>
        <v/>
      </c>
      <c r="J777">
        <f>IF($F777="Paid",0, IF($C777="","", MAX(0, TODAY()-$C777)))</f>
        <v/>
      </c>
    </row>
    <row r="778">
      <c r="C778" s="6">
        <f>IF(AND($A778&lt;&gt;"",$B778&lt;&gt;""), XLOOKUP($A778,Loan_Register!$A$2:$A$301,Loan_Register!$M$2:$M$301,"") + 7*($B778-1), "")</f>
        <v/>
      </c>
      <c r="D778" s="8">
        <f>IF($A778&lt;&gt;"", XLOOKUP($A778,Loan_Register!$A$2:$A$301,Loan_Register!$N$2:$N$301,""), "")</f>
        <v/>
      </c>
      <c r="E778" s="8" t="n"/>
      <c r="F778">
        <f>IF($A778="","", IF($E778&gt;=$D778,"Paid", IF(TODAY()&gt;$C778,"Overdue","Pending")))</f>
        <v/>
      </c>
      <c r="G778" s="6" t="n"/>
      <c r="I778" s="8">
        <f>IF($A778="","", SUMIFS($D$2:$D$801,$A$2:$A$801,$A778) - SUMIFS($E$2:$E$801,$A$2:$A$801,$A778))</f>
        <v/>
      </c>
      <c r="J778">
        <f>IF($F778="Paid",0, IF($C778="","", MAX(0, TODAY()-$C778)))</f>
        <v/>
      </c>
    </row>
    <row r="779">
      <c r="C779" s="6">
        <f>IF(AND($A779&lt;&gt;"",$B779&lt;&gt;""), XLOOKUP($A779,Loan_Register!$A$2:$A$301,Loan_Register!$M$2:$M$301,"") + 7*($B779-1), "")</f>
        <v/>
      </c>
      <c r="D779" s="8">
        <f>IF($A779&lt;&gt;"", XLOOKUP($A779,Loan_Register!$A$2:$A$301,Loan_Register!$N$2:$N$301,""), "")</f>
        <v/>
      </c>
      <c r="E779" s="8" t="n"/>
      <c r="F779">
        <f>IF($A779="","", IF($E779&gt;=$D779,"Paid", IF(TODAY()&gt;$C779,"Overdue","Pending")))</f>
        <v/>
      </c>
      <c r="G779" s="6" t="n"/>
      <c r="I779" s="8">
        <f>IF($A779="","", SUMIFS($D$2:$D$801,$A$2:$A$801,$A779) - SUMIFS($E$2:$E$801,$A$2:$A$801,$A779))</f>
        <v/>
      </c>
      <c r="J779">
        <f>IF($F779="Paid",0, IF($C779="","", MAX(0, TODAY()-$C779)))</f>
        <v/>
      </c>
    </row>
    <row r="780">
      <c r="C780" s="6">
        <f>IF(AND($A780&lt;&gt;"",$B780&lt;&gt;""), XLOOKUP($A780,Loan_Register!$A$2:$A$301,Loan_Register!$M$2:$M$301,"") + 7*($B780-1), "")</f>
        <v/>
      </c>
      <c r="D780" s="8">
        <f>IF($A780&lt;&gt;"", XLOOKUP($A780,Loan_Register!$A$2:$A$301,Loan_Register!$N$2:$N$301,""), "")</f>
        <v/>
      </c>
      <c r="E780" s="8" t="n"/>
      <c r="F780">
        <f>IF($A780="","", IF($E780&gt;=$D780,"Paid", IF(TODAY()&gt;$C780,"Overdue","Pending")))</f>
        <v/>
      </c>
      <c r="G780" s="6" t="n"/>
      <c r="I780" s="8">
        <f>IF($A780="","", SUMIFS($D$2:$D$801,$A$2:$A$801,$A780) - SUMIFS($E$2:$E$801,$A$2:$A$801,$A780))</f>
        <v/>
      </c>
      <c r="J780">
        <f>IF($F780="Paid",0, IF($C780="","", MAX(0, TODAY()-$C780)))</f>
        <v/>
      </c>
    </row>
    <row r="781">
      <c r="C781" s="6">
        <f>IF(AND($A781&lt;&gt;"",$B781&lt;&gt;""), XLOOKUP($A781,Loan_Register!$A$2:$A$301,Loan_Register!$M$2:$M$301,"") + 7*($B781-1), "")</f>
        <v/>
      </c>
      <c r="D781" s="8">
        <f>IF($A781&lt;&gt;"", XLOOKUP($A781,Loan_Register!$A$2:$A$301,Loan_Register!$N$2:$N$301,""), "")</f>
        <v/>
      </c>
      <c r="E781" s="8" t="n"/>
      <c r="F781">
        <f>IF($A781="","", IF($E781&gt;=$D781,"Paid", IF(TODAY()&gt;$C781,"Overdue","Pending")))</f>
        <v/>
      </c>
      <c r="G781" s="6" t="n"/>
      <c r="I781" s="8">
        <f>IF($A781="","", SUMIFS($D$2:$D$801,$A$2:$A$801,$A781) - SUMIFS($E$2:$E$801,$A$2:$A$801,$A781))</f>
        <v/>
      </c>
      <c r="J781">
        <f>IF($F781="Paid",0, IF($C781="","", MAX(0, TODAY()-$C781)))</f>
        <v/>
      </c>
    </row>
    <row r="782">
      <c r="C782" s="6">
        <f>IF(AND($A782&lt;&gt;"",$B782&lt;&gt;""), XLOOKUP($A782,Loan_Register!$A$2:$A$301,Loan_Register!$M$2:$M$301,"") + 7*($B782-1), "")</f>
        <v/>
      </c>
      <c r="D782" s="8">
        <f>IF($A782&lt;&gt;"", XLOOKUP($A782,Loan_Register!$A$2:$A$301,Loan_Register!$N$2:$N$301,""), "")</f>
        <v/>
      </c>
      <c r="E782" s="8" t="n"/>
      <c r="F782">
        <f>IF($A782="","", IF($E782&gt;=$D782,"Paid", IF(TODAY()&gt;$C782,"Overdue","Pending")))</f>
        <v/>
      </c>
      <c r="G782" s="6" t="n"/>
      <c r="I782" s="8">
        <f>IF($A782="","", SUMIFS($D$2:$D$801,$A$2:$A$801,$A782) - SUMIFS($E$2:$E$801,$A$2:$A$801,$A782))</f>
        <v/>
      </c>
      <c r="J782">
        <f>IF($F782="Paid",0, IF($C782="","", MAX(0, TODAY()-$C782)))</f>
        <v/>
      </c>
    </row>
    <row r="783">
      <c r="C783" s="6">
        <f>IF(AND($A783&lt;&gt;"",$B783&lt;&gt;""), XLOOKUP($A783,Loan_Register!$A$2:$A$301,Loan_Register!$M$2:$M$301,"") + 7*($B783-1), "")</f>
        <v/>
      </c>
      <c r="D783" s="8">
        <f>IF($A783&lt;&gt;"", XLOOKUP($A783,Loan_Register!$A$2:$A$301,Loan_Register!$N$2:$N$301,""), "")</f>
        <v/>
      </c>
      <c r="E783" s="8" t="n"/>
      <c r="F783">
        <f>IF($A783="","", IF($E783&gt;=$D783,"Paid", IF(TODAY()&gt;$C783,"Overdue","Pending")))</f>
        <v/>
      </c>
      <c r="G783" s="6" t="n"/>
      <c r="I783" s="8">
        <f>IF($A783="","", SUMIFS($D$2:$D$801,$A$2:$A$801,$A783) - SUMIFS($E$2:$E$801,$A$2:$A$801,$A783))</f>
        <v/>
      </c>
      <c r="J783">
        <f>IF($F783="Paid",0, IF($C783="","", MAX(0, TODAY()-$C783)))</f>
        <v/>
      </c>
    </row>
    <row r="784">
      <c r="C784" s="6">
        <f>IF(AND($A784&lt;&gt;"",$B784&lt;&gt;""), XLOOKUP($A784,Loan_Register!$A$2:$A$301,Loan_Register!$M$2:$M$301,"") + 7*($B784-1), "")</f>
        <v/>
      </c>
      <c r="D784" s="8">
        <f>IF($A784&lt;&gt;"", XLOOKUP($A784,Loan_Register!$A$2:$A$301,Loan_Register!$N$2:$N$301,""), "")</f>
        <v/>
      </c>
      <c r="E784" s="8" t="n"/>
      <c r="F784">
        <f>IF($A784="","", IF($E784&gt;=$D784,"Paid", IF(TODAY()&gt;$C784,"Overdue","Pending")))</f>
        <v/>
      </c>
      <c r="G784" s="6" t="n"/>
      <c r="I784" s="8">
        <f>IF($A784="","", SUMIFS($D$2:$D$801,$A$2:$A$801,$A784) - SUMIFS($E$2:$E$801,$A$2:$A$801,$A784))</f>
        <v/>
      </c>
      <c r="J784">
        <f>IF($F784="Paid",0, IF($C784="","", MAX(0, TODAY()-$C784)))</f>
        <v/>
      </c>
    </row>
    <row r="785">
      <c r="C785" s="6">
        <f>IF(AND($A785&lt;&gt;"",$B785&lt;&gt;""), XLOOKUP($A785,Loan_Register!$A$2:$A$301,Loan_Register!$M$2:$M$301,"") + 7*($B785-1), "")</f>
        <v/>
      </c>
      <c r="D785" s="8">
        <f>IF($A785&lt;&gt;"", XLOOKUP($A785,Loan_Register!$A$2:$A$301,Loan_Register!$N$2:$N$301,""), "")</f>
        <v/>
      </c>
      <c r="E785" s="8" t="n"/>
      <c r="F785">
        <f>IF($A785="","", IF($E785&gt;=$D785,"Paid", IF(TODAY()&gt;$C785,"Overdue","Pending")))</f>
        <v/>
      </c>
      <c r="G785" s="6" t="n"/>
      <c r="I785" s="8">
        <f>IF($A785="","", SUMIFS($D$2:$D$801,$A$2:$A$801,$A785) - SUMIFS($E$2:$E$801,$A$2:$A$801,$A785))</f>
        <v/>
      </c>
      <c r="J785">
        <f>IF($F785="Paid",0, IF($C785="","", MAX(0, TODAY()-$C785)))</f>
        <v/>
      </c>
    </row>
    <row r="786">
      <c r="C786" s="6">
        <f>IF(AND($A786&lt;&gt;"",$B786&lt;&gt;""), XLOOKUP($A786,Loan_Register!$A$2:$A$301,Loan_Register!$M$2:$M$301,"") + 7*($B786-1), "")</f>
        <v/>
      </c>
      <c r="D786" s="8">
        <f>IF($A786&lt;&gt;"", XLOOKUP($A786,Loan_Register!$A$2:$A$301,Loan_Register!$N$2:$N$301,""), "")</f>
        <v/>
      </c>
      <c r="E786" s="8" t="n"/>
      <c r="F786">
        <f>IF($A786="","", IF($E786&gt;=$D786,"Paid", IF(TODAY()&gt;$C786,"Overdue","Pending")))</f>
        <v/>
      </c>
      <c r="G786" s="6" t="n"/>
      <c r="I786" s="8">
        <f>IF($A786="","", SUMIFS($D$2:$D$801,$A$2:$A$801,$A786) - SUMIFS($E$2:$E$801,$A$2:$A$801,$A786))</f>
        <v/>
      </c>
      <c r="J786">
        <f>IF($F786="Paid",0, IF($C786="","", MAX(0, TODAY()-$C786)))</f>
        <v/>
      </c>
    </row>
    <row r="787">
      <c r="C787" s="6">
        <f>IF(AND($A787&lt;&gt;"",$B787&lt;&gt;""), XLOOKUP($A787,Loan_Register!$A$2:$A$301,Loan_Register!$M$2:$M$301,"") + 7*($B787-1), "")</f>
        <v/>
      </c>
      <c r="D787" s="8">
        <f>IF($A787&lt;&gt;"", XLOOKUP($A787,Loan_Register!$A$2:$A$301,Loan_Register!$N$2:$N$301,""), "")</f>
        <v/>
      </c>
      <c r="E787" s="8" t="n"/>
      <c r="F787">
        <f>IF($A787="","", IF($E787&gt;=$D787,"Paid", IF(TODAY()&gt;$C787,"Overdue","Pending")))</f>
        <v/>
      </c>
      <c r="G787" s="6" t="n"/>
      <c r="I787" s="8">
        <f>IF($A787="","", SUMIFS($D$2:$D$801,$A$2:$A$801,$A787) - SUMIFS($E$2:$E$801,$A$2:$A$801,$A787))</f>
        <v/>
      </c>
      <c r="J787">
        <f>IF($F787="Paid",0, IF($C787="","", MAX(0, TODAY()-$C787)))</f>
        <v/>
      </c>
    </row>
    <row r="788">
      <c r="C788" s="6">
        <f>IF(AND($A788&lt;&gt;"",$B788&lt;&gt;""), XLOOKUP($A788,Loan_Register!$A$2:$A$301,Loan_Register!$M$2:$M$301,"") + 7*($B788-1), "")</f>
        <v/>
      </c>
      <c r="D788" s="8">
        <f>IF($A788&lt;&gt;"", XLOOKUP($A788,Loan_Register!$A$2:$A$301,Loan_Register!$N$2:$N$301,""), "")</f>
        <v/>
      </c>
      <c r="E788" s="8" t="n"/>
      <c r="F788">
        <f>IF($A788="","", IF($E788&gt;=$D788,"Paid", IF(TODAY()&gt;$C788,"Overdue","Pending")))</f>
        <v/>
      </c>
      <c r="G788" s="6" t="n"/>
      <c r="I788" s="8">
        <f>IF($A788="","", SUMIFS($D$2:$D$801,$A$2:$A$801,$A788) - SUMIFS($E$2:$E$801,$A$2:$A$801,$A788))</f>
        <v/>
      </c>
      <c r="J788">
        <f>IF($F788="Paid",0, IF($C788="","", MAX(0, TODAY()-$C788)))</f>
        <v/>
      </c>
    </row>
    <row r="789">
      <c r="C789" s="6">
        <f>IF(AND($A789&lt;&gt;"",$B789&lt;&gt;""), XLOOKUP($A789,Loan_Register!$A$2:$A$301,Loan_Register!$M$2:$M$301,"") + 7*($B789-1), "")</f>
        <v/>
      </c>
      <c r="D789" s="8">
        <f>IF($A789&lt;&gt;"", XLOOKUP($A789,Loan_Register!$A$2:$A$301,Loan_Register!$N$2:$N$301,""), "")</f>
        <v/>
      </c>
      <c r="E789" s="8" t="n"/>
      <c r="F789">
        <f>IF($A789="","", IF($E789&gt;=$D789,"Paid", IF(TODAY()&gt;$C789,"Overdue","Pending")))</f>
        <v/>
      </c>
      <c r="G789" s="6" t="n"/>
      <c r="I789" s="8">
        <f>IF($A789="","", SUMIFS($D$2:$D$801,$A$2:$A$801,$A789) - SUMIFS($E$2:$E$801,$A$2:$A$801,$A789))</f>
        <v/>
      </c>
      <c r="J789">
        <f>IF($F789="Paid",0, IF($C789="","", MAX(0, TODAY()-$C789)))</f>
        <v/>
      </c>
    </row>
    <row r="790">
      <c r="C790" s="6">
        <f>IF(AND($A790&lt;&gt;"",$B790&lt;&gt;""), XLOOKUP($A790,Loan_Register!$A$2:$A$301,Loan_Register!$M$2:$M$301,"") + 7*($B790-1), "")</f>
        <v/>
      </c>
      <c r="D790" s="8">
        <f>IF($A790&lt;&gt;"", XLOOKUP($A790,Loan_Register!$A$2:$A$301,Loan_Register!$N$2:$N$301,""), "")</f>
        <v/>
      </c>
      <c r="E790" s="8" t="n"/>
      <c r="F790">
        <f>IF($A790="","", IF($E790&gt;=$D790,"Paid", IF(TODAY()&gt;$C790,"Overdue","Pending")))</f>
        <v/>
      </c>
      <c r="G790" s="6" t="n"/>
      <c r="I790" s="8">
        <f>IF($A790="","", SUMIFS($D$2:$D$801,$A$2:$A$801,$A790) - SUMIFS($E$2:$E$801,$A$2:$A$801,$A790))</f>
        <v/>
      </c>
      <c r="J790">
        <f>IF($F790="Paid",0, IF($C790="","", MAX(0, TODAY()-$C790)))</f>
        <v/>
      </c>
    </row>
    <row r="791">
      <c r="C791" s="6">
        <f>IF(AND($A791&lt;&gt;"",$B791&lt;&gt;""), XLOOKUP($A791,Loan_Register!$A$2:$A$301,Loan_Register!$M$2:$M$301,"") + 7*($B791-1), "")</f>
        <v/>
      </c>
      <c r="D791" s="8">
        <f>IF($A791&lt;&gt;"", XLOOKUP($A791,Loan_Register!$A$2:$A$301,Loan_Register!$N$2:$N$301,""), "")</f>
        <v/>
      </c>
      <c r="E791" s="8" t="n"/>
      <c r="F791">
        <f>IF($A791="","", IF($E791&gt;=$D791,"Paid", IF(TODAY()&gt;$C791,"Overdue","Pending")))</f>
        <v/>
      </c>
      <c r="G791" s="6" t="n"/>
      <c r="I791" s="8">
        <f>IF($A791="","", SUMIFS($D$2:$D$801,$A$2:$A$801,$A791) - SUMIFS($E$2:$E$801,$A$2:$A$801,$A791))</f>
        <v/>
      </c>
      <c r="J791">
        <f>IF($F791="Paid",0, IF($C791="","", MAX(0, TODAY()-$C791)))</f>
        <v/>
      </c>
    </row>
    <row r="792">
      <c r="C792" s="6">
        <f>IF(AND($A792&lt;&gt;"",$B792&lt;&gt;""), XLOOKUP($A792,Loan_Register!$A$2:$A$301,Loan_Register!$M$2:$M$301,"") + 7*($B792-1), "")</f>
        <v/>
      </c>
      <c r="D792" s="8">
        <f>IF($A792&lt;&gt;"", XLOOKUP($A792,Loan_Register!$A$2:$A$301,Loan_Register!$N$2:$N$301,""), "")</f>
        <v/>
      </c>
      <c r="E792" s="8" t="n"/>
      <c r="F792">
        <f>IF($A792="","", IF($E792&gt;=$D792,"Paid", IF(TODAY()&gt;$C792,"Overdue","Pending")))</f>
        <v/>
      </c>
      <c r="G792" s="6" t="n"/>
      <c r="I792" s="8">
        <f>IF($A792="","", SUMIFS($D$2:$D$801,$A$2:$A$801,$A792) - SUMIFS($E$2:$E$801,$A$2:$A$801,$A792))</f>
        <v/>
      </c>
      <c r="J792">
        <f>IF($F792="Paid",0, IF($C792="","", MAX(0, TODAY()-$C792)))</f>
        <v/>
      </c>
    </row>
    <row r="793">
      <c r="C793" s="6">
        <f>IF(AND($A793&lt;&gt;"",$B793&lt;&gt;""), XLOOKUP($A793,Loan_Register!$A$2:$A$301,Loan_Register!$M$2:$M$301,"") + 7*($B793-1), "")</f>
        <v/>
      </c>
      <c r="D793" s="8">
        <f>IF($A793&lt;&gt;"", XLOOKUP($A793,Loan_Register!$A$2:$A$301,Loan_Register!$N$2:$N$301,""), "")</f>
        <v/>
      </c>
      <c r="E793" s="8" t="n"/>
      <c r="F793">
        <f>IF($A793="","", IF($E793&gt;=$D793,"Paid", IF(TODAY()&gt;$C793,"Overdue","Pending")))</f>
        <v/>
      </c>
      <c r="G793" s="6" t="n"/>
      <c r="I793" s="8">
        <f>IF($A793="","", SUMIFS($D$2:$D$801,$A$2:$A$801,$A793) - SUMIFS($E$2:$E$801,$A$2:$A$801,$A793))</f>
        <v/>
      </c>
      <c r="J793">
        <f>IF($F793="Paid",0, IF($C793="","", MAX(0, TODAY()-$C793)))</f>
        <v/>
      </c>
    </row>
    <row r="794">
      <c r="C794" s="6">
        <f>IF(AND($A794&lt;&gt;"",$B794&lt;&gt;""), XLOOKUP($A794,Loan_Register!$A$2:$A$301,Loan_Register!$M$2:$M$301,"") + 7*($B794-1), "")</f>
        <v/>
      </c>
      <c r="D794" s="8">
        <f>IF($A794&lt;&gt;"", XLOOKUP($A794,Loan_Register!$A$2:$A$301,Loan_Register!$N$2:$N$301,""), "")</f>
        <v/>
      </c>
      <c r="E794" s="8" t="n"/>
      <c r="F794">
        <f>IF($A794="","", IF($E794&gt;=$D794,"Paid", IF(TODAY()&gt;$C794,"Overdue","Pending")))</f>
        <v/>
      </c>
      <c r="G794" s="6" t="n"/>
      <c r="I794" s="8">
        <f>IF($A794="","", SUMIFS($D$2:$D$801,$A$2:$A$801,$A794) - SUMIFS($E$2:$E$801,$A$2:$A$801,$A794))</f>
        <v/>
      </c>
      <c r="J794">
        <f>IF($F794="Paid",0, IF($C794="","", MAX(0, TODAY()-$C794)))</f>
        <v/>
      </c>
    </row>
    <row r="795">
      <c r="C795" s="6">
        <f>IF(AND($A795&lt;&gt;"",$B795&lt;&gt;""), XLOOKUP($A795,Loan_Register!$A$2:$A$301,Loan_Register!$M$2:$M$301,"") + 7*($B795-1), "")</f>
        <v/>
      </c>
      <c r="D795" s="8">
        <f>IF($A795&lt;&gt;"", XLOOKUP($A795,Loan_Register!$A$2:$A$301,Loan_Register!$N$2:$N$301,""), "")</f>
        <v/>
      </c>
      <c r="E795" s="8" t="n"/>
      <c r="F795">
        <f>IF($A795="","", IF($E795&gt;=$D795,"Paid", IF(TODAY()&gt;$C795,"Overdue","Pending")))</f>
        <v/>
      </c>
      <c r="G795" s="6" t="n"/>
      <c r="I795" s="8">
        <f>IF($A795="","", SUMIFS($D$2:$D$801,$A$2:$A$801,$A795) - SUMIFS($E$2:$E$801,$A$2:$A$801,$A795))</f>
        <v/>
      </c>
      <c r="J795">
        <f>IF($F795="Paid",0, IF($C795="","", MAX(0, TODAY()-$C795)))</f>
        <v/>
      </c>
    </row>
    <row r="796">
      <c r="C796" s="6">
        <f>IF(AND($A796&lt;&gt;"",$B796&lt;&gt;""), XLOOKUP($A796,Loan_Register!$A$2:$A$301,Loan_Register!$M$2:$M$301,"") + 7*($B796-1), "")</f>
        <v/>
      </c>
      <c r="D796" s="8">
        <f>IF($A796&lt;&gt;"", XLOOKUP($A796,Loan_Register!$A$2:$A$301,Loan_Register!$N$2:$N$301,""), "")</f>
        <v/>
      </c>
      <c r="E796" s="8" t="n"/>
      <c r="F796">
        <f>IF($A796="","", IF($E796&gt;=$D796,"Paid", IF(TODAY()&gt;$C796,"Overdue","Pending")))</f>
        <v/>
      </c>
      <c r="G796" s="6" t="n"/>
      <c r="I796" s="8">
        <f>IF($A796="","", SUMIFS($D$2:$D$801,$A$2:$A$801,$A796) - SUMIFS($E$2:$E$801,$A$2:$A$801,$A796))</f>
        <v/>
      </c>
      <c r="J796">
        <f>IF($F796="Paid",0, IF($C796="","", MAX(0, TODAY()-$C796)))</f>
        <v/>
      </c>
    </row>
    <row r="797">
      <c r="C797" s="6">
        <f>IF(AND($A797&lt;&gt;"",$B797&lt;&gt;""), XLOOKUP($A797,Loan_Register!$A$2:$A$301,Loan_Register!$M$2:$M$301,"") + 7*($B797-1), "")</f>
        <v/>
      </c>
      <c r="D797" s="8">
        <f>IF($A797&lt;&gt;"", XLOOKUP($A797,Loan_Register!$A$2:$A$301,Loan_Register!$N$2:$N$301,""), "")</f>
        <v/>
      </c>
      <c r="E797" s="8" t="n"/>
      <c r="F797">
        <f>IF($A797="","", IF($E797&gt;=$D797,"Paid", IF(TODAY()&gt;$C797,"Overdue","Pending")))</f>
        <v/>
      </c>
      <c r="G797" s="6" t="n"/>
      <c r="I797" s="8">
        <f>IF($A797="","", SUMIFS($D$2:$D$801,$A$2:$A$801,$A797) - SUMIFS($E$2:$E$801,$A$2:$A$801,$A797))</f>
        <v/>
      </c>
      <c r="J797">
        <f>IF($F797="Paid",0, IF($C797="","", MAX(0, TODAY()-$C797)))</f>
        <v/>
      </c>
    </row>
    <row r="798">
      <c r="C798" s="6">
        <f>IF(AND($A798&lt;&gt;"",$B798&lt;&gt;""), XLOOKUP($A798,Loan_Register!$A$2:$A$301,Loan_Register!$M$2:$M$301,"") + 7*($B798-1), "")</f>
        <v/>
      </c>
      <c r="D798" s="8">
        <f>IF($A798&lt;&gt;"", XLOOKUP($A798,Loan_Register!$A$2:$A$301,Loan_Register!$N$2:$N$301,""), "")</f>
        <v/>
      </c>
      <c r="E798" s="8" t="n"/>
      <c r="F798">
        <f>IF($A798="","", IF($E798&gt;=$D798,"Paid", IF(TODAY()&gt;$C798,"Overdue","Pending")))</f>
        <v/>
      </c>
      <c r="G798" s="6" t="n"/>
      <c r="I798" s="8">
        <f>IF($A798="","", SUMIFS($D$2:$D$801,$A$2:$A$801,$A798) - SUMIFS($E$2:$E$801,$A$2:$A$801,$A798))</f>
        <v/>
      </c>
      <c r="J798">
        <f>IF($F798="Paid",0, IF($C798="","", MAX(0, TODAY()-$C798)))</f>
        <v/>
      </c>
    </row>
    <row r="799">
      <c r="C799" s="6">
        <f>IF(AND($A799&lt;&gt;"",$B799&lt;&gt;""), XLOOKUP($A799,Loan_Register!$A$2:$A$301,Loan_Register!$M$2:$M$301,"") + 7*($B799-1), "")</f>
        <v/>
      </c>
      <c r="D799" s="8">
        <f>IF($A799&lt;&gt;"", XLOOKUP($A799,Loan_Register!$A$2:$A$301,Loan_Register!$N$2:$N$301,""), "")</f>
        <v/>
      </c>
      <c r="E799" s="8" t="n"/>
      <c r="F799">
        <f>IF($A799="","", IF($E799&gt;=$D799,"Paid", IF(TODAY()&gt;$C799,"Overdue","Pending")))</f>
        <v/>
      </c>
      <c r="G799" s="6" t="n"/>
      <c r="I799" s="8">
        <f>IF($A799="","", SUMIFS($D$2:$D$801,$A$2:$A$801,$A799) - SUMIFS($E$2:$E$801,$A$2:$A$801,$A799))</f>
        <v/>
      </c>
      <c r="J799">
        <f>IF($F799="Paid",0, IF($C799="","", MAX(0, TODAY()-$C799)))</f>
        <v/>
      </c>
    </row>
    <row r="800">
      <c r="C800" s="6">
        <f>IF(AND($A800&lt;&gt;"",$B800&lt;&gt;""), XLOOKUP($A800,Loan_Register!$A$2:$A$301,Loan_Register!$M$2:$M$301,"") + 7*($B800-1), "")</f>
        <v/>
      </c>
      <c r="D800" s="8">
        <f>IF($A800&lt;&gt;"", XLOOKUP($A800,Loan_Register!$A$2:$A$301,Loan_Register!$N$2:$N$301,""), "")</f>
        <v/>
      </c>
      <c r="E800" s="8" t="n"/>
      <c r="F800">
        <f>IF($A800="","", IF($E800&gt;=$D800,"Paid", IF(TODAY()&gt;$C800,"Overdue","Pending")))</f>
        <v/>
      </c>
      <c r="G800" s="6" t="n"/>
      <c r="I800" s="8">
        <f>IF($A800="","", SUMIFS($D$2:$D$801,$A$2:$A$801,$A800) - SUMIFS($E$2:$E$801,$A$2:$A$801,$A800))</f>
        <v/>
      </c>
      <c r="J800">
        <f>IF($F800="Paid",0, IF($C800="","", MAX(0, TODAY()-$C800)))</f>
        <v/>
      </c>
    </row>
    <row r="801">
      <c r="C801" s="6">
        <f>IF(AND($A801&lt;&gt;"",$B801&lt;&gt;""), XLOOKUP($A801,Loan_Register!$A$2:$A$301,Loan_Register!$M$2:$M$301,"") + 7*($B801-1), "")</f>
        <v/>
      </c>
      <c r="D801" s="8">
        <f>IF($A801&lt;&gt;"", XLOOKUP($A801,Loan_Register!$A$2:$A$301,Loan_Register!$N$2:$N$301,""), "")</f>
        <v/>
      </c>
      <c r="E801" s="8" t="n"/>
      <c r="F801">
        <f>IF($A801="","", IF($E801&gt;=$D801,"Paid", IF(TODAY()&gt;$C801,"Overdue","Pending")))</f>
        <v/>
      </c>
      <c r="G801" s="6" t="n"/>
      <c r="I801" s="8">
        <f>IF($A801="","", SUMIFS($D$2:$D$801,$A$2:$A$801,$A801) - SUMIFS($E$2:$E$801,$A$2:$A$801,$A801))</f>
        <v/>
      </c>
      <c r="J801">
        <f>IF($F801="Paid",0, IF($C801="","", MAX(0, TODAY()-$C801)))</f>
        <v/>
      </c>
    </row>
  </sheetData>
  <dataValidations count="2">
    <dataValidation sqref="A2:A801" showDropDown="0" showInputMessage="0" showErrorMessage="0" allowBlank="1" type="list">
      <formula1>=LoanIDs</formula1>
    </dataValidation>
    <dataValidation sqref="K2:K801" showDropDown="0" showInputMessage="0" showErrorMessage="0" allowBlank="1" type="list">
      <formula1>=StaffNames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4" customWidth="1" min="5" max="5"/>
    <col width="14" customWidth="1" min="6" max="6"/>
    <col width="18" customWidth="1" min="7" max="7"/>
    <col width="12" customWidth="1" min="8" max="8"/>
    <col width="24" customWidth="1" min="9" max="9"/>
  </cols>
  <sheetData>
    <row r="1" ht="28" customHeight="1">
      <c r="A1" s="3" t="inlineStr">
        <is>
          <t>Receipt No</t>
        </is>
      </c>
      <c r="B1" s="3" t="inlineStr">
        <is>
          <t>Date</t>
        </is>
      </c>
      <c r="C1" s="3" t="inlineStr">
        <is>
          <t>Loan ID</t>
        </is>
      </c>
      <c r="D1" s="3" t="inlineStr">
        <is>
          <t>Client ID</t>
        </is>
      </c>
      <c r="E1" s="3" t="inlineStr">
        <is>
          <t>Amount</t>
        </is>
      </c>
      <c r="F1" s="3" t="inlineStr">
        <is>
          <t>Payment Type</t>
        </is>
      </c>
      <c r="G1" s="3" t="inlineStr">
        <is>
          <t>Issued By</t>
        </is>
      </c>
      <c r="H1" s="3" t="inlineStr">
        <is>
          <t>Posted (Y/N)</t>
        </is>
      </c>
      <c r="I1" s="3" t="inlineStr">
        <is>
          <t>Notes</t>
        </is>
      </c>
    </row>
    <row r="2">
      <c r="A2" s="4">
        <f>IF($C2="","", "R"&amp;TEXT(ROW()-1,"00000"))</f>
        <v/>
      </c>
      <c r="B2" s="5" t="n"/>
      <c r="C2" s="4" t="n"/>
      <c r="D2" s="4" t="n"/>
      <c r="E2" s="7" t="n"/>
      <c r="F2" s="4" t="n"/>
      <c r="G2" s="4" t="n"/>
      <c r="H2" s="4" t="n"/>
      <c r="I2" s="4" t="n"/>
    </row>
    <row r="3">
      <c r="A3" s="4">
        <f>IF($C3="","", "R"&amp;TEXT(ROW()-1,"00000"))</f>
        <v/>
      </c>
      <c r="B3" s="5" t="n"/>
      <c r="C3" s="4" t="n"/>
      <c r="D3" s="4" t="n"/>
      <c r="E3" s="7" t="n"/>
      <c r="F3" s="4" t="n"/>
      <c r="G3" s="4" t="n"/>
      <c r="H3" s="4" t="n"/>
      <c r="I3" s="4" t="n"/>
    </row>
    <row r="4">
      <c r="A4" s="4">
        <f>IF($C4="","", "R"&amp;TEXT(ROW()-1,"00000"))</f>
        <v/>
      </c>
      <c r="B4" s="5" t="n"/>
      <c r="C4" s="4" t="n"/>
      <c r="D4" s="4" t="n"/>
      <c r="E4" s="7" t="n"/>
      <c r="F4" s="4" t="n"/>
      <c r="G4" s="4" t="n"/>
      <c r="H4" s="4" t="n"/>
      <c r="I4" s="4" t="n"/>
    </row>
    <row r="5">
      <c r="A5" s="4">
        <f>IF($C5="","", "R"&amp;TEXT(ROW()-1,"00000"))</f>
        <v/>
      </c>
      <c r="B5" s="5" t="n"/>
      <c r="C5" s="4" t="n"/>
      <c r="D5" s="4" t="n"/>
      <c r="E5" s="7" t="n"/>
      <c r="F5" s="4" t="n"/>
      <c r="G5" s="4" t="n"/>
      <c r="H5" s="4" t="n"/>
      <c r="I5" s="4" t="n"/>
    </row>
    <row r="6">
      <c r="A6" s="4">
        <f>IF($C6="","", "R"&amp;TEXT(ROW()-1,"00000"))</f>
        <v/>
      </c>
      <c r="B6" s="5" t="n"/>
      <c r="C6" s="4" t="n"/>
      <c r="D6" s="4" t="n"/>
      <c r="E6" s="7" t="n"/>
      <c r="F6" s="4" t="n"/>
      <c r="G6" s="4" t="n"/>
      <c r="H6" s="4" t="n"/>
      <c r="I6" s="4" t="n"/>
    </row>
    <row r="7">
      <c r="A7" s="4">
        <f>IF($C7="","", "R"&amp;TEXT(ROW()-1,"00000"))</f>
        <v/>
      </c>
      <c r="B7" s="5" t="n"/>
      <c r="C7" s="4" t="n"/>
      <c r="D7" s="4" t="n"/>
      <c r="E7" s="7" t="n"/>
      <c r="F7" s="4" t="n"/>
      <c r="G7" s="4" t="n"/>
      <c r="H7" s="4" t="n"/>
      <c r="I7" s="4" t="n"/>
    </row>
    <row r="8">
      <c r="A8" s="4">
        <f>IF($C8="","", "R"&amp;TEXT(ROW()-1,"00000"))</f>
        <v/>
      </c>
      <c r="B8" s="5" t="n"/>
      <c r="C8" s="4" t="n"/>
      <c r="D8" s="4" t="n"/>
      <c r="E8" s="7" t="n"/>
      <c r="F8" s="4" t="n"/>
      <c r="G8" s="4" t="n"/>
      <c r="H8" s="4" t="n"/>
      <c r="I8" s="4" t="n"/>
    </row>
    <row r="9">
      <c r="A9" s="4">
        <f>IF($C9="","", "R"&amp;TEXT(ROW()-1,"00000"))</f>
        <v/>
      </c>
      <c r="B9" s="5" t="n"/>
      <c r="C9" s="4" t="n"/>
      <c r="D9" s="4" t="n"/>
      <c r="E9" s="7" t="n"/>
      <c r="F9" s="4" t="n"/>
      <c r="G9" s="4" t="n"/>
      <c r="H9" s="4" t="n"/>
      <c r="I9" s="4" t="n"/>
    </row>
    <row r="10">
      <c r="A10" s="4">
        <f>IF($C10="","", "R"&amp;TEXT(ROW()-1,"00000"))</f>
        <v/>
      </c>
      <c r="B10" s="5" t="n"/>
      <c r="C10" s="4" t="n"/>
      <c r="D10" s="4" t="n"/>
      <c r="E10" s="7" t="n"/>
      <c r="F10" s="4" t="n"/>
      <c r="G10" s="4" t="n"/>
      <c r="H10" s="4" t="n"/>
      <c r="I10" s="4" t="n"/>
    </row>
    <row r="11">
      <c r="A11" s="4">
        <f>IF($C11="","", "R"&amp;TEXT(ROW()-1,"00000"))</f>
        <v/>
      </c>
      <c r="B11" s="5" t="n"/>
      <c r="C11" s="4" t="n"/>
      <c r="D11" s="4" t="n"/>
      <c r="E11" s="7" t="n"/>
      <c r="F11" s="4" t="n"/>
      <c r="G11" s="4" t="n"/>
      <c r="H11" s="4" t="n"/>
      <c r="I11" s="4" t="n"/>
    </row>
    <row r="12">
      <c r="A12" s="4">
        <f>IF($C12="","", "R"&amp;TEXT(ROW()-1,"00000"))</f>
        <v/>
      </c>
      <c r="B12" s="5" t="n"/>
      <c r="C12" s="4" t="n"/>
      <c r="D12" s="4" t="n"/>
      <c r="E12" s="7" t="n"/>
      <c r="F12" s="4" t="n"/>
      <c r="G12" s="4" t="n"/>
      <c r="H12" s="4" t="n"/>
      <c r="I12" s="4" t="n"/>
    </row>
    <row r="13">
      <c r="A13" s="4">
        <f>IF($C13="","", "R"&amp;TEXT(ROW()-1,"00000"))</f>
        <v/>
      </c>
      <c r="B13" s="5" t="n"/>
      <c r="C13" s="4" t="n"/>
      <c r="D13" s="4" t="n"/>
      <c r="E13" s="7" t="n"/>
      <c r="F13" s="4" t="n"/>
      <c r="G13" s="4" t="n"/>
      <c r="H13" s="4" t="n"/>
      <c r="I13" s="4" t="n"/>
    </row>
    <row r="14">
      <c r="A14" s="4">
        <f>IF($C14="","", "R"&amp;TEXT(ROW()-1,"00000"))</f>
        <v/>
      </c>
      <c r="B14" s="5" t="n"/>
      <c r="C14" s="4" t="n"/>
      <c r="D14" s="4" t="n"/>
      <c r="E14" s="7" t="n"/>
      <c r="F14" s="4" t="n"/>
      <c r="G14" s="4" t="n"/>
      <c r="H14" s="4" t="n"/>
      <c r="I14" s="4" t="n"/>
    </row>
    <row r="15">
      <c r="A15" s="4">
        <f>IF($C15="","", "R"&amp;TEXT(ROW()-1,"00000"))</f>
        <v/>
      </c>
      <c r="B15" s="5" t="n"/>
      <c r="C15" s="4" t="n"/>
      <c r="D15" s="4" t="n"/>
      <c r="E15" s="7" t="n"/>
      <c r="F15" s="4" t="n"/>
      <c r="G15" s="4" t="n"/>
      <c r="H15" s="4" t="n"/>
      <c r="I15" s="4" t="n"/>
    </row>
    <row r="16">
      <c r="A16" s="4">
        <f>IF($C16="","", "R"&amp;TEXT(ROW()-1,"00000"))</f>
        <v/>
      </c>
      <c r="B16" s="5" t="n"/>
      <c r="C16" s="4" t="n"/>
      <c r="D16" s="4" t="n"/>
      <c r="E16" s="7" t="n"/>
      <c r="F16" s="4" t="n"/>
      <c r="G16" s="4" t="n"/>
      <c r="H16" s="4" t="n"/>
      <c r="I16" s="4" t="n"/>
    </row>
    <row r="17">
      <c r="A17" s="4">
        <f>IF($C17="","", "R"&amp;TEXT(ROW()-1,"00000"))</f>
        <v/>
      </c>
      <c r="B17" s="5" t="n"/>
      <c r="C17" s="4" t="n"/>
      <c r="D17" s="4" t="n"/>
      <c r="E17" s="7" t="n"/>
      <c r="F17" s="4" t="n"/>
      <c r="G17" s="4" t="n"/>
      <c r="H17" s="4" t="n"/>
      <c r="I17" s="4" t="n"/>
    </row>
    <row r="18">
      <c r="A18" s="4">
        <f>IF($C18="","", "R"&amp;TEXT(ROW()-1,"00000"))</f>
        <v/>
      </c>
      <c r="B18" s="5" t="n"/>
      <c r="C18" s="4" t="n"/>
      <c r="D18" s="4" t="n"/>
      <c r="E18" s="7" t="n"/>
      <c r="F18" s="4" t="n"/>
      <c r="G18" s="4" t="n"/>
      <c r="H18" s="4" t="n"/>
      <c r="I18" s="4" t="n"/>
    </row>
    <row r="19">
      <c r="A19" s="4">
        <f>IF($C19="","", "R"&amp;TEXT(ROW()-1,"00000"))</f>
        <v/>
      </c>
      <c r="B19" s="5" t="n"/>
      <c r="C19" s="4" t="n"/>
      <c r="D19" s="4" t="n"/>
      <c r="E19" s="7" t="n"/>
      <c r="F19" s="4" t="n"/>
      <c r="G19" s="4" t="n"/>
      <c r="H19" s="4" t="n"/>
      <c r="I19" s="4" t="n"/>
    </row>
    <row r="20">
      <c r="A20" s="4">
        <f>IF($C20="","", "R"&amp;TEXT(ROW()-1,"00000"))</f>
        <v/>
      </c>
      <c r="B20" s="5" t="n"/>
      <c r="C20" s="4" t="n"/>
      <c r="D20" s="4" t="n"/>
      <c r="E20" s="7" t="n"/>
      <c r="F20" s="4" t="n"/>
      <c r="G20" s="4" t="n"/>
      <c r="H20" s="4" t="n"/>
      <c r="I20" s="4" t="n"/>
    </row>
    <row r="21">
      <c r="A21" s="4">
        <f>IF($C21="","", "R"&amp;TEXT(ROW()-1,"00000"))</f>
        <v/>
      </c>
      <c r="B21" s="5" t="n"/>
      <c r="C21" s="4" t="n"/>
      <c r="D21" s="4" t="n"/>
      <c r="E21" s="7" t="n"/>
      <c r="F21" s="4" t="n"/>
      <c r="G21" s="4" t="n"/>
      <c r="H21" s="4" t="n"/>
      <c r="I21" s="4" t="n"/>
    </row>
    <row r="22">
      <c r="A22" s="4">
        <f>IF($C22="","", "R"&amp;TEXT(ROW()-1,"00000"))</f>
        <v/>
      </c>
      <c r="B22" s="5" t="n"/>
      <c r="C22" s="4" t="n"/>
      <c r="D22" s="4" t="n"/>
      <c r="E22" s="7" t="n"/>
      <c r="F22" s="4" t="n"/>
      <c r="G22" s="4" t="n"/>
      <c r="H22" s="4" t="n"/>
      <c r="I22" s="4" t="n"/>
    </row>
    <row r="23">
      <c r="A23" s="4">
        <f>IF($C23="","", "R"&amp;TEXT(ROW()-1,"00000"))</f>
        <v/>
      </c>
      <c r="B23" s="5" t="n"/>
      <c r="C23" s="4" t="n"/>
      <c r="D23" s="4" t="n"/>
      <c r="E23" s="7" t="n"/>
      <c r="F23" s="4" t="n"/>
      <c r="G23" s="4" t="n"/>
      <c r="H23" s="4" t="n"/>
      <c r="I23" s="4" t="n"/>
    </row>
    <row r="24">
      <c r="A24" s="4">
        <f>IF($C24="","", "R"&amp;TEXT(ROW()-1,"00000"))</f>
        <v/>
      </c>
      <c r="B24" s="5" t="n"/>
      <c r="C24" s="4" t="n"/>
      <c r="D24" s="4" t="n"/>
      <c r="E24" s="7" t="n"/>
      <c r="F24" s="4" t="n"/>
      <c r="G24" s="4" t="n"/>
      <c r="H24" s="4" t="n"/>
      <c r="I24" s="4" t="n"/>
    </row>
    <row r="25">
      <c r="A25" s="4">
        <f>IF($C25="","", "R"&amp;TEXT(ROW()-1,"00000"))</f>
        <v/>
      </c>
      <c r="B25" s="5" t="n"/>
      <c r="C25" s="4" t="n"/>
      <c r="D25" s="4" t="n"/>
      <c r="E25" s="7" t="n"/>
      <c r="F25" s="4" t="n"/>
      <c r="G25" s="4" t="n"/>
      <c r="H25" s="4" t="n"/>
      <c r="I25" s="4" t="n"/>
    </row>
    <row r="26">
      <c r="A26" s="4">
        <f>IF($C26="","", "R"&amp;TEXT(ROW()-1,"00000"))</f>
        <v/>
      </c>
      <c r="B26" s="5" t="n"/>
      <c r="C26" s="4" t="n"/>
      <c r="D26" s="4" t="n"/>
      <c r="E26" s="7" t="n"/>
      <c r="F26" s="4" t="n"/>
      <c r="G26" s="4" t="n"/>
      <c r="H26" s="4" t="n"/>
      <c r="I26" s="4" t="n"/>
    </row>
    <row r="27">
      <c r="A27" s="4">
        <f>IF($C27="","", "R"&amp;TEXT(ROW()-1,"00000"))</f>
        <v/>
      </c>
      <c r="B27" s="5" t="n"/>
      <c r="C27" s="4" t="n"/>
      <c r="D27" s="4" t="n"/>
      <c r="E27" s="7" t="n"/>
      <c r="F27" s="4" t="n"/>
      <c r="G27" s="4" t="n"/>
      <c r="H27" s="4" t="n"/>
      <c r="I27" s="4" t="n"/>
    </row>
    <row r="28">
      <c r="A28" s="4">
        <f>IF($C28="","", "R"&amp;TEXT(ROW()-1,"00000"))</f>
        <v/>
      </c>
      <c r="B28" s="5" t="n"/>
      <c r="C28" s="4" t="n"/>
      <c r="D28" s="4" t="n"/>
      <c r="E28" s="7" t="n"/>
      <c r="F28" s="4" t="n"/>
      <c r="G28" s="4" t="n"/>
      <c r="H28" s="4" t="n"/>
      <c r="I28" s="4" t="n"/>
    </row>
    <row r="29">
      <c r="A29" s="4">
        <f>IF($C29="","", "R"&amp;TEXT(ROW()-1,"00000"))</f>
        <v/>
      </c>
      <c r="B29" s="5" t="n"/>
      <c r="C29" s="4" t="n"/>
      <c r="D29" s="4" t="n"/>
      <c r="E29" s="7" t="n"/>
      <c r="F29" s="4" t="n"/>
      <c r="G29" s="4" t="n"/>
      <c r="H29" s="4" t="n"/>
      <c r="I29" s="4" t="n"/>
    </row>
    <row r="30">
      <c r="A30" s="4">
        <f>IF($C30="","", "R"&amp;TEXT(ROW()-1,"00000"))</f>
        <v/>
      </c>
      <c r="B30" s="5" t="n"/>
      <c r="C30" s="4" t="n"/>
      <c r="D30" s="4" t="n"/>
      <c r="E30" s="7" t="n"/>
      <c r="F30" s="4" t="n"/>
      <c r="G30" s="4" t="n"/>
      <c r="H30" s="4" t="n"/>
      <c r="I30" s="4" t="n"/>
    </row>
    <row r="31">
      <c r="A31" s="4">
        <f>IF($C31="","", "R"&amp;TEXT(ROW()-1,"00000"))</f>
        <v/>
      </c>
      <c r="B31" s="5" t="n"/>
      <c r="C31" s="4" t="n"/>
      <c r="D31" s="4" t="n"/>
      <c r="E31" s="7" t="n"/>
      <c r="F31" s="4" t="n"/>
      <c r="G31" s="4" t="n"/>
      <c r="H31" s="4" t="n"/>
      <c r="I31" s="4" t="n"/>
    </row>
    <row r="32">
      <c r="A32" s="4">
        <f>IF($C32="","", "R"&amp;TEXT(ROW()-1,"00000"))</f>
        <v/>
      </c>
      <c r="B32" s="5" t="n"/>
      <c r="C32" s="4" t="n"/>
      <c r="D32" s="4" t="n"/>
      <c r="E32" s="7" t="n"/>
      <c r="F32" s="4" t="n"/>
      <c r="G32" s="4" t="n"/>
      <c r="H32" s="4" t="n"/>
      <c r="I32" s="4" t="n"/>
    </row>
    <row r="33">
      <c r="A33" s="4">
        <f>IF($C33="","", "R"&amp;TEXT(ROW()-1,"00000"))</f>
        <v/>
      </c>
      <c r="B33" s="5" t="n"/>
      <c r="C33" s="4" t="n"/>
      <c r="D33" s="4" t="n"/>
      <c r="E33" s="7" t="n"/>
      <c r="F33" s="4" t="n"/>
      <c r="G33" s="4" t="n"/>
      <c r="H33" s="4" t="n"/>
      <c r="I33" s="4" t="n"/>
    </row>
    <row r="34">
      <c r="A34" s="4">
        <f>IF($C34="","", "R"&amp;TEXT(ROW()-1,"00000"))</f>
        <v/>
      </c>
      <c r="B34" s="5" t="n"/>
      <c r="C34" s="4" t="n"/>
      <c r="D34" s="4" t="n"/>
      <c r="E34" s="7" t="n"/>
      <c r="F34" s="4" t="n"/>
      <c r="G34" s="4" t="n"/>
      <c r="H34" s="4" t="n"/>
      <c r="I34" s="4" t="n"/>
    </row>
    <row r="35">
      <c r="A35" s="4">
        <f>IF($C35="","", "R"&amp;TEXT(ROW()-1,"00000"))</f>
        <v/>
      </c>
      <c r="B35" s="5" t="n"/>
      <c r="C35" s="4" t="n"/>
      <c r="D35" s="4" t="n"/>
      <c r="E35" s="7" t="n"/>
      <c r="F35" s="4" t="n"/>
      <c r="G35" s="4" t="n"/>
      <c r="H35" s="4" t="n"/>
      <c r="I35" s="4" t="n"/>
    </row>
    <row r="36">
      <c r="A36" s="4">
        <f>IF($C36="","", "R"&amp;TEXT(ROW()-1,"00000"))</f>
        <v/>
      </c>
      <c r="B36" s="5" t="n"/>
      <c r="C36" s="4" t="n"/>
      <c r="D36" s="4" t="n"/>
      <c r="E36" s="7" t="n"/>
      <c r="F36" s="4" t="n"/>
      <c r="G36" s="4" t="n"/>
      <c r="H36" s="4" t="n"/>
      <c r="I36" s="4" t="n"/>
    </row>
    <row r="37">
      <c r="A37" s="4">
        <f>IF($C37="","", "R"&amp;TEXT(ROW()-1,"00000"))</f>
        <v/>
      </c>
      <c r="B37" s="5" t="n"/>
      <c r="C37" s="4" t="n"/>
      <c r="D37" s="4" t="n"/>
      <c r="E37" s="7" t="n"/>
      <c r="F37" s="4" t="n"/>
      <c r="G37" s="4" t="n"/>
      <c r="H37" s="4" t="n"/>
      <c r="I37" s="4" t="n"/>
    </row>
    <row r="38">
      <c r="A38" s="4">
        <f>IF($C38="","", "R"&amp;TEXT(ROW()-1,"00000"))</f>
        <v/>
      </c>
      <c r="B38" s="5" t="n"/>
      <c r="C38" s="4" t="n"/>
      <c r="D38" s="4" t="n"/>
      <c r="E38" s="7" t="n"/>
      <c r="F38" s="4" t="n"/>
      <c r="G38" s="4" t="n"/>
      <c r="H38" s="4" t="n"/>
      <c r="I38" s="4" t="n"/>
    </row>
    <row r="39">
      <c r="A39" s="4">
        <f>IF($C39="","", "R"&amp;TEXT(ROW()-1,"00000"))</f>
        <v/>
      </c>
      <c r="B39" s="5" t="n"/>
      <c r="C39" s="4" t="n"/>
      <c r="D39" s="4" t="n"/>
      <c r="E39" s="7" t="n"/>
      <c r="F39" s="4" t="n"/>
      <c r="G39" s="4" t="n"/>
      <c r="H39" s="4" t="n"/>
      <c r="I39" s="4" t="n"/>
    </row>
    <row r="40">
      <c r="A40" s="4">
        <f>IF($C40="","", "R"&amp;TEXT(ROW()-1,"00000"))</f>
        <v/>
      </c>
      <c r="B40" s="5" t="n"/>
      <c r="C40" s="4" t="n"/>
      <c r="D40" s="4" t="n"/>
      <c r="E40" s="7" t="n"/>
      <c r="F40" s="4" t="n"/>
      <c r="G40" s="4" t="n"/>
      <c r="H40" s="4" t="n"/>
      <c r="I40" s="4" t="n"/>
    </row>
    <row r="41">
      <c r="A41" s="4">
        <f>IF($C41="","", "R"&amp;TEXT(ROW()-1,"00000"))</f>
        <v/>
      </c>
      <c r="B41" s="5" t="n"/>
      <c r="C41" s="4" t="n"/>
      <c r="D41" s="4" t="n"/>
      <c r="E41" s="7" t="n"/>
      <c r="F41" s="4" t="n"/>
      <c r="G41" s="4" t="n"/>
      <c r="H41" s="4" t="n"/>
      <c r="I41" s="4" t="n"/>
    </row>
    <row r="42">
      <c r="A42" s="4">
        <f>IF($C42="","", "R"&amp;TEXT(ROW()-1,"00000"))</f>
        <v/>
      </c>
      <c r="B42" s="5" t="n"/>
      <c r="C42" s="4" t="n"/>
      <c r="D42" s="4" t="n"/>
      <c r="E42" s="7" t="n"/>
      <c r="F42" s="4" t="n"/>
      <c r="G42" s="4" t="n"/>
      <c r="H42" s="4" t="n"/>
      <c r="I42" s="4" t="n"/>
    </row>
    <row r="43">
      <c r="A43" s="4">
        <f>IF($C43="","", "R"&amp;TEXT(ROW()-1,"00000"))</f>
        <v/>
      </c>
      <c r="B43" s="5" t="n"/>
      <c r="C43" s="4" t="n"/>
      <c r="D43" s="4" t="n"/>
      <c r="E43" s="7" t="n"/>
      <c r="F43" s="4" t="n"/>
      <c r="G43" s="4" t="n"/>
      <c r="H43" s="4" t="n"/>
      <c r="I43" s="4" t="n"/>
    </row>
    <row r="44">
      <c r="A44" s="4">
        <f>IF($C44="","", "R"&amp;TEXT(ROW()-1,"00000"))</f>
        <v/>
      </c>
      <c r="B44" s="5" t="n"/>
      <c r="C44" s="4" t="n"/>
      <c r="D44" s="4" t="n"/>
      <c r="E44" s="7" t="n"/>
      <c r="F44" s="4" t="n"/>
      <c r="G44" s="4" t="n"/>
      <c r="H44" s="4" t="n"/>
      <c r="I44" s="4" t="n"/>
    </row>
    <row r="45">
      <c r="A45" s="4">
        <f>IF($C45="","", "R"&amp;TEXT(ROW()-1,"00000"))</f>
        <v/>
      </c>
      <c r="B45" s="5" t="n"/>
      <c r="C45" s="4" t="n"/>
      <c r="D45" s="4" t="n"/>
      <c r="E45" s="7" t="n"/>
      <c r="F45" s="4" t="n"/>
      <c r="G45" s="4" t="n"/>
      <c r="H45" s="4" t="n"/>
      <c r="I45" s="4" t="n"/>
    </row>
    <row r="46">
      <c r="A46" s="4">
        <f>IF($C46="","", "R"&amp;TEXT(ROW()-1,"00000"))</f>
        <v/>
      </c>
      <c r="B46" s="5" t="n"/>
      <c r="C46" s="4" t="n"/>
      <c r="D46" s="4" t="n"/>
      <c r="E46" s="7" t="n"/>
      <c r="F46" s="4" t="n"/>
      <c r="G46" s="4" t="n"/>
      <c r="H46" s="4" t="n"/>
      <c r="I46" s="4" t="n"/>
    </row>
    <row r="47">
      <c r="A47" s="4">
        <f>IF($C47="","", "R"&amp;TEXT(ROW()-1,"00000"))</f>
        <v/>
      </c>
      <c r="B47" s="5" t="n"/>
      <c r="C47" s="4" t="n"/>
      <c r="D47" s="4" t="n"/>
      <c r="E47" s="7" t="n"/>
      <c r="F47" s="4" t="n"/>
      <c r="G47" s="4" t="n"/>
      <c r="H47" s="4" t="n"/>
      <c r="I47" s="4" t="n"/>
    </row>
    <row r="48">
      <c r="A48" s="4">
        <f>IF($C48="","", "R"&amp;TEXT(ROW()-1,"00000"))</f>
        <v/>
      </c>
      <c r="B48" s="5" t="n"/>
      <c r="C48" s="4" t="n"/>
      <c r="D48" s="4" t="n"/>
      <c r="E48" s="7" t="n"/>
      <c r="F48" s="4" t="n"/>
      <c r="G48" s="4" t="n"/>
      <c r="H48" s="4" t="n"/>
      <c r="I48" s="4" t="n"/>
    </row>
    <row r="49">
      <c r="A49" s="4">
        <f>IF($C49="","", "R"&amp;TEXT(ROW()-1,"00000"))</f>
        <v/>
      </c>
      <c r="B49" s="5" t="n"/>
      <c r="C49" s="4" t="n"/>
      <c r="D49" s="4" t="n"/>
      <c r="E49" s="7" t="n"/>
      <c r="F49" s="4" t="n"/>
      <c r="G49" s="4" t="n"/>
      <c r="H49" s="4" t="n"/>
      <c r="I49" s="4" t="n"/>
    </row>
    <row r="50">
      <c r="A50" s="4">
        <f>IF($C50="","", "R"&amp;TEXT(ROW()-1,"00000"))</f>
        <v/>
      </c>
      <c r="B50" s="5" t="n"/>
      <c r="C50" s="4" t="n"/>
      <c r="D50" s="4" t="n"/>
      <c r="E50" s="7" t="n"/>
      <c r="F50" s="4" t="n"/>
      <c r="G50" s="4" t="n"/>
      <c r="H50" s="4" t="n"/>
      <c r="I50" s="4" t="n"/>
    </row>
    <row r="51">
      <c r="A51" s="4">
        <f>IF($C51="","", "R"&amp;TEXT(ROW()-1,"00000"))</f>
        <v/>
      </c>
      <c r="B51" s="5" t="n"/>
      <c r="C51" s="4" t="n"/>
      <c r="D51" s="4" t="n"/>
      <c r="E51" s="7" t="n"/>
      <c r="F51" s="4" t="n"/>
      <c r="G51" s="4" t="n"/>
      <c r="H51" s="4" t="n"/>
      <c r="I51" s="4" t="n"/>
    </row>
    <row r="52">
      <c r="A52" s="4">
        <f>IF($C52="","", "R"&amp;TEXT(ROW()-1,"00000"))</f>
        <v/>
      </c>
      <c r="B52" s="5" t="n"/>
      <c r="C52" s="4" t="n"/>
      <c r="D52" s="4" t="n"/>
      <c r="E52" s="7" t="n"/>
      <c r="F52" s="4" t="n"/>
      <c r="G52" s="4" t="n"/>
      <c r="H52" s="4" t="n"/>
      <c r="I52" s="4" t="n"/>
    </row>
    <row r="53">
      <c r="A53" s="4">
        <f>IF($C53="","", "R"&amp;TEXT(ROW()-1,"00000"))</f>
        <v/>
      </c>
      <c r="B53" s="5" t="n"/>
      <c r="C53" s="4" t="n"/>
      <c r="D53" s="4" t="n"/>
      <c r="E53" s="7" t="n"/>
      <c r="F53" s="4" t="n"/>
      <c r="G53" s="4" t="n"/>
      <c r="H53" s="4" t="n"/>
      <c r="I53" s="4" t="n"/>
    </row>
    <row r="54">
      <c r="A54" s="4">
        <f>IF($C54="","", "R"&amp;TEXT(ROW()-1,"00000"))</f>
        <v/>
      </c>
      <c r="B54" s="5" t="n"/>
      <c r="C54" s="4" t="n"/>
      <c r="D54" s="4" t="n"/>
      <c r="E54" s="7" t="n"/>
      <c r="F54" s="4" t="n"/>
      <c r="G54" s="4" t="n"/>
      <c r="H54" s="4" t="n"/>
      <c r="I54" s="4" t="n"/>
    </row>
    <row r="55">
      <c r="A55" s="4">
        <f>IF($C55="","", "R"&amp;TEXT(ROW()-1,"00000"))</f>
        <v/>
      </c>
      <c r="B55" s="5" t="n"/>
      <c r="C55" s="4" t="n"/>
      <c r="D55" s="4" t="n"/>
      <c r="E55" s="7" t="n"/>
      <c r="F55" s="4" t="n"/>
      <c r="G55" s="4" t="n"/>
      <c r="H55" s="4" t="n"/>
      <c r="I55" s="4" t="n"/>
    </row>
    <row r="56">
      <c r="A56" s="4">
        <f>IF($C56="","", "R"&amp;TEXT(ROW()-1,"00000"))</f>
        <v/>
      </c>
      <c r="B56" s="5" t="n"/>
      <c r="C56" s="4" t="n"/>
      <c r="D56" s="4" t="n"/>
      <c r="E56" s="7" t="n"/>
      <c r="F56" s="4" t="n"/>
      <c r="G56" s="4" t="n"/>
      <c r="H56" s="4" t="n"/>
      <c r="I56" s="4" t="n"/>
    </row>
    <row r="57">
      <c r="A57" s="4">
        <f>IF($C57="","", "R"&amp;TEXT(ROW()-1,"00000"))</f>
        <v/>
      </c>
      <c r="B57" s="5" t="n"/>
      <c r="C57" s="4" t="n"/>
      <c r="D57" s="4" t="n"/>
      <c r="E57" s="7" t="n"/>
      <c r="F57" s="4" t="n"/>
      <c r="G57" s="4" t="n"/>
      <c r="H57" s="4" t="n"/>
      <c r="I57" s="4" t="n"/>
    </row>
    <row r="58">
      <c r="A58" s="4">
        <f>IF($C58="","", "R"&amp;TEXT(ROW()-1,"00000"))</f>
        <v/>
      </c>
      <c r="B58" s="5" t="n"/>
      <c r="C58" s="4" t="n"/>
      <c r="D58" s="4" t="n"/>
      <c r="E58" s="7" t="n"/>
      <c r="F58" s="4" t="n"/>
      <c r="G58" s="4" t="n"/>
      <c r="H58" s="4" t="n"/>
      <c r="I58" s="4" t="n"/>
    </row>
    <row r="59">
      <c r="A59" s="4">
        <f>IF($C59="","", "R"&amp;TEXT(ROW()-1,"00000"))</f>
        <v/>
      </c>
      <c r="B59" s="5" t="n"/>
      <c r="C59" s="4" t="n"/>
      <c r="D59" s="4" t="n"/>
      <c r="E59" s="7" t="n"/>
      <c r="F59" s="4" t="n"/>
      <c r="G59" s="4" t="n"/>
      <c r="H59" s="4" t="n"/>
      <c r="I59" s="4" t="n"/>
    </row>
    <row r="60">
      <c r="A60" s="4">
        <f>IF($C60="","", "R"&amp;TEXT(ROW()-1,"00000"))</f>
        <v/>
      </c>
      <c r="B60" s="5" t="n"/>
      <c r="C60" s="4" t="n"/>
      <c r="D60" s="4" t="n"/>
      <c r="E60" s="7" t="n"/>
      <c r="F60" s="4" t="n"/>
      <c r="G60" s="4" t="n"/>
      <c r="H60" s="4" t="n"/>
      <c r="I60" s="4" t="n"/>
    </row>
    <row r="61">
      <c r="A61" s="4">
        <f>IF($C61="","", "R"&amp;TEXT(ROW()-1,"00000"))</f>
        <v/>
      </c>
      <c r="B61" s="5" t="n"/>
      <c r="C61" s="4" t="n"/>
      <c r="D61" s="4" t="n"/>
      <c r="E61" s="7" t="n"/>
      <c r="F61" s="4" t="n"/>
      <c r="G61" s="4" t="n"/>
      <c r="H61" s="4" t="n"/>
      <c r="I61" s="4" t="n"/>
    </row>
    <row r="62">
      <c r="A62" s="4">
        <f>IF($C62="","", "R"&amp;TEXT(ROW()-1,"00000"))</f>
        <v/>
      </c>
      <c r="B62" s="5" t="n"/>
      <c r="C62" s="4" t="n"/>
      <c r="D62" s="4" t="n"/>
      <c r="E62" s="7" t="n"/>
      <c r="F62" s="4" t="n"/>
      <c r="G62" s="4" t="n"/>
      <c r="H62" s="4" t="n"/>
      <c r="I62" s="4" t="n"/>
    </row>
    <row r="63">
      <c r="A63" s="4">
        <f>IF($C63="","", "R"&amp;TEXT(ROW()-1,"00000"))</f>
        <v/>
      </c>
      <c r="B63" s="5" t="n"/>
      <c r="C63" s="4" t="n"/>
      <c r="D63" s="4" t="n"/>
      <c r="E63" s="7" t="n"/>
      <c r="F63" s="4" t="n"/>
      <c r="G63" s="4" t="n"/>
      <c r="H63" s="4" t="n"/>
      <c r="I63" s="4" t="n"/>
    </row>
    <row r="64">
      <c r="A64" s="4">
        <f>IF($C64="","", "R"&amp;TEXT(ROW()-1,"00000"))</f>
        <v/>
      </c>
      <c r="B64" s="5" t="n"/>
      <c r="C64" s="4" t="n"/>
      <c r="D64" s="4" t="n"/>
      <c r="E64" s="7" t="n"/>
      <c r="F64" s="4" t="n"/>
      <c r="G64" s="4" t="n"/>
      <c r="H64" s="4" t="n"/>
      <c r="I64" s="4" t="n"/>
    </row>
    <row r="65">
      <c r="A65" s="4">
        <f>IF($C65="","", "R"&amp;TEXT(ROW()-1,"00000"))</f>
        <v/>
      </c>
      <c r="B65" s="5" t="n"/>
      <c r="C65" s="4" t="n"/>
      <c r="D65" s="4" t="n"/>
      <c r="E65" s="7" t="n"/>
      <c r="F65" s="4" t="n"/>
      <c r="G65" s="4" t="n"/>
      <c r="H65" s="4" t="n"/>
      <c r="I65" s="4" t="n"/>
    </row>
    <row r="66">
      <c r="A66" s="4">
        <f>IF($C66="","", "R"&amp;TEXT(ROW()-1,"00000"))</f>
        <v/>
      </c>
      <c r="B66" s="5" t="n"/>
      <c r="C66" s="4" t="n"/>
      <c r="D66" s="4" t="n"/>
      <c r="E66" s="7" t="n"/>
      <c r="F66" s="4" t="n"/>
      <c r="G66" s="4" t="n"/>
      <c r="H66" s="4" t="n"/>
      <c r="I66" s="4" t="n"/>
    </row>
    <row r="67">
      <c r="A67" s="4">
        <f>IF($C67="","", "R"&amp;TEXT(ROW()-1,"00000"))</f>
        <v/>
      </c>
      <c r="B67" s="5" t="n"/>
      <c r="C67" s="4" t="n"/>
      <c r="D67" s="4" t="n"/>
      <c r="E67" s="7" t="n"/>
      <c r="F67" s="4" t="n"/>
      <c r="G67" s="4" t="n"/>
      <c r="H67" s="4" t="n"/>
      <c r="I67" s="4" t="n"/>
    </row>
    <row r="68">
      <c r="A68" s="4">
        <f>IF($C68="","", "R"&amp;TEXT(ROW()-1,"00000"))</f>
        <v/>
      </c>
      <c r="B68" s="5" t="n"/>
      <c r="C68" s="4" t="n"/>
      <c r="D68" s="4" t="n"/>
      <c r="E68" s="7" t="n"/>
      <c r="F68" s="4" t="n"/>
      <c r="G68" s="4" t="n"/>
      <c r="H68" s="4" t="n"/>
      <c r="I68" s="4" t="n"/>
    </row>
    <row r="69">
      <c r="A69" s="4">
        <f>IF($C69="","", "R"&amp;TEXT(ROW()-1,"00000"))</f>
        <v/>
      </c>
      <c r="B69" s="5" t="n"/>
      <c r="C69" s="4" t="n"/>
      <c r="D69" s="4" t="n"/>
      <c r="E69" s="7" t="n"/>
      <c r="F69" s="4" t="n"/>
      <c r="G69" s="4" t="n"/>
      <c r="H69" s="4" t="n"/>
      <c r="I69" s="4" t="n"/>
    </row>
    <row r="70">
      <c r="A70" s="4">
        <f>IF($C70="","", "R"&amp;TEXT(ROW()-1,"00000"))</f>
        <v/>
      </c>
      <c r="B70" s="5" t="n"/>
      <c r="C70" s="4" t="n"/>
      <c r="D70" s="4" t="n"/>
      <c r="E70" s="7" t="n"/>
      <c r="F70" s="4" t="n"/>
      <c r="G70" s="4" t="n"/>
      <c r="H70" s="4" t="n"/>
      <c r="I70" s="4" t="n"/>
    </row>
    <row r="71">
      <c r="A71" s="4">
        <f>IF($C71="","", "R"&amp;TEXT(ROW()-1,"00000"))</f>
        <v/>
      </c>
      <c r="B71" s="5" t="n"/>
      <c r="C71" s="4" t="n"/>
      <c r="D71" s="4" t="n"/>
      <c r="E71" s="7" t="n"/>
      <c r="F71" s="4" t="n"/>
      <c r="G71" s="4" t="n"/>
      <c r="H71" s="4" t="n"/>
      <c r="I71" s="4" t="n"/>
    </row>
    <row r="72">
      <c r="A72" s="4">
        <f>IF($C72="","", "R"&amp;TEXT(ROW()-1,"00000"))</f>
        <v/>
      </c>
      <c r="B72" s="5" t="n"/>
      <c r="C72" s="4" t="n"/>
      <c r="D72" s="4" t="n"/>
      <c r="E72" s="7" t="n"/>
      <c r="F72" s="4" t="n"/>
      <c r="G72" s="4" t="n"/>
      <c r="H72" s="4" t="n"/>
      <c r="I72" s="4" t="n"/>
    </row>
    <row r="73">
      <c r="A73" s="4">
        <f>IF($C73="","", "R"&amp;TEXT(ROW()-1,"00000"))</f>
        <v/>
      </c>
      <c r="B73" s="5" t="n"/>
      <c r="C73" s="4" t="n"/>
      <c r="D73" s="4" t="n"/>
      <c r="E73" s="7" t="n"/>
      <c r="F73" s="4" t="n"/>
      <c r="G73" s="4" t="n"/>
      <c r="H73" s="4" t="n"/>
      <c r="I73" s="4" t="n"/>
    </row>
    <row r="74">
      <c r="A74" s="4">
        <f>IF($C74="","", "R"&amp;TEXT(ROW()-1,"00000"))</f>
        <v/>
      </c>
      <c r="B74" s="5" t="n"/>
      <c r="C74" s="4" t="n"/>
      <c r="D74" s="4" t="n"/>
      <c r="E74" s="7" t="n"/>
      <c r="F74" s="4" t="n"/>
      <c r="G74" s="4" t="n"/>
      <c r="H74" s="4" t="n"/>
      <c r="I74" s="4" t="n"/>
    </row>
    <row r="75">
      <c r="A75" s="4">
        <f>IF($C75="","", "R"&amp;TEXT(ROW()-1,"00000"))</f>
        <v/>
      </c>
      <c r="B75" s="5" t="n"/>
      <c r="C75" s="4" t="n"/>
      <c r="D75" s="4" t="n"/>
      <c r="E75" s="7" t="n"/>
      <c r="F75" s="4" t="n"/>
      <c r="G75" s="4" t="n"/>
      <c r="H75" s="4" t="n"/>
      <c r="I75" s="4" t="n"/>
    </row>
    <row r="76">
      <c r="A76" s="4">
        <f>IF($C76="","", "R"&amp;TEXT(ROW()-1,"00000"))</f>
        <v/>
      </c>
      <c r="B76" s="5" t="n"/>
      <c r="C76" s="4" t="n"/>
      <c r="D76" s="4" t="n"/>
      <c r="E76" s="7" t="n"/>
      <c r="F76" s="4" t="n"/>
      <c r="G76" s="4" t="n"/>
      <c r="H76" s="4" t="n"/>
      <c r="I76" s="4" t="n"/>
    </row>
    <row r="77">
      <c r="A77" s="4">
        <f>IF($C77="","", "R"&amp;TEXT(ROW()-1,"00000"))</f>
        <v/>
      </c>
      <c r="B77" s="5" t="n"/>
      <c r="C77" s="4" t="n"/>
      <c r="D77" s="4" t="n"/>
      <c r="E77" s="7" t="n"/>
      <c r="F77" s="4" t="n"/>
      <c r="G77" s="4" t="n"/>
      <c r="H77" s="4" t="n"/>
      <c r="I77" s="4" t="n"/>
    </row>
    <row r="78">
      <c r="A78" s="4">
        <f>IF($C78="","", "R"&amp;TEXT(ROW()-1,"00000"))</f>
        <v/>
      </c>
      <c r="B78" s="5" t="n"/>
      <c r="C78" s="4" t="n"/>
      <c r="D78" s="4" t="n"/>
      <c r="E78" s="7" t="n"/>
      <c r="F78" s="4" t="n"/>
      <c r="G78" s="4" t="n"/>
      <c r="H78" s="4" t="n"/>
      <c r="I78" s="4" t="n"/>
    </row>
    <row r="79">
      <c r="A79" s="4">
        <f>IF($C79="","", "R"&amp;TEXT(ROW()-1,"00000"))</f>
        <v/>
      </c>
      <c r="B79" s="5" t="n"/>
      <c r="C79" s="4" t="n"/>
      <c r="D79" s="4" t="n"/>
      <c r="E79" s="7" t="n"/>
      <c r="F79" s="4" t="n"/>
      <c r="G79" s="4" t="n"/>
      <c r="H79" s="4" t="n"/>
      <c r="I79" s="4" t="n"/>
    </row>
    <row r="80">
      <c r="A80" s="4">
        <f>IF($C80="","", "R"&amp;TEXT(ROW()-1,"00000"))</f>
        <v/>
      </c>
      <c r="B80" s="5" t="n"/>
      <c r="C80" s="4" t="n"/>
      <c r="D80" s="4" t="n"/>
      <c r="E80" s="7" t="n"/>
      <c r="F80" s="4" t="n"/>
      <c r="G80" s="4" t="n"/>
      <c r="H80" s="4" t="n"/>
      <c r="I80" s="4" t="n"/>
    </row>
    <row r="81">
      <c r="A81" s="4">
        <f>IF($C81="","", "R"&amp;TEXT(ROW()-1,"00000"))</f>
        <v/>
      </c>
      <c r="B81" s="5" t="n"/>
      <c r="C81" s="4" t="n"/>
      <c r="D81" s="4" t="n"/>
      <c r="E81" s="7" t="n"/>
      <c r="F81" s="4" t="n"/>
      <c r="G81" s="4" t="n"/>
      <c r="H81" s="4" t="n"/>
      <c r="I81" s="4" t="n"/>
    </row>
    <row r="82">
      <c r="A82" s="4">
        <f>IF($C82="","", "R"&amp;TEXT(ROW()-1,"00000"))</f>
        <v/>
      </c>
      <c r="B82" s="5" t="n"/>
      <c r="C82" s="4" t="n"/>
      <c r="D82" s="4" t="n"/>
      <c r="E82" s="7" t="n"/>
      <c r="F82" s="4" t="n"/>
      <c r="G82" s="4" t="n"/>
      <c r="H82" s="4" t="n"/>
      <c r="I82" s="4" t="n"/>
    </row>
    <row r="83">
      <c r="A83" s="4">
        <f>IF($C83="","", "R"&amp;TEXT(ROW()-1,"00000"))</f>
        <v/>
      </c>
      <c r="B83" s="5" t="n"/>
      <c r="C83" s="4" t="n"/>
      <c r="D83" s="4" t="n"/>
      <c r="E83" s="7" t="n"/>
      <c r="F83" s="4" t="n"/>
      <c r="G83" s="4" t="n"/>
      <c r="H83" s="4" t="n"/>
      <c r="I83" s="4" t="n"/>
    </row>
    <row r="84">
      <c r="A84" s="4">
        <f>IF($C84="","", "R"&amp;TEXT(ROW()-1,"00000"))</f>
        <v/>
      </c>
      <c r="B84" s="5" t="n"/>
      <c r="C84" s="4" t="n"/>
      <c r="D84" s="4" t="n"/>
      <c r="E84" s="7" t="n"/>
      <c r="F84" s="4" t="n"/>
      <c r="G84" s="4" t="n"/>
      <c r="H84" s="4" t="n"/>
      <c r="I84" s="4" t="n"/>
    </row>
    <row r="85">
      <c r="A85" s="4">
        <f>IF($C85="","", "R"&amp;TEXT(ROW()-1,"00000"))</f>
        <v/>
      </c>
      <c r="B85" s="5" t="n"/>
      <c r="C85" s="4" t="n"/>
      <c r="D85" s="4" t="n"/>
      <c r="E85" s="7" t="n"/>
      <c r="F85" s="4" t="n"/>
      <c r="G85" s="4" t="n"/>
      <c r="H85" s="4" t="n"/>
      <c r="I85" s="4" t="n"/>
    </row>
    <row r="86">
      <c r="A86" s="4">
        <f>IF($C86="","", "R"&amp;TEXT(ROW()-1,"00000"))</f>
        <v/>
      </c>
      <c r="B86" s="5" t="n"/>
      <c r="C86" s="4" t="n"/>
      <c r="D86" s="4" t="n"/>
      <c r="E86" s="7" t="n"/>
      <c r="F86" s="4" t="n"/>
      <c r="G86" s="4" t="n"/>
      <c r="H86" s="4" t="n"/>
      <c r="I86" s="4" t="n"/>
    </row>
    <row r="87">
      <c r="A87" s="4">
        <f>IF($C87="","", "R"&amp;TEXT(ROW()-1,"00000"))</f>
        <v/>
      </c>
      <c r="B87" s="5" t="n"/>
      <c r="C87" s="4" t="n"/>
      <c r="D87" s="4" t="n"/>
      <c r="E87" s="7" t="n"/>
      <c r="F87" s="4" t="n"/>
      <c r="G87" s="4" t="n"/>
      <c r="H87" s="4" t="n"/>
      <c r="I87" s="4" t="n"/>
    </row>
    <row r="88">
      <c r="A88" s="4">
        <f>IF($C88="","", "R"&amp;TEXT(ROW()-1,"00000"))</f>
        <v/>
      </c>
      <c r="B88" s="5" t="n"/>
      <c r="C88" s="4" t="n"/>
      <c r="D88" s="4" t="n"/>
      <c r="E88" s="7" t="n"/>
      <c r="F88" s="4" t="n"/>
      <c r="G88" s="4" t="n"/>
      <c r="H88" s="4" t="n"/>
      <c r="I88" s="4" t="n"/>
    </row>
    <row r="89">
      <c r="A89" s="4">
        <f>IF($C89="","", "R"&amp;TEXT(ROW()-1,"00000"))</f>
        <v/>
      </c>
      <c r="B89" s="5" t="n"/>
      <c r="C89" s="4" t="n"/>
      <c r="D89" s="4" t="n"/>
      <c r="E89" s="7" t="n"/>
      <c r="F89" s="4" t="n"/>
      <c r="G89" s="4" t="n"/>
      <c r="H89" s="4" t="n"/>
      <c r="I89" s="4" t="n"/>
    </row>
    <row r="90">
      <c r="A90" s="4">
        <f>IF($C90="","", "R"&amp;TEXT(ROW()-1,"00000"))</f>
        <v/>
      </c>
      <c r="B90" s="5" t="n"/>
      <c r="C90" s="4" t="n"/>
      <c r="D90" s="4" t="n"/>
      <c r="E90" s="7" t="n"/>
      <c r="F90" s="4" t="n"/>
      <c r="G90" s="4" t="n"/>
      <c r="H90" s="4" t="n"/>
      <c r="I90" s="4" t="n"/>
    </row>
    <row r="91">
      <c r="A91" s="4">
        <f>IF($C91="","", "R"&amp;TEXT(ROW()-1,"00000"))</f>
        <v/>
      </c>
      <c r="B91" s="5" t="n"/>
      <c r="C91" s="4" t="n"/>
      <c r="D91" s="4" t="n"/>
      <c r="E91" s="7" t="n"/>
      <c r="F91" s="4" t="n"/>
      <c r="G91" s="4" t="n"/>
      <c r="H91" s="4" t="n"/>
      <c r="I91" s="4" t="n"/>
    </row>
    <row r="92">
      <c r="A92" s="4">
        <f>IF($C92="","", "R"&amp;TEXT(ROW()-1,"00000"))</f>
        <v/>
      </c>
      <c r="B92" s="5" t="n"/>
      <c r="C92" s="4" t="n"/>
      <c r="D92" s="4" t="n"/>
      <c r="E92" s="7" t="n"/>
      <c r="F92" s="4" t="n"/>
      <c r="G92" s="4" t="n"/>
      <c r="H92" s="4" t="n"/>
      <c r="I92" s="4" t="n"/>
    </row>
    <row r="93">
      <c r="A93" s="4">
        <f>IF($C93="","", "R"&amp;TEXT(ROW()-1,"00000"))</f>
        <v/>
      </c>
      <c r="B93" s="5" t="n"/>
      <c r="C93" s="4" t="n"/>
      <c r="D93" s="4" t="n"/>
      <c r="E93" s="7" t="n"/>
      <c r="F93" s="4" t="n"/>
      <c r="G93" s="4" t="n"/>
      <c r="H93" s="4" t="n"/>
      <c r="I93" s="4" t="n"/>
    </row>
    <row r="94">
      <c r="A94" s="4">
        <f>IF($C94="","", "R"&amp;TEXT(ROW()-1,"00000"))</f>
        <v/>
      </c>
      <c r="B94" s="5" t="n"/>
      <c r="C94" s="4" t="n"/>
      <c r="D94" s="4" t="n"/>
      <c r="E94" s="7" t="n"/>
      <c r="F94" s="4" t="n"/>
      <c r="G94" s="4" t="n"/>
      <c r="H94" s="4" t="n"/>
      <c r="I94" s="4" t="n"/>
    </row>
    <row r="95">
      <c r="A95" s="4">
        <f>IF($C95="","", "R"&amp;TEXT(ROW()-1,"00000"))</f>
        <v/>
      </c>
      <c r="B95" s="5" t="n"/>
      <c r="C95" s="4" t="n"/>
      <c r="D95" s="4" t="n"/>
      <c r="E95" s="7" t="n"/>
      <c r="F95" s="4" t="n"/>
      <c r="G95" s="4" t="n"/>
      <c r="H95" s="4" t="n"/>
      <c r="I95" s="4" t="n"/>
    </row>
    <row r="96">
      <c r="A96" s="4">
        <f>IF($C96="","", "R"&amp;TEXT(ROW()-1,"00000"))</f>
        <v/>
      </c>
      <c r="B96" s="5" t="n"/>
      <c r="C96" s="4" t="n"/>
      <c r="D96" s="4" t="n"/>
      <c r="E96" s="7" t="n"/>
      <c r="F96" s="4" t="n"/>
      <c r="G96" s="4" t="n"/>
      <c r="H96" s="4" t="n"/>
      <c r="I96" s="4" t="n"/>
    </row>
    <row r="97">
      <c r="A97" s="4">
        <f>IF($C97="","", "R"&amp;TEXT(ROW()-1,"00000"))</f>
        <v/>
      </c>
      <c r="B97" s="5" t="n"/>
      <c r="C97" s="4" t="n"/>
      <c r="D97" s="4" t="n"/>
      <c r="E97" s="7" t="n"/>
      <c r="F97" s="4" t="n"/>
      <c r="G97" s="4" t="n"/>
      <c r="H97" s="4" t="n"/>
      <c r="I97" s="4" t="n"/>
    </row>
    <row r="98">
      <c r="A98" s="4">
        <f>IF($C98="","", "R"&amp;TEXT(ROW()-1,"00000"))</f>
        <v/>
      </c>
      <c r="B98" s="5" t="n"/>
      <c r="C98" s="4" t="n"/>
      <c r="D98" s="4" t="n"/>
      <c r="E98" s="7" t="n"/>
      <c r="F98" s="4" t="n"/>
      <c r="G98" s="4" t="n"/>
      <c r="H98" s="4" t="n"/>
      <c r="I98" s="4" t="n"/>
    </row>
    <row r="99">
      <c r="A99" s="4">
        <f>IF($C99="","", "R"&amp;TEXT(ROW()-1,"00000"))</f>
        <v/>
      </c>
      <c r="B99" s="5" t="n"/>
      <c r="C99" s="4" t="n"/>
      <c r="D99" s="4" t="n"/>
      <c r="E99" s="7" t="n"/>
      <c r="F99" s="4" t="n"/>
      <c r="G99" s="4" t="n"/>
      <c r="H99" s="4" t="n"/>
      <c r="I99" s="4" t="n"/>
    </row>
    <row r="100">
      <c r="A100" s="4">
        <f>IF($C100="","", "R"&amp;TEXT(ROW()-1,"00000"))</f>
        <v/>
      </c>
      <c r="B100" s="5" t="n"/>
      <c r="C100" s="4" t="n"/>
      <c r="D100" s="4" t="n"/>
      <c r="E100" s="7" t="n"/>
      <c r="F100" s="4" t="n"/>
      <c r="G100" s="4" t="n"/>
      <c r="H100" s="4" t="n"/>
      <c r="I100" s="4" t="n"/>
    </row>
    <row r="101">
      <c r="A101">
        <f>IF($C101="","", "R"&amp;TEXT(ROW()-1,"00000"))</f>
        <v/>
      </c>
      <c r="B101" s="6" t="n"/>
      <c r="E101" s="8" t="n"/>
    </row>
    <row r="102">
      <c r="A102">
        <f>IF($C102="","", "R"&amp;TEXT(ROW()-1,"00000"))</f>
        <v/>
      </c>
      <c r="B102" s="6" t="n"/>
      <c r="E102" s="8" t="n"/>
    </row>
    <row r="103">
      <c r="A103">
        <f>IF($C103="","", "R"&amp;TEXT(ROW()-1,"00000"))</f>
        <v/>
      </c>
      <c r="B103" s="6" t="n"/>
      <c r="E103" s="8" t="n"/>
    </row>
    <row r="104">
      <c r="A104">
        <f>IF($C104="","", "R"&amp;TEXT(ROW()-1,"00000"))</f>
        <v/>
      </c>
      <c r="B104" s="6" t="n"/>
      <c r="E104" s="8" t="n"/>
    </row>
    <row r="105">
      <c r="A105">
        <f>IF($C105="","", "R"&amp;TEXT(ROW()-1,"00000"))</f>
        <v/>
      </c>
      <c r="B105" s="6" t="n"/>
      <c r="E105" s="8" t="n"/>
    </row>
    <row r="106">
      <c r="A106">
        <f>IF($C106="","", "R"&amp;TEXT(ROW()-1,"00000"))</f>
        <v/>
      </c>
      <c r="B106" s="6" t="n"/>
      <c r="E106" s="8" t="n"/>
    </row>
    <row r="107">
      <c r="A107">
        <f>IF($C107="","", "R"&amp;TEXT(ROW()-1,"00000"))</f>
        <v/>
      </c>
      <c r="B107" s="6" t="n"/>
      <c r="E107" s="8" t="n"/>
    </row>
    <row r="108">
      <c r="A108">
        <f>IF($C108="","", "R"&amp;TEXT(ROW()-1,"00000"))</f>
        <v/>
      </c>
      <c r="B108" s="6" t="n"/>
      <c r="E108" s="8" t="n"/>
    </row>
    <row r="109">
      <c r="A109">
        <f>IF($C109="","", "R"&amp;TEXT(ROW()-1,"00000"))</f>
        <v/>
      </c>
      <c r="B109" s="6" t="n"/>
      <c r="E109" s="8" t="n"/>
    </row>
    <row r="110">
      <c r="A110">
        <f>IF($C110="","", "R"&amp;TEXT(ROW()-1,"00000"))</f>
        <v/>
      </c>
      <c r="B110" s="6" t="n"/>
      <c r="E110" s="8" t="n"/>
    </row>
    <row r="111">
      <c r="A111">
        <f>IF($C111="","", "R"&amp;TEXT(ROW()-1,"00000"))</f>
        <v/>
      </c>
      <c r="B111" s="6" t="n"/>
      <c r="E111" s="8" t="n"/>
    </row>
    <row r="112">
      <c r="A112">
        <f>IF($C112="","", "R"&amp;TEXT(ROW()-1,"00000"))</f>
        <v/>
      </c>
      <c r="B112" s="6" t="n"/>
      <c r="E112" s="8" t="n"/>
    </row>
    <row r="113">
      <c r="A113">
        <f>IF($C113="","", "R"&amp;TEXT(ROW()-1,"00000"))</f>
        <v/>
      </c>
      <c r="B113" s="6" t="n"/>
      <c r="E113" s="8" t="n"/>
    </row>
    <row r="114">
      <c r="A114">
        <f>IF($C114="","", "R"&amp;TEXT(ROW()-1,"00000"))</f>
        <v/>
      </c>
      <c r="B114" s="6" t="n"/>
      <c r="E114" s="8" t="n"/>
    </row>
    <row r="115">
      <c r="A115">
        <f>IF($C115="","", "R"&amp;TEXT(ROW()-1,"00000"))</f>
        <v/>
      </c>
      <c r="B115" s="6" t="n"/>
      <c r="E115" s="8" t="n"/>
    </row>
    <row r="116">
      <c r="A116">
        <f>IF($C116="","", "R"&amp;TEXT(ROW()-1,"00000"))</f>
        <v/>
      </c>
      <c r="B116" s="6" t="n"/>
      <c r="E116" s="8" t="n"/>
    </row>
    <row r="117">
      <c r="A117">
        <f>IF($C117="","", "R"&amp;TEXT(ROW()-1,"00000"))</f>
        <v/>
      </c>
      <c r="B117" s="6" t="n"/>
      <c r="E117" s="8" t="n"/>
    </row>
    <row r="118">
      <c r="A118">
        <f>IF($C118="","", "R"&amp;TEXT(ROW()-1,"00000"))</f>
        <v/>
      </c>
      <c r="B118" s="6" t="n"/>
      <c r="E118" s="8" t="n"/>
    </row>
    <row r="119">
      <c r="A119">
        <f>IF($C119="","", "R"&amp;TEXT(ROW()-1,"00000"))</f>
        <v/>
      </c>
      <c r="B119" s="6" t="n"/>
      <c r="E119" s="8" t="n"/>
    </row>
    <row r="120">
      <c r="A120">
        <f>IF($C120="","", "R"&amp;TEXT(ROW()-1,"00000"))</f>
        <v/>
      </c>
      <c r="B120" s="6" t="n"/>
      <c r="E120" s="8" t="n"/>
    </row>
    <row r="121">
      <c r="A121">
        <f>IF($C121="","", "R"&amp;TEXT(ROW()-1,"00000"))</f>
        <v/>
      </c>
      <c r="B121" s="6" t="n"/>
      <c r="E121" s="8" t="n"/>
    </row>
    <row r="122">
      <c r="A122">
        <f>IF($C122="","", "R"&amp;TEXT(ROW()-1,"00000"))</f>
        <v/>
      </c>
      <c r="B122" s="6" t="n"/>
      <c r="E122" s="8" t="n"/>
    </row>
    <row r="123">
      <c r="A123">
        <f>IF($C123="","", "R"&amp;TEXT(ROW()-1,"00000"))</f>
        <v/>
      </c>
      <c r="B123" s="6" t="n"/>
      <c r="E123" s="8" t="n"/>
    </row>
    <row r="124">
      <c r="A124">
        <f>IF($C124="","", "R"&amp;TEXT(ROW()-1,"00000"))</f>
        <v/>
      </c>
      <c r="B124" s="6" t="n"/>
      <c r="E124" s="8" t="n"/>
    </row>
    <row r="125">
      <c r="A125">
        <f>IF($C125="","", "R"&amp;TEXT(ROW()-1,"00000"))</f>
        <v/>
      </c>
      <c r="B125" s="6" t="n"/>
      <c r="E125" s="8" t="n"/>
    </row>
    <row r="126">
      <c r="A126">
        <f>IF($C126="","", "R"&amp;TEXT(ROW()-1,"00000"))</f>
        <v/>
      </c>
      <c r="B126" s="6" t="n"/>
      <c r="E126" s="8" t="n"/>
    </row>
    <row r="127">
      <c r="A127">
        <f>IF($C127="","", "R"&amp;TEXT(ROW()-1,"00000"))</f>
        <v/>
      </c>
      <c r="B127" s="6" t="n"/>
      <c r="E127" s="8" t="n"/>
    </row>
    <row r="128">
      <c r="A128">
        <f>IF($C128="","", "R"&amp;TEXT(ROW()-1,"00000"))</f>
        <v/>
      </c>
      <c r="B128" s="6" t="n"/>
      <c r="E128" s="8" t="n"/>
    </row>
    <row r="129">
      <c r="A129">
        <f>IF($C129="","", "R"&amp;TEXT(ROW()-1,"00000"))</f>
        <v/>
      </c>
      <c r="B129" s="6" t="n"/>
      <c r="E129" s="8" t="n"/>
    </row>
    <row r="130">
      <c r="A130">
        <f>IF($C130="","", "R"&amp;TEXT(ROW()-1,"00000"))</f>
        <v/>
      </c>
      <c r="B130" s="6" t="n"/>
      <c r="E130" s="8" t="n"/>
    </row>
    <row r="131">
      <c r="A131">
        <f>IF($C131="","", "R"&amp;TEXT(ROW()-1,"00000"))</f>
        <v/>
      </c>
      <c r="B131" s="6" t="n"/>
      <c r="E131" s="8" t="n"/>
    </row>
    <row r="132">
      <c r="A132">
        <f>IF($C132="","", "R"&amp;TEXT(ROW()-1,"00000"))</f>
        <v/>
      </c>
      <c r="B132" s="6" t="n"/>
      <c r="E132" s="8" t="n"/>
    </row>
    <row r="133">
      <c r="A133">
        <f>IF($C133="","", "R"&amp;TEXT(ROW()-1,"00000"))</f>
        <v/>
      </c>
      <c r="B133" s="6" t="n"/>
      <c r="E133" s="8" t="n"/>
    </row>
    <row r="134">
      <c r="A134">
        <f>IF($C134="","", "R"&amp;TEXT(ROW()-1,"00000"))</f>
        <v/>
      </c>
      <c r="B134" s="6" t="n"/>
      <c r="E134" s="8" t="n"/>
    </row>
    <row r="135">
      <c r="A135">
        <f>IF($C135="","", "R"&amp;TEXT(ROW()-1,"00000"))</f>
        <v/>
      </c>
      <c r="B135" s="6" t="n"/>
      <c r="E135" s="8" t="n"/>
    </row>
    <row r="136">
      <c r="A136">
        <f>IF($C136="","", "R"&amp;TEXT(ROW()-1,"00000"))</f>
        <v/>
      </c>
      <c r="B136" s="6" t="n"/>
      <c r="E136" s="8" t="n"/>
    </row>
    <row r="137">
      <c r="A137">
        <f>IF($C137="","", "R"&amp;TEXT(ROW()-1,"00000"))</f>
        <v/>
      </c>
      <c r="B137" s="6" t="n"/>
      <c r="E137" s="8" t="n"/>
    </row>
    <row r="138">
      <c r="A138">
        <f>IF($C138="","", "R"&amp;TEXT(ROW()-1,"00000"))</f>
        <v/>
      </c>
      <c r="B138" s="6" t="n"/>
      <c r="E138" s="8" t="n"/>
    </row>
    <row r="139">
      <c r="A139">
        <f>IF($C139="","", "R"&amp;TEXT(ROW()-1,"00000"))</f>
        <v/>
      </c>
      <c r="B139" s="6" t="n"/>
      <c r="E139" s="8" t="n"/>
    </row>
    <row r="140">
      <c r="A140">
        <f>IF($C140="","", "R"&amp;TEXT(ROW()-1,"00000"))</f>
        <v/>
      </c>
      <c r="B140" s="6" t="n"/>
      <c r="E140" s="8" t="n"/>
    </row>
    <row r="141">
      <c r="A141">
        <f>IF($C141="","", "R"&amp;TEXT(ROW()-1,"00000"))</f>
        <v/>
      </c>
      <c r="B141" s="6" t="n"/>
      <c r="E141" s="8" t="n"/>
    </row>
    <row r="142">
      <c r="A142">
        <f>IF($C142="","", "R"&amp;TEXT(ROW()-1,"00000"))</f>
        <v/>
      </c>
      <c r="B142" s="6" t="n"/>
      <c r="E142" s="8" t="n"/>
    </row>
    <row r="143">
      <c r="A143">
        <f>IF($C143="","", "R"&amp;TEXT(ROW()-1,"00000"))</f>
        <v/>
      </c>
      <c r="B143" s="6" t="n"/>
      <c r="E143" s="8" t="n"/>
    </row>
    <row r="144">
      <c r="A144">
        <f>IF($C144="","", "R"&amp;TEXT(ROW()-1,"00000"))</f>
        <v/>
      </c>
      <c r="B144" s="6" t="n"/>
      <c r="E144" s="8" t="n"/>
    </row>
    <row r="145">
      <c r="A145">
        <f>IF($C145="","", "R"&amp;TEXT(ROW()-1,"00000"))</f>
        <v/>
      </c>
      <c r="B145" s="6" t="n"/>
      <c r="E145" s="8" t="n"/>
    </row>
    <row r="146">
      <c r="A146">
        <f>IF($C146="","", "R"&amp;TEXT(ROW()-1,"00000"))</f>
        <v/>
      </c>
      <c r="B146" s="6" t="n"/>
      <c r="E146" s="8" t="n"/>
    </row>
    <row r="147">
      <c r="A147">
        <f>IF($C147="","", "R"&amp;TEXT(ROW()-1,"00000"))</f>
        <v/>
      </c>
      <c r="B147" s="6" t="n"/>
      <c r="E147" s="8" t="n"/>
    </row>
    <row r="148">
      <c r="A148">
        <f>IF($C148="","", "R"&amp;TEXT(ROW()-1,"00000"))</f>
        <v/>
      </c>
      <c r="B148" s="6" t="n"/>
      <c r="E148" s="8" t="n"/>
    </row>
    <row r="149">
      <c r="A149">
        <f>IF($C149="","", "R"&amp;TEXT(ROW()-1,"00000"))</f>
        <v/>
      </c>
      <c r="B149" s="6" t="n"/>
      <c r="E149" s="8" t="n"/>
    </row>
    <row r="150">
      <c r="A150">
        <f>IF($C150="","", "R"&amp;TEXT(ROW()-1,"00000"))</f>
        <v/>
      </c>
      <c r="B150" s="6" t="n"/>
      <c r="E150" s="8" t="n"/>
    </row>
    <row r="151">
      <c r="A151">
        <f>IF($C151="","", "R"&amp;TEXT(ROW()-1,"00000"))</f>
        <v/>
      </c>
      <c r="B151" s="6" t="n"/>
      <c r="E151" s="8" t="n"/>
    </row>
    <row r="152">
      <c r="A152">
        <f>IF($C152="","", "R"&amp;TEXT(ROW()-1,"00000"))</f>
        <v/>
      </c>
      <c r="B152" s="6" t="n"/>
      <c r="E152" s="8" t="n"/>
    </row>
    <row r="153">
      <c r="A153">
        <f>IF($C153="","", "R"&amp;TEXT(ROW()-1,"00000"))</f>
        <v/>
      </c>
      <c r="B153" s="6" t="n"/>
      <c r="E153" s="8" t="n"/>
    </row>
    <row r="154">
      <c r="A154">
        <f>IF($C154="","", "R"&amp;TEXT(ROW()-1,"00000"))</f>
        <v/>
      </c>
      <c r="B154" s="6" t="n"/>
      <c r="E154" s="8" t="n"/>
    </row>
    <row r="155">
      <c r="A155">
        <f>IF($C155="","", "R"&amp;TEXT(ROW()-1,"00000"))</f>
        <v/>
      </c>
      <c r="B155" s="6" t="n"/>
      <c r="E155" s="8" t="n"/>
    </row>
    <row r="156">
      <c r="A156">
        <f>IF($C156="","", "R"&amp;TEXT(ROW()-1,"00000"))</f>
        <v/>
      </c>
      <c r="B156" s="6" t="n"/>
      <c r="E156" s="8" t="n"/>
    </row>
    <row r="157">
      <c r="A157">
        <f>IF($C157="","", "R"&amp;TEXT(ROW()-1,"00000"))</f>
        <v/>
      </c>
      <c r="B157" s="6" t="n"/>
      <c r="E157" s="8" t="n"/>
    </row>
    <row r="158">
      <c r="A158">
        <f>IF($C158="","", "R"&amp;TEXT(ROW()-1,"00000"))</f>
        <v/>
      </c>
      <c r="B158" s="6" t="n"/>
      <c r="E158" s="8" t="n"/>
    </row>
    <row r="159">
      <c r="A159">
        <f>IF($C159="","", "R"&amp;TEXT(ROW()-1,"00000"))</f>
        <v/>
      </c>
      <c r="B159" s="6" t="n"/>
      <c r="E159" s="8" t="n"/>
    </row>
    <row r="160">
      <c r="A160">
        <f>IF($C160="","", "R"&amp;TEXT(ROW()-1,"00000"))</f>
        <v/>
      </c>
      <c r="B160" s="6" t="n"/>
      <c r="E160" s="8" t="n"/>
    </row>
    <row r="161">
      <c r="A161">
        <f>IF($C161="","", "R"&amp;TEXT(ROW()-1,"00000"))</f>
        <v/>
      </c>
      <c r="B161" s="6" t="n"/>
      <c r="E161" s="8" t="n"/>
    </row>
    <row r="162">
      <c r="A162">
        <f>IF($C162="","", "R"&amp;TEXT(ROW()-1,"00000"))</f>
        <v/>
      </c>
      <c r="B162" s="6" t="n"/>
      <c r="E162" s="8" t="n"/>
    </row>
    <row r="163">
      <c r="A163">
        <f>IF($C163="","", "R"&amp;TEXT(ROW()-1,"00000"))</f>
        <v/>
      </c>
      <c r="B163" s="6" t="n"/>
      <c r="E163" s="8" t="n"/>
    </row>
    <row r="164">
      <c r="A164">
        <f>IF($C164="","", "R"&amp;TEXT(ROW()-1,"00000"))</f>
        <v/>
      </c>
      <c r="B164" s="6" t="n"/>
      <c r="E164" s="8" t="n"/>
    </row>
    <row r="165">
      <c r="A165">
        <f>IF($C165="","", "R"&amp;TEXT(ROW()-1,"00000"))</f>
        <v/>
      </c>
      <c r="B165" s="6" t="n"/>
      <c r="E165" s="8" t="n"/>
    </row>
    <row r="166">
      <c r="A166">
        <f>IF($C166="","", "R"&amp;TEXT(ROW()-1,"00000"))</f>
        <v/>
      </c>
      <c r="B166" s="6" t="n"/>
      <c r="E166" s="8" t="n"/>
    </row>
    <row r="167">
      <c r="A167">
        <f>IF($C167="","", "R"&amp;TEXT(ROW()-1,"00000"))</f>
        <v/>
      </c>
      <c r="B167" s="6" t="n"/>
      <c r="E167" s="8" t="n"/>
    </row>
    <row r="168">
      <c r="A168">
        <f>IF($C168="","", "R"&amp;TEXT(ROW()-1,"00000"))</f>
        <v/>
      </c>
      <c r="B168" s="6" t="n"/>
      <c r="E168" s="8" t="n"/>
    </row>
    <row r="169">
      <c r="A169">
        <f>IF($C169="","", "R"&amp;TEXT(ROW()-1,"00000"))</f>
        <v/>
      </c>
      <c r="B169" s="6" t="n"/>
      <c r="E169" s="8" t="n"/>
    </row>
    <row r="170">
      <c r="A170">
        <f>IF($C170="","", "R"&amp;TEXT(ROW()-1,"00000"))</f>
        <v/>
      </c>
      <c r="B170" s="6" t="n"/>
      <c r="E170" s="8" t="n"/>
    </row>
    <row r="171">
      <c r="A171">
        <f>IF($C171="","", "R"&amp;TEXT(ROW()-1,"00000"))</f>
        <v/>
      </c>
      <c r="B171" s="6" t="n"/>
      <c r="E171" s="8" t="n"/>
    </row>
    <row r="172">
      <c r="A172">
        <f>IF($C172="","", "R"&amp;TEXT(ROW()-1,"00000"))</f>
        <v/>
      </c>
      <c r="B172" s="6" t="n"/>
      <c r="E172" s="8" t="n"/>
    </row>
    <row r="173">
      <c r="A173">
        <f>IF($C173="","", "R"&amp;TEXT(ROW()-1,"00000"))</f>
        <v/>
      </c>
      <c r="B173" s="6" t="n"/>
      <c r="E173" s="8" t="n"/>
    </row>
    <row r="174">
      <c r="A174">
        <f>IF($C174="","", "R"&amp;TEXT(ROW()-1,"00000"))</f>
        <v/>
      </c>
      <c r="B174" s="6" t="n"/>
      <c r="E174" s="8" t="n"/>
    </row>
    <row r="175">
      <c r="A175">
        <f>IF($C175="","", "R"&amp;TEXT(ROW()-1,"00000"))</f>
        <v/>
      </c>
      <c r="B175" s="6" t="n"/>
      <c r="E175" s="8" t="n"/>
    </row>
    <row r="176">
      <c r="A176">
        <f>IF($C176="","", "R"&amp;TEXT(ROW()-1,"00000"))</f>
        <v/>
      </c>
      <c r="B176" s="6" t="n"/>
      <c r="E176" s="8" t="n"/>
    </row>
    <row r="177">
      <c r="A177">
        <f>IF($C177="","", "R"&amp;TEXT(ROW()-1,"00000"))</f>
        <v/>
      </c>
      <c r="B177" s="6" t="n"/>
      <c r="E177" s="8" t="n"/>
    </row>
    <row r="178">
      <c r="A178">
        <f>IF($C178="","", "R"&amp;TEXT(ROW()-1,"00000"))</f>
        <v/>
      </c>
      <c r="B178" s="6" t="n"/>
      <c r="E178" s="8" t="n"/>
    </row>
    <row r="179">
      <c r="A179">
        <f>IF($C179="","", "R"&amp;TEXT(ROW()-1,"00000"))</f>
        <v/>
      </c>
      <c r="B179" s="6" t="n"/>
      <c r="E179" s="8" t="n"/>
    </row>
    <row r="180">
      <c r="A180">
        <f>IF($C180="","", "R"&amp;TEXT(ROW()-1,"00000"))</f>
        <v/>
      </c>
      <c r="B180" s="6" t="n"/>
      <c r="E180" s="8" t="n"/>
    </row>
    <row r="181">
      <c r="A181">
        <f>IF($C181="","", "R"&amp;TEXT(ROW()-1,"00000"))</f>
        <v/>
      </c>
      <c r="B181" s="6" t="n"/>
      <c r="E181" s="8" t="n"/>
    </row>
    <row r="182">
      <c r="A182">
        <f>IF($C182="","", "R"&amp;TEXT(ROW()-1,"00000"))</f>
        <v/>
      </c>
      <c r="B182" s="6" t="n"/>
      <c r="E182" s="8" t="n"/>
    </row>
    <row r="183">
      <c r="A183">
        <f>IF($C183="","", "R"&amp;TEXT(ROW()-1,"00000"))</f>
        <v/>
      </c>
      <c r="B183" s="6" t="n"/>
      <c r="E183" s="8" t="n"/>
    </row>
    <row r="184">
      <c r="A184">
        <f>IF($C184="","", "R"&amp;TEXT(ROW()-1,"00000"))</f>
        <v/>
      </c>
      <c r="B184" s="6" t="n"/>
      <c r="E184" s="8" t="n"/>
    </row>
    <row r="185">
      <c r="A185">
        <f>IF($C185="","", "R"&amp;TEXT(ROW()-1,"00000"))</f>
        <v/>
      </c>
      <c r="B185" s="6" t="n"/>
      <c r="E185" s="8" t="n"/>
    </row>
    <row r="186">
      <c r="A186">
        <f>IF($C186="","", "R"&amp;TEXT(ROW()-1,"00000"))</f>
        <v/>
      </c>
      <c r="B186" s="6" t="n"/>
      <c r="E186" s="8" t="n"/>
    </row>
    <row r="187">
      <c r="A187">
        <f>IF($C187="","", "R"&amp;TEXT(ROW()-1,"00000"))</f>
        <v/>
      </c>
      <c r="B187" s="6" t="n"/>
      <c r="E187" s="8" t="n"/>
    </row>
    <row r="188">
      <c r="A188">
        <f>IF($C188="","", "R"&amp;TEXT(ROW()-1,"00000"))</f>
        <v/>
      </c>
      <c r="B188" s="6" t="n"/>
      <c r="E188" s="8" t="n"/>
    </row>
    <row r="189">
      <c r="A189">
        <f>IF($C189="","", "R"&amp;TEXT(ROW()-1,"00000"))</f>
        <v/>
      </c>
      <c r="B189" s="6" t="n"/>
      <c r="E189" s="8" t="n"/>
    </row>
    <row r="190">
      <c r="A190">
        <f>IF($C190="","", "R"&amp;TEXT(ROW()-1,"00000"))</f>
        <v/>
      </c>
      <c r="B190" s="6" t="n"/>
      <c r="E190" s="8" t="n"/>
    </row>
    <row r="191">
      <c r="A191">
        <f>IF($C191="","", "R"&amp;TEXT(ROW()-1,"00000"))</f>
        <v/>
      </c>
      <c r="B191" s="6" t="n"/>
      <c r="E191" s="8" t="n"/>
    </row>
    <row r="192">
      <c r="A192">
        <f>IF($C192="","", "R"&amp;TEXT(ROW()-1,"00000"))</f>
        <v/>
      </c>
      <c r="B192" s="6" t="n"/>
      <c r="E192" s="8" t="n"/>
    </row>
    <row r="193">
      <c r="A193">
        <f>IF($C193="","", "R"&amp;TEXT(ROW()-1,"00000"))</f>
        <v/>
      </c>
      <c r="B193" s="6" t="n"/>
      <c r="E193" s="8" t="n"/>
    </row>
    <row r="194">
      <c r="A194">
        <f>IF($C194="","", "R"&amp;TEXT(ROW()-1,"00000"))</f>
        <v/>
      </c>
      <c r="B194" s="6" t="n"/>
      <c r="E194" s="8" t="n"/>
    </row>
    <row r="195">
      <c r="A195">
        <f>IF($C195="","", "R"&amp;TEXT(ROW()-1,"00000"))</f>
        <v/>
      </c>
      <c r="B195" s="6" t="n"/>
      <c r="E195" s="8" t="n"/>
    </row>
    <row r="196">
      <c r="A196">
        <f>IF($C196="","", "R"&amp;TEXT(ROW()-1,"00000"))</f>
        <v/>
      </c>
      <c r="B196" s="6" t="n"/>
      <c r="E196" s="8" t="n"/>
    </row>
    <row r="197">
      <c r="A197">
        <f>IF($C197="","", "R"&amp;TEXT(ROW()-1,"00000"))</f>
        <v/>
      </c>
      <c r="B197" s="6" t="n"/>
      <c r="E197" s="8" t="n"/>
    </row>
    <row r="198">
      <c r="A198">
        <f>IF($C198="","", "R"&amp;TEXT(ROW()-1,"00000"))</f>
        <v/>
      </c>
      <c r="B198" s="6" t="n"/>
      <c r="E198" s="8" t="n"/>
    </row>
    <row r="199">
      <c r="A199">
        <f>IF($C199="","", "R"&amp;TEXT(ROW()-1,"00000"))</f>
        <v/>
      </c>
      <c r="B199" s="6" t="n"/>
      <c r="E199" s="8" t="n"/>
    </row>
    <row r="200">
      <c r="A200">
        <f>IF($C200="","", "R"&amp;TEXT(ROW()-1,"00000"))</f>
        <v/>
      </c>
      <c r="B200" s="6" t="n"/>
      <c r="E200" s="8" t="n"/>
    </row>
    <row r="201">
      <c r="A201">
        <f>IF($C201="","", "R"&amp;TEXT(ROW()-1,"00000"))</f>
        <v/>
      </c>
      <c r="B201" s="6" t="n"/>
      <c r="E201" s="8" t="n"/>
    </row>
    <row r="202">
      <c r="A202">
        <f>IF($C202="","", "R"&amp;TEXT(ROW()-1,"00000"))</f>
        <v/>
      </c>
      <c r="B202" s="6" t="n"/>
      <c r="E202" s="8" t="n"/>
    </row>
    <row r="203">
      <c r="A203">
        <f>IF($C203="","", "R"&amp;TEXT(ROW()-1,"00000"))</f>
        <v/>
      </c>
      <c r="B203" s="6" t="n"/>
      <c r="E203" s="8" t="n"/>
    </row>
    <row r="204">
      <c r="A204">
        <f>IF($C204="","", "R"&amp;TEXT(ROW()-1,"00000"))</f>
        <v/>
      </c>
      <c r="B204" s="6" t="n"/>
      <c r="E204" s="8" t="n"/>
    </row>
    <row r="205">
      <c r="A205">
        <f>IF($C205="","", "R"&amp;TEXT(ROW()-1,"00000"))</f>
        <v/>
      </c>
      <c r="B205" s="6" t="n"/>
      <c r="E205" s="8" t="n"/>
    </row>
    <row r="206">
      <c r="A206">
        <f>IF($C206="","", "R"&amp;TEXT(ROW()-1,"00000"))</f>
        <v/>
      </c>
      <c r="B206" s="6" t="n"/>
      <c r="E206" s="8" t="n"/>
    </row>
    <row r="207">
      <c r="A207">
        <f>IF($C207="","", "R"&amp;TEXT(ROW()-1,"00000"))</f>
        <v/>
      </c>
      <c r="B207" s="6" t="n"/>
      <c r="E207" s="8" t="n"/>
    </row>
    <row r="208">
      <c r="A208">
        <f>IF($C208="","", "R"&amp;TEXT(ROW()-1,"00000"))</f>
        <v/>
      </c>
      <c r="B208" s="6" t="n"/>
      <c r="E208" s="8" t="n"/>
    </row>
    <row r="209">
      <c r="A209">
        <f>IF($C209="","", "R"&amp;TEXT(ROW()-1,"00000"))</f>
        <v/>
      </c>
      <c r="B209" s="6" t="n"/>
      <c r="E209" s="8" t="n"/>
    </row>
    <row r="210">
      <c r="A210">
        <f>IF($C210="","", "R"&amp;TEXT(ROW()-1,"00000"))</f>
        <v/>
      </c>
      <c r="B210" s="6" t="n"/>
      <c r="E210" s="8" t="n"/>
    </row>
    <row r="211">
      <c r="A211">
        <f>IF($C211="","", "R"&amp;TEXT(ROW()-1,"00000"))</f>
        <v/>
      </c>
      <c r="B211" s="6" t="n"/>
      <c r="E211" s="8" t="n"/>
    </row>
    <row r="212">
      <c r="A212">
        <f>IF($C212="","", "R"&amp;TEXT(ROW()-1,"00000"))</f>
        <v/>
      </c>
      <c r="B212" s="6" t="n"/>
      <c r="E212" s="8" t="n"/>
    </row>
    <row r="213">
      <c r="A213">
        <f>IF($C213="","", "R"&amp;TEXT(ROW()-1,"00000"))</f>
        <v/>
      </c>
      <c r="B213" s="6" t="n"/>
      <c r="E213" s="8" t="n"/>
    </row>
    <row r="214">
      <c r="A214">
        <f>IF($C214="","", "R"&amp;TEXT(ROW()-1,"00000"))</f>
        <v/>
      </c>
      <c r="B214" s="6" t="n"/>
      <c r="E214" s="8" t="n"/>
    </row>
    <row r="215">
      <c r="A215">
        <f>IF($C215="","", "R"&amp;TEXT(ROW()-1,"00000"))</f>
        <v/>
      </c>
      <c r="B215" s="6" t="n"/>
      <c r="E215" s="8" t="n"/>
    </row>
    <row r="216">
      <c r="A216">
        <f>IF($C216="","", "R"&amp;TEXT(ROW()-1,"00000"))</f>
        <v/>
      </c>
      <c r="B216" s="6" t="n"/>
      <c r="E216" s="8" t="n"/>
    </row>
    <row r="217">
      <c r="A217">
        <f>IF($C217="","", "R"&amp;TEXT(ROW()-1,"00000"))</f>
        <v/>
      </c>
      <c r="B217" s="6" t="n"/>
      <c r="E217" s="8" t="n"/>
    </row>
    <row r="218">
      <c r="A218">
        <f>IF($C218="","", "R"&amp;TEXT(ROW()-1,"00000"))</f>
        <v/>
      </c>
      <c r="B218" s="6" t="n"/>
      <c r="E218" s="8" t="n"/>
    </row>
    <row r="219">
      <c r="A219">
        <f>IF($C219="","", "R"&amp;TEXT(ROW()-1,"00000"))</f>
        <v/>
      </c>
      <c r="B219" s="6" t="n"/>
      <c r="E219" s="8" t="n"/>
    </row>
    <row r="220">
      <c r="A220">
        <f>IF($C220="","", "R"&amp;TEXT(ROW()-1,"00000"))</f>
        <v/>
      </c>
      <c r="B220" s="6" t="n"/>
      <c r="E220" s="8" t="n"/>
    </row>
    <row r="221">
      <c r="A221">
        <f>IF($C221="","", "R"&amp;TEXT(ROW()-1,"00000"))</f>
        <v/>
      </c>
      <c r="B221" s="6" t="n"/>
      <c r="E221" s="8" t="n"/>
    </row>
    <row r="222">
      <c r="A222">
        <f>IF($C222="","", "R"&amp;TEXT(ROW()-1,"00000"))</f>
        <v/>
      </c>
      <c r="B222" s="6" t="n"/>
      <c r="E222" s="8" t="n"/>
    </row>
    <row r="223">
      <c r="A223">
        <f>IF($C223="","", "R"&amp;TEXT(ROW()-1,"00000"))</f>
        <v/>
      </c>
      <c r="B223" s="6" t="n"/>
      <c r="E223" s="8" t="n"/>
    </row>
    <row r="224">
      <c r="A224">
        <f>IF($C224="","", "R"&amp;TEXT(ROW()-1,"00000"))</f>
        <v/>
      </c>
      <c r="B224" s="6" t="n"/>
      <c r="E224" s="8" t="n"/>
    </row>
    <row r="225">
      <c r="A225">
        <f>IF($C225="","", "R"&amp;TEXT(ROW()-1,"00000"))</f>
        <v/>
      </c>
      <c r="B225" s="6" t="n"/>
      <c r="E225" s="8" t="n"/>
    </row>
    <row r="226">
      <c r="A226">
        <f>IF($C226="","", "R"&amp;TEXT(ROW()-1,"00000"))</f>
        <v/>
      </c>
      <c r="B226" s="6" t="n"/>
      <c r="E226" s="8" t="n"/>
    </row>
    <row r="227">
      <c r="A227">
        <f>IF($C227="","", "R"&amp;TEXT(ROW()-1,"00000"))</f>
        <v/>
      </c>
      <c r="B227" s="6" t="n"/>
      <c r="E227" s="8" t="n"/>
    </row>
    <row r="228">
      <c r="A228">
        <f>IF($C228="","", "R"&amp;TEXT(ROW()-1,"00000"))</f>
        <v/>
      </c>
      <c r="B228" s="6" t="n"/>
      <c r="E228" s="8" t="n"/>
    </row>
    <row r="229">
      <c r="A229">
        <f>IF($C229="","", "R"&amp;TEXT(ROW()-1,"00000"))</f>
        <v/>
      </c>
      <c r="B229" s="6" t="n"/>
      <c r="E229" s="8" t="n"/>
    </row>
    <row r="230">
      <c r="A230">
        <f>IF($C230="","", "R"&amp;TEXT(ROW()-1,"00000"))</f>
        <v/>
      </c>
      <c r="B230" s="6" t="n"/>
      <c r="E230" s="8" t="n"/>
    </row>
    <row r="231">
      <c r="A231">
        <f>IF($C231="","", "R"&amp;TEXT(ROW()-1,"00000"))</f>
        <v/>
      </c>
      <c r="B231" s="6" t="n"/>
      <c r="E231" s="8" t="n"/>
    </row>
    <row r="232">
      <c r="A232">
        <f>IF($C232="","", "R"&amp;TEXT(ROW()-1,"00000"))</f>
        <v/>
      </c>
      <c r="B232" s="6" t="n"/>
      <c r="E232" s="8" t="n"/>
    </row>
    <row r="233">
      <c r="A233">
        <f>IF($C233="","", "R"&amp;TEXT(ROW()-1,"00000"))</f>
        <v/>
      </c>
      <c r="B233" s="6" t="n"/>
      <c r="E233" s="8" t="n"/>
    </row>
    <row r="234">
      <c r="A234">
        <f>IF($C234="","", "R"&amp;TEXT(ROW()-1,"00000"))</f>
        <v/>
      </c>
      <c r="B234" s="6" t="n"/>
      <c r="E234" s="8" t="n"/>
    </row>
    <row r="235">
      <c r="A235">
        <f>IF($C235="","", "R"&amp;TEXT(ROW()-1,"00000"))</f>
        <v/>
      </c>
      <c r="B235" s="6" t="n"/>
      <c r="E235" s="8" t="n"/>
    </row>
    <row r="236">
      <c r="A236">
        <f>IF($C236="","", "R"&amp;TEXT(ROW()-1,"00000"))</f>
        <v/>
      </c>
      <c r="B236" s="6" t="n"/>
      <c r="E236" s="8" t="n"/>
    </row>
    <row r="237">
      <c r="A237">
        <f>IF($C237="","", "R"&amp;TEXT(ROW()-1,"00000"))</f>
        <v/>
      </c>
      <c r="B237" s="6" t="n"/>
      <c r="E237" s="8" t="n"/>
    </row>
    <row r="238">
      <c r="A238">
        <f>IF($C238="","", "R"&amp;TEXT(ROW()-1,"00000"))</f>
        <v/>
      </c>
      <c r="B238" s="6" t="n"/>
      <c r="E238" s="8" t="n"/>
    </row>
    <row r="239">
      <c r="A239">
        <f>IF($C239="","", "R"&amp;TEXT(ROW()-1,"00000"))</f>
        <v/>
      </c>
      <c r="B239" s="6" t="n"/>
      <c r="E239" s="8" t="n"/>
    </row>
    <row r="240">
      <c r="A240">
        <f>IF($C240="","", "R"&amp;TEXT(ROW()-1,"00000"))</f>
        <v/>
      </c>
      <c r="B240" s="6" t="n"/>
      <c r="E240" s="8" t="n"/>
    </row>
    <row r="241">
      <c r="A241">
        <f>IF($C241="","", "R"&amp;TEXT(ROW()-1,"00000"))</f>
        <v/>
      </c>
      <c r="B241" s="6" t="n"/>
      <c r="E241" s="8" t="n"/>
    </row>
    <row r="242">
      <c r="A242">
        <f>IF($C242="","", "R"&amp;TEXT(ROW()-1,"00000"))</f>
        <v/>
      </c>
      <c r="B242" s="6" t="n"/>
      <c r="E242" s="8" t="n"/>
    </row>
    <row r="243">
      <c r="A243">
        <f>IF($C243="","", "R"&amp;TEXT(ROW()-1,"00000"))</f>
        <v/>
      </c>
      <c r="B243" s="6" t="n"/>
      <c r="E243" s="8" t="n"/>
    </row>
    <row r="244">
      <c r="A244">
        <f>IF($C244="","", "R"&amp;TEXT(ROW()-1,"00000"))</f>
        <v/>
      </c>
      <c r="B244" s="6" t="n"/>
      <c r="E244" s="8" t="n"/>
    </row>
    <row r="245">
      <c r="A245">
        <f>IF($C245="","", "R"&amp;TEXT(ROW()-1,"00000"))</f>
        <v/>
      </c>
      <c r="B245" s="6" t="n"/>
      <c r="E245" s="8" t="n"/>
    </row>
    <row r="246">
      <c r="A246">
        <f>IF($C246="","", "R"&amp;TEXT(ROW()-1,"00000"))</f>
        <v/>
      </c>
      <c r="B246" s="6" t="n"/>
      <c r="E246" s="8" t="n"/>
    </row>
    <row r="247">
      <c r="A247">
        <f>IF($C247="","", "R"&amp;TEXT(ROW()-1,"00000"))</f>
        <v/>
      </c>
      <c r="B247" s="6" t="n"/>
      <c r="E247" s="8" t="n"/>
    </row>
    <row r="248">
      <c r="A248">
        <f>IF($C248="","", "R"&amp;TEXT(ROW()-1,"00000"))</f>
        <v/>
      </c>
      <c r="B248" s="6" t="n"/>
      <c r="E248" s="8" t="n"/>
    </row>
    <row r="249">
      <c r="A249">
        <f>IF($C249="","", "R"&amp;TEXT(ROW()-1,"00000"))</f>
        <v/>
      </c>
      <c r="B249" s="6" t="n"/>
      <c r="E249" s="8" t="n"/>
    </row>
    <row r="250">
      <c r="A250">
        <f>IF($C250="","", "R"&amp;TEXT(ROW()-1,"00000"))</f>
        <v/>
      </c>
      <c r="B250" s="6" t="n"/>
      <c r="E250" s="8" t="n"/>
    </row>
    <row r="251">
      <c r="A251">
        <f>IF($C251="","", "R"&amp;TEXT(ROW()-1,"00000"))</f>
        <v/>
      </c>
      <c r="B251" s="6" t="n"/>
      <c r="E251" s="8" t="n"/>
    </row>
    <row r="252">
      <c r="A252">
        <f>IF($C252="","", "R"&amp;TEXT(ROW()-1,"00000"))</f>
        <v/>
      </c>
      <c r="B252" s="6" t="n"/>
      <c r="E252" s="8" t="n"/>
    </row>
    <row r="253">
      <c r="A253">
        <f>IF($C253="","", "R"&amp;TEXT(ROW()-1,"00000"))</f>
        <v/>
      </c>
      <c r="B253" s="6" t="n"/>
      <c r="E253" s="8" t="n"/>
    </row>
    <row r="254">
      <c r="A254">
        <f>IF($C254="","", "R"&amp;TEXT(ROW()-1,"00000"))</f>
        <v/>
      </c>
      <c r="B254" s="6" t="n"/>
      <c r="E254" s="8" t="n"/>
    </row>
    <row r="255">
      <c r="A255">
        <f>IF($C255="","", "R"&amp;TEXT(ROW()-1,"00000"))</f>
        <v/>
      </c>
      <c r="B255" s="6" t="n"/>
      <c r="E255" s="8" t="n"/>
    </row>
    <row r="256">
      <c r="A256">
        <f>IF($C256="","", "R"&amp;TEXT(ROW()-1,"00000"))</f>
        <v/>
      </c>
      <c r="B256" s="6" t="n"/>
      <c r="E256" s="8" t="n"/>
    </row>
    <row r="257">
      <c r="A257">
        <f>IF($C257="","", "R"&amp;TEXT(ROW()-1,"00000"))</f>
        <v/>
      </c>
      <c r="B257" s="6" t="n"/>
      <c r="E257" s="8" t="n"/>
    </row>
    <row r="258">
      <c r="A258">
        <f>IF($C258="","", "R"&amp;TEXT(ROW()-1,"00000"))</f>
        <v/>
      </c>
      <c r="B258" s="6" t="n"/>
      <c r="E258" s="8" t="n"/>
    </row>
    <row r="259">
      <c r="A259">
        <f>IF($C259="","", "R"&amp;TEXT(ROW()-1,"00000"))</f>
        <v/>
      </c>
      <c r="B259" s="6" t="n"/>
      <c r="E259" s="8" t="n"/>
    </row>
    <row r="260">
      <c r="A260">
        <f>IF($C260="","", "R"&amp;TEXT(ROW()-1,"00000"))</f>
        <v/>
      </c>
      <c r="B260" s="6" t="n"/>
      <c r="E260" s="8" t="n"/>
    </row>
    <row r="261">
      <c r="A261">
        <f>IF($C261="","", "R"&amp;TEXT(ROW()-1,"00000"))</f>
        <v/>
      </c>
      <c r="B261" s="6" t="n"/>
      <c r="E261" s="8" t="n"/>
    </row>
    <row r="262">
      <c r="A262">
        <f>IF($C262="","", "R"&amp;TEXT(ROW()-1,"00000"))</f>
        <v/>
      </c>
      <c r="B262" s="6" t="n"/>
      <c r="E262" s="8" t="n"/>
    </row>
    <row r="263">
      <c r="A263">
        <f>IF($C263="","", "R"&amp;TEXT(ROW()-1,"00000"))</f>
        <v/>
      </c>
      <c r="B263" s="6" t="n"/>
      <c r="E263" s="8" t="n"/>
    </row>
    <row r="264">
      <c r="A264">
        <f>IF($C264="","", "R"&amp;TEXT(ROW()-1,"00000"))</f>
        <v/>
      </c>
      <c r="B264" s="6" t="n"/>
      <c r="E264" s="8" t="n"/>
    </row>
    <row r="265">
      <c r="A265">
        <f>IF($C265="","", "R"&amp;TEXT(ROW()-1,"00000"))</f>
        <v/>
      </c>
      <c r="B265" s="6" t="n"/>
      <c r="E265" s="8" t="n"/>
    </row>
    <row r="266">
      <c r="A266">
        <f>IF($C266="","", "R"&amp;TEXT(ROW()-1,"00000"))</f>
        <v/>
      </c>
      <c r="B266" s="6" t="n"/>
      <c r="E266" s="8" t="n"/>
    </row>
    <row r="267">
      <c r="A267">
        <f>IF($C267="","", "R"&amp;TEXT(ROW()-1,"00000"))</f>
        <v/>
      </c>
      <c r="B267" s="6" t="n"/>
      <c r="E267" s="8" t="n"/>
    </row>
    <row r="268">
      <c r="A268">
        <f>IF($C268="","", "R"&amp;TEXT(ROW()-1,"00000"))</f>
        <v/>
      </c>
      <c r="B268" s="6" t="n"/>
      <c r="E268" s="8" t="n"/>
    </row>
    <row r="269">
      <c r="A269">
        <f>IF($C269="","", "R"&amp;TEXT(ROW()-1,"00000"))</f>
        <v/>
      </c>
      <c r="B269" s="6" t="n"/>
      <c r="E269" s="8" t="n"/>
    </row>
    <row r="270">
      <c r="A270">
        <f>IF($C270="","", "R"&amp;TEXT(ROW()-1,"00000"))</f>
        <v/>
      </c>
      <c r="B270" s="6" t="n"/>
      <c r="E270" s="8" t="n"/>
    </row>
    <row r="271">
      <c r="A271">
        <f>IF($C271="","", "R"&amp;TEXT(ROW()-1,"00000"))</f>
        <v/>
      </c>
      <c r="B271" s="6" t="n"/>
      <c r="E271" s="8" t="n"/>
    </row>
    <row r="272">
      <c r="A272">
        <f>IF($C272="","", "R"&amp;TEXT(ROW()-1,"00000"))</f>
        <v/>
      </c>
      <c r="B272" s="6" t="n"/>
      <c r="E272" s="8" t="n"/>
    </row>
    <row r="273">
      <c r="A273">
        <f>IF($C273="","", "R"&amp;TEXT(ROW()-1,"00000"))</f>
        <v/>
      </c>
      <c r="B273" s="6" t="n"/>
      <c r="E273" s="8" t="n"/>
    </row>
    <row r="274">
      <c r="A274">
        <f>IF($C274="","", "R"&amp;TEXT(ROW()-1,"00000"))</f>
        <v/>
      </c>
      <c r="B274" s="6" t="n"/>
      <c r="E274" s="8" t="n"/>
    </row>
    <row r="275">
      <c r="A275">
        <f>IF($C275="","", "R"&amp;TEXT(ROW()-1,"00000"))</f>
        <v/>
      </c>
      <c r="B275" s="6" t="n"/>
      <c r="E275" s="8" t="n"/>
    </row>
    <row r="276">
      <c r="A276">
        <f>IF($C276="","", "R"&amp;TEXT(ROW()-1,"00000"))</f>
        <v/>
      </c>
      <c r="B276" s="6" t="n"/>
      <c r="E276" s="8" t="n"/>
    </row>
    <row r="277">
      <c r="A277">
        <f>IF($C277="","", "R"&amp;TEXT(ROW()-1,"00000"))</f>
        <v/>
      </c>
      <c r="B277" s="6" t="n"/>
      <c r="E277" s="8" t="n"/>
    </row>
    <row r="278">
      <c r="A278">
        <f>IF($C278="","", "R"&amp;TEXT(ROW()-1,"00000"))</f>
        <v/>
      </c>
      <c r="B278" s="6" t="n"/>
      <c r="E278" s="8" t="n"/>
    </row>
    <row r="279">
      <c r="A279">
        <f>IF($C279="","", "R"&amp;TEXT(ROW()-1,"00000"))</f>
        <v/>
      </c>
      <c r="B279" s="6" t="n"/>
      <c r="E279" s="8" t="n"/>
    </row>
    <row r="280">
      <c r="A280">
        <f>IF($C280="","", "R"&amp;TEXT(ROW()-1,"00000"))</f>
        <v/>
      </c>
      <c r="B280" s="6" t="n"/>
      <c r="E280" s="8" t="n"/>
    </row>
    <row r="281">
      <c r="A281">
        <f>IF($C281="","", "R"&amp;TEXT(ROW()-1,"00000"))</f>
        <v/>
      </c>
      <c r="B281" s="6" t="n"/>
      <c r="E281" s="8" t="n"/>
    </row>
    <row r="282">
      <c r="A282">
        <f>IF($C282="","", "R"&amp;TEXT(ROW()-1,"00000"))</f>
        <v/>
      </c>
      <c r="B282" s="6" t="n"/>
      <c r="E282" s="8" t="n"/>
    </row>
    <row r="283">
      <c r="A283">
        <f>IF($C283="","", "R"&amp;TEXT(ROW()-1,"00000"))</f>
        <v/>
      </c>
      <c r="B283" s="6" t="n"/>
      <c r="E283" s="8" t="n"/>
    </row>
    <row r="284">
      <c r="A284">
        <f>IF($C284="","", "R"&amp;TEXT(ROW()-1,"00000"))</f>
        <v/>
      </c>
      <c r="B284" s="6" t="n"/>
      <c r="E284" s="8" t="n"/>
    </row>
    <row r="285">
      <c r="A285">
        <f>IF($C285="","", "R"&amp;TEXT(ROW()-1,"00000"))</f>
        <v/>
      </c>
      <c r="B285" s="6" t="n"/>
      <c r="E285" s="8" t="n"/>
    </row>
    <row r="286">
      <c r="A286">
        <f>IF($C286="","", "R"&amp;TEXT(ROW()-1,"00000"))</f>
        <v/>
      </c>
      <c r="B286" s="6" t="n"/>
      <c r="E286" s="8" t="n"/>
    </row>
    <row r="287">
      <c r="A287">
        <f>IF($C287="","", "R"&amp;TEXT(ROW()-1,"00000"))</f>
        <v/>
      </c>
      <c r="B287" s="6" t="n"/>
      <c r="E287" s="8" t="n"/>
    </row>
    <row r="288">
      <c r="A288">
        <f>IF($C288="","", "R"&amp;TEXT(ROW()-1,"00000"))</f>
        <v/>
      </c>
      <c r="B288" s="6" t="n"/>
      <c r="E288" s="8" t="n"/>
    </row>
    <row r="289">
      <c r="A289">
        <f>IF($C289="","", "R"&amp;TEXT(ROW()-1,"00000"))</f>
        <v/>
      </c>
      <c r="B289" s="6" t="n"/>
      <c r="E289" s="8" t="n"/>
    </row>
    <row r="290">
      <c r="A290">
        <f>IF($C290="","", "R"&amp;TEXT(ROW()-1,"00000"))</f>
        <v/>
      </c>
      <c r="B290" s="6" t="n"/>
      <c r="E290" s="8" t="n"/>
    </row>
    <row r="291">
      <c r="A291">
        <f>IF($C291="","", "R"&amp;TEXT(ROW()-1,"00000"))</f>
        <v/>
      </c>
      <c r="B291" s="6" t="n"/>
      <c r="E291" s="8" t="n"/>
    </row>
    <row r="292">
      <c r="A292">
        <f>IF($C292="","", "R"&amp;TEXT(ROW()-1,"00000"))</f>
        <v/>
      </c>
      <c r="B292" s="6" t="n"/>
      <c r="E292" s="8" t="n"/>
    </row>
    <row r="293">
      <c r="A293">
        <f>IF($C293="","", "R"&amp;TEXT(ROW()-1,"00000"))</f>
        <v/>
      </c>
      <c r="B293" s="6" t="n"/>
      <c r="E293" s="8" t="n"/>
    </row>
    <row r="294">
      <c r="A294">
        <f>IF($C294="","", "R"&amp;TEXT(ROW()-1,"00000"))</f>
        <v/>
      </c>
      <c r="B294" s="6" t="n"/>
      <c r="E294" s="8" t="n"/>
    </row>
    <row r="295">
      <c r="A295">
        <f>IF($C295="","", "R"&amp;TEXT(ROW()-1,"00000"))</f>
        <v/>
      </c>
      <c r="B295" s="6" t="n"/>
      <c r="E295" s="8" t="n"/>
    </row>
    <row r="296">
      <c r="A296">
        <f>IF($C296="","", "R"&amp;TEXT(ROW()-1,"00000"))</f>
        <v/>
      </c>
      <c r="B296" s="6" t="n"/>
      <c r="E296" s="8" t="n"/>
    </row>
    <row r="297">
      <c r="A297">
        <f>IF($C297="","", "R"&amp;TEXT(ROW()-1,"00000"))</f>
        <v/>
      </c>
      <c r="B297" s="6" t="n"/>
      <c r="E297" s="8" t="n"/>
    </row>
    <row r="298">
      <c r="A298">
        <f>IF($C298="","", "R"&amp;TEXT(ROW()-1,"00000"))</f>
        <v/>
      </c>
      <c r="B298" s="6" t="n"/>
      <c r="E298" s="8" t="n"/>
    </row>
    <row r="299">
      <c r="A299">
        <f>IF($C299="","", "R"&amp;TEXT(ROW()-1,"00000"))</f>
        <v/>
      </c>
      <c r="B299" s="6" t="n"/>
      <c r="E299" s="8" t="n"/>
    </row>
    <row r="300">
      <c r="A300">
        <f>IF($C300="","", "R"&amp;TEXT(ROW()-1,"00000"))</f>
        <v/>
      </c>
      <c r="B300" s="6" t="n"/>
      <c r="E300" s="8" t="n"/>
    </row>
    <row r="301">
      <c r="A301">
        <f>IF($C301="","", "R"&amp;TEXT(ROW()-1,"00000"))</f>
        <v/>
      </c>
      <c r="B301" s="6" t="n"/>
      <c r="E301" s="8" t="n"/>
    </row>
    <row r="302">
      <c r="A302">
        <f>IF($C302="","", "R"&amp;TEXT(ROW()-1,"00000"))</f>
        <v/>
      </c>
      <c r="B302" s="6" t="n"/>
      <c r="E302" s="8" t="n"/>
    </row>
    <row r="303">
      <c r="A303">
        <f>IF($C303="","", "R"&amp;TEXT(ROW()-1,"00000"))</f>
        <v/>
      </c>
      <c r="B303" s="6" t="n"/>
      <c r="E303" s="8" t="n"/>
    </row>
    <row r="304">
      <c r="A304">
        <f>IF($C304="","", "R"&amp;TEXT(ROW()-1,"00000"))</f>
        <v/>
      </c>
      <c r="B304" s="6" t="n"/>
      <c r="E304" s="8" t="n"/>
    </row>
    <row r="305">
      <c r="A305">
        <f>IF($C305="","", "R"&amp;TEXT(ROW()-1,"00000"))</f>
        <v/>
      </c>
      <c r="B305" s="6" t="n"/>
      <c r="E305" s="8" t="n"/>
    </row>
    <row r="306">
      <c r="A306">
        <f>IF($C306="","", "R"&amp;TEXT(ROW()-1,"00000"))</f>
        <v/>
      </c>
      <c r="B306" s="6" t="n"/>
      <c r="E306" s="8" t="n"/>
    </row>
    <row r="307">
      <c r="A307">
        <f>IF($C307="","", "R"&amp;TEXT(ROW()-1,"00000"))</f>
        <v/>
      </c>
      <c r="B307" s="6" t="n"/>
      <c r="E307" s="8" t="n"/>
    </row>
    <row r="308">
      <c r="A308">
        <f>IF($C308="","", "R"&amp;TEXT(ROW()-1,"00000"))</f>
        <v/>
      </c>
      <c r="B308" s="6" t="n"/>
      <c r="E308" s="8" t="n"/>
    </row>
    <row r="309">
      <c r="A309">
        <f>IF($C309="","", "R"&amp;TEXT(ROW()-1,"00000"))</f>
        <v/>
      </c>
      <c r="B309" s="6" t="n"/>
      <c r="E309" s="8" t="n"/>
    </row>
    <row r="310">
      <c r="A310">
        <f>IF($C310="","", "R"&amp;TEXT(ROW()-1,"00000"))</f>
        <v/>
      </c>
      <c r="B310" s="6" t="n"/>
      <c r="E310" s="8" t="n"/>
    </row>
    <row r="311">
      <c r="A311">
        <f>IF($C311="","", "R"&amp;TEXT(ROW()-1,"00000"))</f>
        <v/>
      </c>
      <c r="B311" s="6" t="n"/>
      <c r="E311" s="8" t="n"/>
    </row>
    <row r="312">
      <c r="A312">
        <f>IF($C312="","", "R"&amp;TEXT(ROW()-1,"00000"))</f>
        <v/>
      </c>
      <c r="B312" s="6" t="n"/>
      <c r="E312" s="8" t="n"/>
    </row>
    <row r="313">
      <c r="A313">
        <f>IF($C313="","", "R"&amp;TEXT(ROW()-1,"00000"))</f>
        <v/>
      </c>
      <c r="B313" s="6" t="n"/>
      <c r="E313" s="8" t="n"/>
    </row>
    <row r="314">
      <c r="A314">
        <f>IF($C314="","", "R"&amp;TEXT(ROW()-1,"00000"))</f>
        <v/>
      </c>
      <c r="B314" s="6" t="n"/>
      <c r="E314" s="8" t="n"/>
    </row>
    <row r="315">
      <c r="A315">
        <f>IF($C315="","", "R"&amp;TEXT(ROW()-1,"00000"))</f>
        <v/>
      </c>
      <c r="B315" s="6" t="n"/>
      <c r="E315" s="8" t="n"/>
    </row>
    <row r="316">
      <c r="A316">
        <f>IF($C316="","", "R"&amp;TEXT(ROW()-1,"00000"))</f>
        <v/>
      </c>
      <c r="B316" s="6" t="n"/>
      <c r="E316" s="8" t="n"/>
    </row>
    <row r="317">
      <c r="A317">
        <f>IF($C317="","", "R"&amp;TEXT(ROW()-1,"00000"))</f>
        <v/>
      </c>
      <c r="B317" s="6" t="n"/>
      <c r="E317" s="8" t="n"/>
    </row>
    <row r="318">
      <c r="A318">
        <f>IF($C318="","", "R"&amp;TEXT(ROW()-1,"00000"))</f>
        <v/>
      </c>
      <c r="B318" s="6" t="n"/>
      <c r="E318" s="8" t="n"/>
    </row>
    <row r="319">
      <c r="A319">
        <f>IF($C319="","", "R"&amp;TEXT(ROW()-1,"00000"))</f>
        <v/>
      </c>
      <c r="B319" s="6" t="n"/>
      <c r="E319" s="8" t="n"/>
    </row>
    <row r="320">
      <c r="A320">
        <f>IF($C320="","", "R"&amp;TEXT(ROW()-1,"00000"))</f>
        <v/>
      </c>
      <c r="B320" s="6" t="n"/>
      <c r="E320" s="8" t="n"/>
    </row>
    <row r="321">
      <c r="A321">
        <f>IF($C321="","", "R"&amp;TEXT(ROW()-1,"00000"))</f>
        <v/>
      </c>
      <c r="B321" s="6" t="n"/>
      <c r="E321" s="8" t="n"/>
    </row>
    <row r="322">
      <c r="A322">
        <f>IF($C322="","", "R"&amp;TEXT(ROW()-1,"00000"))</f>
        <v/>
      </c>
      <c r="B322" s="6" t="n"/>
      <c r="E322" s="8" t="n"/>
    </row>
    <row r="323">
      <c r="A323">
        <f>IF($C323="","", "R"&amp;TEXT(ROW()-1,"00000"))</f>
        <v/>
      </c>
      <c r="B323" s="6" t="n"/>
      <c r="E323" s="8" t="n"/>
    </row>
    <row r="324">
      <c r="A324">
        <f>IF($C324="","", "R"&amp;TEXT(ROW()-1,"00000"))</f>
        <v/>
      </c>
      <c r="B324" s="6" t="n"/>
      <c r="E324" s="8" t="n"/>
    </row>
    <row r="325">
      <c r="A325">
        <f>IF($C325="","", "R"&amp;TEXT(ROW()-1,"00000"))</f>
        <v/>
      </c>
      <c r="B325" s="6" t="n"/>
      <c r="E325" s="8" t="n"/>
    </row>
    <row r="326">
      <c r="A326">
        <f>IF($C326="","", "R"&amp;TEXT(ROW()-1,"00000"))</f>
        <v/>
      </c>
      <c r="B326" s="6" t="n"/>
      <c r="E326" s="8" t="n"/>
    </row>
    <row r="327">
      <c r="A327">
        <f>IF($C327="","", "R"&amp;TEXT(ROW()-1,"00000"))</f>
        <v/>
      </c>
      <c r="B327" s="6" t="n"/>
      <c r="E327" s="8" t="n"/>
    </row>
    <row r="328">
      <c r="A328">
        <f>IF($C328="","", "R"&amp;TEXT(ROW()-1,"00000"))</f>
        <v/>
      </c>
      <c r="B328" s="6" t="n"/>
      <c r="E328" s="8" t="n"/>
    </row>
    <row r="329">
      <c r="A329">
        <f>IF($C329="","", "R"&amp;TEXT(ROW()-1,"00000"))</f>
        <v/>
      </c>
      <c r="B329" s="6" t="n"/>
      <c r="E329" s="8" t="n"/>
    </row>
    <row r="330">
      <c r="A330">
        <f>IF($C330="","", "R"&amp;TEXT(ROW()-1,"00000"))</f>
        <v/>
      </c>
      <c r="B330" s="6" t="n"/>
      <c r="E330" s="8" t="n"/>
    </row>
    <row r="331">
      <c r="A331">
        <f>IF($C331="","", "R"&amp;TEXT(ROW()-1,"00000"))</f>
        <v/>
      </c>
      <c r="B331" s="6" t="n"/>
      <c r="E331" s="8" t="n"/>
    </row>
    <row r="332">
      <c r="A332">
        <f>IF($C332="","", "R"&amp;TEXT(ROW()-1,"00000"))</f>
        <v/>
      </c>
      <c r="B332" s="6" t="n"/>
      <c r="E332" s="8" t="n"/>
    </row>
    <row r="333">
      <c r="A333">
        <f>IF($C333="","", "R"&amp;TEXT(ROW()-1,"00000"))</f>
        <v/>
      </c>
      <c r="B333" s="6" t="n"/>
      <c r="E333" s="8" t="n"/>
    </row>
    <row r="334">
      <c r="A334">
        <f>IF($C334="","", "R"&amp;TEXT(ROW()-1,"00000"))</f>
        <v/>
      </c>
      <c r="B334" s="6" t="n"/>
      <c r="E334" s="8" t="n"/>
    </row>
    <row r="335">
      <c r="A335">
        <f>IF($C335="","", "R"&amp;TEXT(ROW()-1,"00000"))</f>
        <v/>
      </c>
      <c r="B335" s="6" t="n"/>
      <c r="E335" s="8" t="n"/>
    </row>
    <row r="336">
      <c r="A336">
        <f>IF($C336="","", "R"&amp;TEXT(ROW()-1,"00000"))</f>
        <v/>
      </c>
      <c r="B336" s="6" t="n"/>
      <c r="E336" s="8" t="n"/>
    </row>
    <row r="337">
      <c r="A337">
        <f>IF($C337="","", "R"&amp;TEXT(ROW()-1,"00000"))</f>
        <v/>
      </c>
      <c r="B337" s="6" t="n"/>
      <c r="E337" s="8" t="n"/>
    </row>
    <row r="338">
      <c r="A338">
        <f>IF($C338="","", "R"&amp;TEXT(ROW()-1,"00000"))</f>
        <v/>
      </c>
      <c r="B338" s="6" t="n"/>
      <c r="E338" s="8" t="n"/>
    </row>
    <row r="339">
      <c r="A339">
        <f>IF($C339="","", "R"&amp;TEXT(ROW()-1,"00000"))</f>
        <v/>
      </c>
      <c r="B339" s="6" t="n"/>
      <c r="E339" s="8" t="n"/>
    </row>
    <row r="340">
      <c r="A340">
        <f>IF($C340="","", "R"&amp;TEXT(ROW()-1,"00000"))</f>
        <v/>
      </c>
      <c r="B340" s="6" t="n"/>
      <c r="E340" s="8" t="n"/>
    </row>
    <row r="341">
      <c r="A341">
        <f>IF($C341="","", "R"&amp;TEXT(ROW()-1,"00000"))</f>
        <v/>
      </c>
      <c r="B341" s="6" t="n"/>
      <c r="E341" s="8" t="n"/>
    </row>
    <row r="342">
      <c r="A342">
        <f>IF($C342="","", "R"&amp;TEXT(ROW()-1,"00000"))</f>
        <v/>
      </c>
      <c r="B342" s="6" t="n"/>
      <c r="E342" s="8" t="n"/>
    </row>
    <row r="343">
      <c r="A343">
        <f>IF($C343="","", "R"&amp;TEXT(ROW()-1,"00000"))</f>
        <v/>
      </c>
      <c r="B343" s="6" t="n"/>
      <c r="E343" s="8" t="n"/>
    </row>
    <row r="344">
      <c r="A344">
        <f>IF($C344="","", "R"&amp;TEXT(ROW()-1,"00000"))</f>
        <v/>
      </c>
      <c r="B344" s="6" t="n"/>
      <c r="E344" s="8" t="n"/>
    </row>
    <row r="345">
      <c r="A345">
        <f>IF($C345="","", "R"&amp;TEXT(ROW()-1,"00000"))</f>
        <v/>
      </c>
      <c r="B345" s="6" t="n"/>
      <c r="E345" s="8" t="n"/>
    </row>
    <row r="346">
      <c r="A346">
        <f>IF($C346="","", "R"&amp;TEXT(ROW()-1,"00000"))</f>
        <v/>
      </c>
      <c r="B346" s="6" t="n"/>
      <c r="E346" s="8" t="n"/>
    </row>
    <row r="347">
      <c r="A347">
        <f>IF($C347="","", "R"&amp;TEXT(ROW()-1,"00000"))</f>
        <v/>
      </c>
      <c r="B347" s="6" t="n"/>
      <c r="E347" s="8" t="n"/>
    </row>
    <row r="348">
      <c r="A348">
        <f>IF($C348="","", "R"&amp;TEXT(ROW()-1,"00000"))</f>
        <v/>
      </c>
      <c r="B348" s="6" t="n"/>
      <c r="E348" s="8" t="n"/>
    </row>
    <row r="349">
      <c r="A349">
        <f>IF($C349="","", "R"&amp;TEXT(ROW()-1,"00000"))</f>
        <v/>
      </c>
      <c r="B349" s="6" t="n"/>
      <c r="E349" s="8" t="n"/>
    </row>
    <row r="350">
      <c r="A350">
        <f>IF($C350="","", "R"&amp;TEXT(ROW()-1,"00000"))</f>
        <v/>
      </c>
      <c r="B350" s="6" t="n"/>
      <c r="E350" s="8" t="n"/>
    </row>
    <row r="351">
      <c r="A351">
        <f>IF($C351="","", "R"&amp;TEXT(ROW()-1,"00000"))</f>
        <v/>
      </c>
      <c r="B351" s="6" t="n"/>
      <c r="E351" s="8" t="n"/>
    </row>
    <row r="352">
      <c r="A352">
        <f>IF($C352="","", "R"&amp;TEXT(ROW()-1,"00000"))</f>
        <v/>
      </c>
      <c r="B352" s="6" t="n"/>
      <c r="E352" s="8" t="n"/>
    </row>
    <row r="353">
      <c r="A353">
        <f>IF($C353="","", "R"&amp;TEXT(ROW()-1,"00000"))</f>
        <v/>
      </c>
      <c r="B353" s="6" t="n"/>
      <c r="E353" s="8" t="n"/>
    </row>
    <row r="354">
      <c r="A354">
        <f>IF($C354="","", "R"&amp;TEXT(ROW()-1,"00000"))</f>
        <v/>
      </c>
      <c r="B354" s="6" t="n"/>
      <c r="E354" s="8" t="n"/>
    </row>
    <row r="355">
      <c r="A355">
        <f>IF($C355="","", "R"&amp;TEXT(ROW()-1,"00000"))</f>
        <v/>
      </c>
      <c r="B355" s="6" t="n"/>
      <c r="E355" s="8" t="n"/>
    </row>
    <row r="356">
      <c r="A356">
        <f>IF($C356="","", "R"&amp;TEXT(ROW()-1,"00000"))</f>
        <v/>
      </c>
      <c r="B356" s="6" t="n"/>
      <c r="E356" s="8" t="n"/>
    </row>
    <row r="357">
      <c r="A357">
        <f>IF($C357="","", "R"&amp;TEXT(ROW()-1,"00000"))</f>
        <v/>
      </c>
      <c r="B357" s="6" t="n"/>
      <c r="E357" s="8" t="n"/>
    </row>
    <row r="358">
      <c r="A358">
        <f>IF($C358="","", "R"&amp;TEXT(ROW()-1,"00000"))</f>
        <v/>
      </c>
      <c r="B358" s="6" t="n"/>
      <c r="E358" s="8" t="n"/>
    </row>
    <row r="359">
      <c r="A359">
        <f>IF($C359="","", "R"&amp;TEXT(ROW()-1,"00000"))</f>
        <v/>
      </c>
      <c r="B359" s="6" t="n"/>
      <c r="E359" s="8" t="n"/>
    </row>
    <row r="360">
      <c r="A360">
        <f>IF($C360="","", "R"&amp;TEXT(ROW()-1,"00000"))</f>
        <v/>
      </c>
      <c r="B360" s="6" t="n"/>
      <c r="E360" s="8" t="n"/>
    </row>
    <row r="361">
      <c r="A361">
        <f>IF($C361="","", "R"&amp;TEXT(ROW()-1,"00000"))</f>
        <v/>
      </c>
      <c r="B361" s="6" t="n"/>
      <c r="E361" s="8" t="n"/>
    </row>
    <row r="362">
      <c r="A362">
        <f>IF($C362="","", "R"&amp;TEXT(ROW()-1,"00000"))</f>
        <v/>
      </c>
      <c r="B362" s="6" t="n"/>
      <c r="E362" s="8" t="n"/>
    </row>
    <row r="363">
      <c r="A363">
        <f>IF($C363="","", "R"&amp;TEXT(ROW()-1,"00000"))</f>
        <v/>
      </c>
      <c r="B363" s="6" t="n"/>
      <c r="E363" s="8" t="n"/>
    </row>
    <row r="364">
      <c r="A364">
        <f>IF($C364="","", "R"&amp;TEXT(ROW()-1,"00000"))</f>
        <v/>
      </c>
      <c r="B364" s="6" t="n"/>
      <c r="E364" s="8" t="n"/>
    </row>
    <row r="365">
      <c r="A365">
        <f>IF($C365="","", "R"&amp;TEXT(ROW()-1,"00000"))</f>
        <v/>
      </c>
      <c r="B365" s="6" t="n"/>
      <c r="E365" s="8" t="n"/>
    </row>
    <row r="366">
      <c r="A366">
        <f>IF($C366="","", "R"&amp;TEXT(ROW()-1,"00000"))</f>
        <v/>
      </c>
      <c r="B366" s="6" t="n"/>
      <c r="E366" s="8" t="n"/>
    </row>
    <row r="367">
      <c r="A367">
        <f>IF($C367="","", "R"&amp;TEXT(ROW()-1,"00000"))</f>
        <v/>
      </c>
      <c r="B367" s="6" t="n"/>
      <c r="E367" s="8" t="n"/>
    </row>
    <row r="368">
      <c r="A368">
        <f>IF($C368="","", "R"&amp;TEXT(ROW()-1,"00000"))</f>
        <v/>
      </c>
      <c r="B368" s="6" t="n"/>
      <c r="E368" s="8" t="n"/>
    </row>
    <row r="369">
      <c r="A369">
        <f>IF($C369="","", "R"&amp;TEXT(ROW()-1,"00000"))</f>
        <v/>
      </c>
      <c r="B369" s="6" t="n"/>
      <c r="E369" s="8" t="n"/>
    </row>
    <row r="370">
      <c r="A370">
        <f>IF($C370="","", "R"&amp;TEXT(ROW()-1,"00000"))</f>
        <v/>
      </c>
      <c r="B370" s="6" t="n"/>
      <c r="E370" s="8" t="n"/>
    </row>
    <row r="371">
      <c r="A371">
        <f>IF($C371="","", "R"&amp;TEXT(ROW()-1,"00000"))</f>
        <v/>
      </c>
      <c r="B371" s="6" t="n"/>
      <c r="E371" s="8" t="n"/>
    </row>
    <row r="372">
      <c r="A372">
        <f>IF($C372="","", "R"&amp;TEXT(ROW()-1,"00000"))</f>
        <v/>
      </c>
      <c r="B372" s="6" t="n"/>
      <c r="E372" s="8" t="n"/>
    </row>
    <row r="373">
      <c r="A373">
        <f>IF($C373="","", "R"&amp;TEXT(ROW()-1,"00000"))</f>
        <v/>
      </c>
      <c r="B373" s="6" t="n"/>
      <c r="E373" s="8" t="n"/>
    </row>
    <row r="374">
      <c r="A374">
        <f>IF($C374="","", "R"&amp;TEXT(ROW()-1,"00000"))</f>
        <v/>
      </c>
      <c r="B374" s="6" t="n"/>
      <c r="E374" s="8" t="n"/>
    </row>
    <row r="375">
      <c r="A375">
        <f>IF($C375="","", "R"&amp;TEXT(ROW()-1,"00000"))</f>
        <v/>
      </c>
      <c r="B375" s="6" t="n"/>
      <c r="E375" s="8" t="n"/>
    </row>
    <row r="376">
      <c r="A376">
        <f>IF($C376="","", "R"&amp;TEXT(ROW()-1,"00000"))</f>
        <v/>
      </c>
      <c r="B376" s="6" t="n"/>
      <c r="E376" s="8" t="n"/>
    </row>
    <row r="377">
      <c r="A377">
        <f>IF($C377="","", "R"&amp;TEXT(ROW()-1,"00000"))</f>
        <v/>
      </c>
      <c r="B377" s="6" t="n"/>
      <c r="E377" s="8" t="n"/>
    </row>
    <row r="378">
      <c r="A378">
        <f>IF($C378="","", "R"&amp;TEXT(ROW()-1,"00000"))</f>
        <v/>
      </c>
      <c r="B378" s="6" t="n"/>
      <c r="E378" s="8" t="n"/>
    </row>
    <row r="379">
      <c r="A379">
        <f>IF($C379="","", "R"&amp;TEXT(ROW()-1,"00000"))</f>
        <v/>
      </c>
      <c r="B379" s="6" t="n"/>
      <c r="E379" s="8" t="n"/>
    </row>
    <row r="380">
      <c r="A380">
        <f>IF($C380="","", "R"&amp;TEXT(ROW()-1,"00000"))</f>
        <v/>
      </c>
      <c r="B380" s="6" t="n"/>
      <c r="E380" s="8" t="n"/>
    </row>
    <row r="381">
      <c r="A381">
        <f>IF($C381="","", "R"&amp;TEXT(ROW()-1,"00000"))</f>
        <v/>
      </c>
      <c r="B381" s="6" t="n"/>
      <c r="E381" s="8" t="n"/>
    </row>
    <row r="382">
      <c r="A382">
        <f>IF($C382="","", "R"&amp;TEXT(ROW()-1,"00000"))</f>
        <v/>
      </c>
      <c r="B382" s="6" t="n"/>
      <c r="E382" s="8" t="n"/>
    </row>
    <row r="383">
      <c r="A383">
        <f>IF($C383="","", "R"&amp;TEXT(ROW()-1,"00000"))</f>
        <v/>
      </c>
      <c r="B383" s="6" t="n"/>
      <c r="E383" s="8" t="n"/>
    </row>
    <row r="384">
      <c r="A384">
        <f>IF($C384="","", "R"&amp;TEXT(ROW()-1,"00000"))</f>
        <v/>
      </c>
      <c r="B384" s="6" t="n"/>
      <c r="E384" s="8" t="n"/>
    </row>
    <row r="385">
      <c r="A385">
        <f>IF($C385="","", "R"&amp;TEXT(ROW()-1,"00000"))</f>
        <v/>
      </c>
      <c r="B385" s="6" t="n"/>
      <c r="E385" s="8" t="n"/>
    </row>
    <row r="386">
      <c r="A386">
        <f>IF($C386="","", "R"&amp;TEXT(ROW()-1,"00000"))</f>
        <v/>
      </c>
      <c r="B386" s="6" t="n"/>
      <c r="E386" s="8" t="n"/>
    </row>
    <row r="387">
      <c r="A387">
        <f>IF($C387="","", "R"&amp;TEXT(ROW()-1,"00000"))</f>
        <v/>
      </c>
      <c r="B387" s="6" t="n"/>
      <c r="E387" s="8" t="n"/>
    </row>
    <row r="388">
      <c r="A388">
        <f>IF($C388="","", "R"&amp;TEXT(ROW()-1,"00000"))</f>
        <v/>
      </c>
      <c r="B388" s="6" t="n"/>
      <c r="E388" s="8" t="n"/>
    </row>
    <row r="389">
      <c r="A389">
        <f>IF($C389="","", "R"&amp;TEXT(ROW()-1,"00000"))</f>
        <v/>
      </c>
      <c r="B389" s="6" t="n"/>
      <c r="E389" s="8" t="n"/>
    </row>
    <row r="390">
      <c r="A390">
        <f>IF($C390="","", "R"&amp;TEXT(ROW()-1,"00000"))</f>
        <v/>
      </c>
      <c r="B390" s="6" t="n"/>
      <c r="E390" s="8" t="n"/>
    </row>
    <row r="391">
      <c r="A391">
        <f>IF($C391="","", "R"&amp;TEXT(ROW()-1,"00000"))</f>
        <v/>
      </c>
      <c r="B391" s="6" t="n"/>
      <c r="E391" s="8" t="n"/>
    </row>
    <row r="392">
      <c r="A392">
        <f>IF($C392="","", "R"&amp;TEXT(ROW()-1,"00000"))</f>
        <v/>
      </c>
      <c r="B392" s="6" t="n"/>
      <c r="E392" s="8" t="n"/>
    </row>
    <row r="393">
      <c r="A393">
        <f>IF($C393="","", "R"&amp;TEXT(ROW()-1,"00000"))</f>
        <v/>
      </c>
      <c r="B393" s="6" t="n"/>
      <c r="E393" s="8" t="n"/>
    </row>
    <row r="394">
      <c r="A394">
        <f>IF($C394="","", "R"&amp;TEXT(ROW()-1,"00000"))</f>
        <v/>
      </c>
      <c r="B394" s="6" t="n"/>
      <c r="E394" s="8" t="n"/>
    </row>
    <row r="395">
      <c r="A395">
        <f>IF($C395="","", "R"&amp;TEXT(ROW()-1,"00000"))</f>
        <v/>
      </c>
      <c r="B395" s="6" t="n"/>
      <c r="E395" s="8" t="n"/>
    </row>
    <row r="396">
      <c r="A396">
        <f>IF($C396="","", "R"&amp;TEXT(ROW()-1,"00000"))</f>
        <v/>
      </c>
      <c r="B396" s="6" t="n"/>
      <c r="E396" s="8" t="n"/>
    </row>
    <row r="397">
      <c r="A397">
        <f>IF($C397="","", "R"&amp;TEXT(ROW()-1,"00000"))</f>
        <v/>
      </c>
      <c r="B397" s="6" t="n"/>
      <c r="E397" s="8" t="n"/>
    </row>
    <row r="398">
      <c r="A398">
        <f>IF($C398="","", "R"&amp;TEXT(ROW()-1,"00000"))</f>
        <v/>
      </c>
      <c r="B398" s="6" t="n"/>
      <c r="E398" s="8" t="n"/>
    </row>
    <row r="399">
      <c r="A399">
        <f>IF($C399="","", "R"&amp;TEXT(ROW()-1,"00000"))</f>
        <v/>
      </c>
      <c r="B399" s="6" t="n"/>
      <c r="E399" s="8" t="n"/>
    </row>
    <row r="400">
      <c r="A400">
        <f>IF($C400="","", "R"&amp;TEXT(ROW()-1,"00000"))</f>
        <v/>
      </c>
      <c r="B400" s="6" t="n"/>
      <c r="E400" s="8" t="n"/>
    </row>
    <row r="401">
      <c r="A401">
        <f>IF($C401="","", "R"&amp;TEXT(ROW()-1,"00000"))</f>
        <v/>
      </c>
      <c r="B401" s="6" t="n"/>
      <c r="E401" s="8" t="n"/>
    </row>
    <row r="402">
      <c r="A402">
        <f>IF($C402="","", "R"&amp;TEXT(ROW()-1,"00000"))</f>
        <v/>
      </c>
      <c r="B402" s="6" t="n"/>
      <c r="E402" s="8" t="n"/>
    </row>
    <row r="403">
      <c r="A403">
        <f>IF($C403="","", "R"&amp;TEXT(ROW()-1,"00000"))</f>
        <v/>
      </c>
      <c r="B403" s="6" t="n"/>
      <c r="E403" s="8" t="n"/>
    </row>
    <row r="404">
      <c r="A404">
        <f>IF($C404="","", "R"&amp;TEXT(ROW()-1,"00000"))</f>
        <v/>
      </c>
      <c r="B404" s="6" t="n"/>
      <c r="E404" s="8" t="n"/>
    </row>
    <row r="405">
      <c r="A405">
        <f>IF($C405="","", "R"&amp;TEXT(ROW()-1,"00000"))</f>
        <v/>
      </c>
      <c r="B405" s="6" t="n"/>
      <c r="E405" s="8" t="n"/>
    </row>
    <row r="406">
      <c r="A406">
        <f>IF($C406="","", "R"&amp;TEXT(ROW()-1,"00000"))</f>
        <v/>
      </c>
      <c r="B406" s="6" t="n"/>
      <c r="E406" s="8" t="n"/>
    </row>
    <row r="407">
      <c r="A407">
        <f>IF($C407="","", "R"&amp;TEXT(ROW()-1,"00000"))</f>
        <v/>
      </c>
      <c r="B407" s="6" t="n"/>
      <c r="E407" s="8" t="n"/>
    </row>
    <row r="408">
      <c r="A408">
        <f>IF($C408="","", "R"&amp;TEXT(ROW()-1,"00000"))</f>
        <v/>
      </c>
      <c r="B408" s="6" t="n"/>
      <c r="E408" s="8" t="n"/>
    </row>
    <row r="409">
      <c r="A409">
        <f>IF($C409="","", "R"&amp;TEXT(ROW()-1,"00000"))</f>
        <v/>
      </c>
      <c r="B409" s="6" t="n"/>
      <c r="E409" s="8" t="n"/>
    </row>
    <row r="410">
      <c r="A410">
        <f>IF($C410="","", "R"&amp;TEXT(ROW()-1,"00000"))</f>
        <v/>
      </c>
      <c r="B410" s="6" t="n"/>
      <c r="E410" s="8" t="n"/>
    </row>
    <row r="411">
      <c r="A411">
        <f>IF($C411="","", "R"&amp;TEXT(ROW()-1,"00000"))</f>
        <v/>
      </c>
      <c r="B411" s="6" t="n"/>
      <c r="E411" s="8" t="n"/>
    </row>
    <row r="412">
      <c r="A412">
        <f>IF($C412="","", "R"&amp;TEXT(ROW()-1,"00000"))</f>
        <v/>
      </c>
      <c r="B412" s="6" t="n"/>
      <c r="E412" s="8" t="n"/>
    </row>
    <row r="413">
      <c r="A413">
        <f>IF($C413="","", "R"&amp;TEXT(ROW()-1,"00000"))</f>
        <v/>
      </c>
      <c r="B413" s="6" t="n"/>
      <c r="E413" s="8" t="n"/>
    </row>
    <row r="414">
      <c r="A414">
        <f>IF($C414="","", "R"&amp;TEXT(ROW()-1,"00000"))</f>
        <v/>
      </c>
      <c r="B414" s="6" t="n"/>
      <c r="E414" s="8" t="n"/>
    </row>
    <row r="415">
      <c r="A415">
        <f>IF($C415="","", "R"&amp;TEXT(ROW()-1,"00000"))</f>
        <v/>
      </c>
      <c r="B415" s="6" t="n"/>
      <c r="E415" s="8" t="n"/>
    </row>
    <row r="416">
      <c r="A416">
        <f>IF($C416="","", "R"&amp;TEXT(ROW()-1,"00000"))</f>
        <v/>
      </c>
      <c r="B416" s="6" t="n"/>
      <c r="E416" s="8" t="n"/>
    </row>
    <row r="417">
      <c r="A417">
        <f>IF($C417="","", "R"&amp;TEXT(ROW()-1,"00000"))</f>
        <v/>
      </c>
      <c r="B417" s="6" t="n"/>
      <c r="E417" s="8" t="n"/>
    </row>
    <row r="418">
      <c r="A418">
        <f>IF($C418="","", "R"&amp;TEXT(ROW()-1,"00000"))</f>
        <v/>
      </c>
      <c r="B418" s="6" t="n"/>
      <c r="E418" s="8" t="n"/>
    </row>
    <row r="419">
      <c r="A419">
        <f>IF($C419="","", "R"&amp;TEXT(ROW()-1,"00000"))</f>
        <v/>
      </c>
      <c r="B419" s="6" t="n"/>
      <c r="E419" s="8" t="n"/>
    </row>
    <row r="420">
      <c r="A420">
        <f>IF($C420="","", "R"&amp;TEXT(ROW()-1,"00000"))</f>
        <v/>
      </c>
      <c r="B420" s="6" t="n"/>
      <c r="E420" s="8" t="n"/>
    </row>
    <row r="421">
      <c r="A421">
        <f>IF($C421="","", "R"&amp;TEXT(ROW()-1,"00000"))</f>
        <v/>
      </c>
      <c r="B421" s="6" t="n"/>
      <c r="E421" s="8" t="n"/>
    </row>
    <row r="422">
      <c r="A422">
        <f>IF($C422="","", "R"&amp;TEXT(ROW()-1,"00000"))</f>
        <v/>
      </c>
      <c r="B422" s="6" t="n"/>
      <c r="E422" s="8" t="n"/>
    </row>
    <row r="423">
      <c r="A423">
        <f>IF($C423="","", "R"&amp;TEXT(ROW()-1,"00000"))</f>
        <v/>
      </c>
      <c r="B423" s="6" t="n"/>
      <c r="E423" s="8" t="n"/>
    </row>
    <row r="424">
      <c r="A424">
        <f>IF($C424="","", "R"&amp;TEXT(ROW()-1,"00000"))</f>
        <v/>
      </c>
      <c r="B424" s="6" t="n"/>
      <c r="E424" s="8" t="n"/>
    </row>
    <row r="425">
      <c r="A425">
        <f>IF($C425="","", "R"&amp;TEXT(ROW()-1,"00000"))</f>
        <v/>
      </c>
      <c r="B425" s="6" t="n"/>
      <c r="E425" s="8" t="n"/>
    </row>
    <row r="426">
      <c r="A426">
        <f>IF($C426="","", "R"&amp;TEXT(ROW()-1,"00000"))</f>
        <v/>
      </c>
      <c r="B426" s="6" t="n"/>
      <c r="E426" s="8" t="n"/>
    </row>
    <row r="427">
      <c r="A427">
        <f>IF($C427="","", "R"&amp;TEXT(ROW()-1,"00000"))</f>
        <v/>
      </c>
      <c r="B427" s="6" t="n"/>
      <c r="E427" s="8" t="n"/>
    </row>
    <row r="428">
      <c r="A428">
        <f>IF($C428="","", "R"&amp;TEXT(ROW()-1,"00000"))</f>
        <v/>
      </c>
      <c r="B428" s="6" t="n"/>
      <c r="E428" s="8" t="n"/>
    </row>
    <row r="429">
      <c r="A429">
        <f>IF($C429="","", "R"&amp;TEXT(ROW()-1,"00000"))</f>
        <v/>
      </c>
      <c r="B429" s="6" t="n"/>
      <c r="E429" s="8" t="n"/>
    </row>
    <row r="430">
      <c r="A430">
        <f>IF($C430="","", "R"&amp;TEXT(ROW()-1,"00000"))</f>
        <v/>
      </c>
      <c r="B430" s="6" t="n"/>
      <c r="E430" s="8" t="n"/>
    </row>
    <row r="431">
      <c r="A431">
        <f>IF($C431="","", "R"&amp;TEXT(ROW()-1,"00000"))</f>
        <v/>
      </c>
      <c r="B431" s="6" t="n"/>
      <c r="E431" s="8" t="n"/>
    </row>
    <row r="432">
      <c r="A432">
        <f>IF($C432="","", "R"&amp;TEXT(ROW()-1,"00000"))</f>
        <v/>
      </c>
      <c r="B432" s="6" t="n"/>
      <c r="E432" s="8" t="n"/>
    </row>
    <row r="433">
      <c r="A433">
        <f>IF($C433="","", "R"&amp;TEXT(ROW()-1,"00000"))</f>
        <v/>
      </c>
      <c r="B433" s="6" t="n"/>
      <c r="E433" s="8" t="n"/>
    </row>
    <row r="434">
      <c r="A434">
        <f>IF($C434="","", "R"&amp;TEXT(ROW()-1,"00000"))</f>
        <v/>
      </c>
      <c r="B434" s="6" t="n"/>
      <c r="E434" s="8" t="n"/>
    </row>
    <row r="435">
      <c r="A435">
        <f>IF($C435="","", "R"&amp;TEXT(ROW()-1,"00000"))</f>
        <v/>
      </c>
      <c r="B435" s="6" t="n"/>
      <c r="E435" s="8" t="n"/>
    </row>
    <row r="436">
      <c r="A436">
        <f>IF($C436="","", "R"&amp;TEXT(ROW()-1,"00000"))</f>
        <v/>
      </c>
      <c r="B436" s="6" t="n"/>
      <c r="E436" s="8" t="n"/>
    </row>
    <row r="437">
      <c r="A437">
        <f>IF($C437="","", "R"&amp;TEXT(ROW()-1,"00000"))</f>
        <v/>
      </c>
      <c r="B437" s="6" t="n"/>
      <c r="E437" s="8" t="n"/>
    </row>
    <row r="438">
      <c r="A438">
        <f>IF($C438="","", "R"&amp;TEXT(ROW()-1,"00000"))</f>
        <v/>
      </c>
      <c r="B438" s="6" t="n"/>
      <c r="E438" s="8" t="n"/>
    </row>
    <row r="439">
      <c r="A439">
        <f>IF($C439="","", "R"&amp;TEXT(ROW()-1,"00000"))</f>
        <v/>
      </c>
      <c r="B439" s="6" t="n"/>
      <c r="E439" s="8" t="n"/>
    </row>
    <row r="440">
      <c r="A440">
        <f>IF($C440="","", "R"&amp;TEXT(ROW()-1,"00000"))</f>
        <v/>
      </c>
      <c r="B440" s="6" t="n"/>
      <c r="E440" s="8" t="n"/>
    </row>
    <row r="441">
      <c r="A441">
        <f>IF($C441="","", "R"&amp;TEXT(ROW()-1,"00000"))</f>
        <v/>
      </c>
      <c r="B441" s="6" t="n"/>
      <c r="E441" s="8" t="n"/>
    </row>
    <row r="442">
      <c r="A442">
        <f>IF($C442="","", "R"&amp;TEXT(ROW()-1,"00000"))</f>
        <v/>
      </c>
      <c r="B442" s="6" t="n"/>
      <c r="E442" s="8" t="n"/>
    </row>
    <row r="443">
      <c r="A443">
        <f>IF($C443="","", "R"&amp;TEXT(ROW()-1,"00000"))</f>
        <v/>
      </c>
      <c r="B443" s="6" t="n"/>
      <c r="E443" s="8" t="n"/>
    </row>
    <row r="444">
      <c r="A444">
        <f>IF($C444="","", "R"&amp;TEXT(ROW()-1,"00000"))</f>
        <v/>
      </c>
      <c r="B444" s="6" t="n"/>
      <c r="E444" s="8" t="n"/>
    </row>
    <row r="445">
      <c r="A445">
        <f>IF($C445="","", "R"&amp;TEXT(ROW()-1,"00000"))</f>
        <v/>
      </c>
      <c r="B445" s="6" t="n"/>
      <c r="E445" s="8" t="n"/>
    </row>
    <row r="446">
      <c r="A446">
        <f>IF($C446="","", "R"&amp;TEXT(ROW()-1,"00000"))</f>
        <v/>
      </c>
      <c r="B446" s="6" t="n"/>
      <c r="E446" s="8" t="n"/>
    </row>
    <row r="447">
      <c r="A447">
        <f>IF($C447="","", "R"&amp;TEXT(ROW()-1,"00000"))</f>
        <v/>
      </c>
      <c r="B447" s="6" t="n"/>
      <c r="E447" s="8" t="n"/>
    </row>
    <row r="448">
      <c r="A448">
        <f>IF($C448="","", "R"&amp;TEXT(ROW()-1,"00000"))</f>
        <v/>
      </c>
      <c r="B448" s="6" t="n"/>
      <c r="E448" s="8" t="n"/>
    </row>
    <row r="449">
      <c r="A449">
        <f>IF($C449="","", "R"&amp;TEXT(ROW()-1,"00000"))</f>
        <v/>
      </c>
      <c r="B449" s="6" t="n"/>
      <c r="E449" s="8" t="n"/>
    </row>
    <row r="450">
      <c r="A450">
        <f>IF($C450="","", "R"&amp;TEXT(ROW()-1,"00000"))</f>
        <v/>
      </c>
      <c r="B450" s="6" t="n"/>
      <c r="E450" s="8" t="n"/>
    </row>
    <row r="451">
      <c r="A451">
        <f>IF($C451="","", "R"&amp;TEXT(ROW()-1,"00000"))</f>
        <v/>
      </c>
      <c r="B451" s="6" t="n"/>
      <c r="E451" s="8" t="n"/>
    </row>
    <row r="452">
      <c r="A452">
        <f>IF($C452="","", "R"&amp;TEXT(ROW()-1,"00000"))</f>
        <v/>
      </c>
      <c r="B452" s="6" t="n"/>
      <c r="E452" s="8" t="n"/>
    </row>
    <row r="453">
      <c r="A453">
        <f>IF($C453="","", "R"&amp;TEXT(ROW()-1,"00000"))</f>
        <v/>
      </c>
      <c r="B453" s="6" t="n"/>
      <c r="E453" s="8" t="n"/>
    </row>
    <row r="454">
      <c r="A454">
        <f>IF($C454="","", "R"&amp;TEXT(ROW()-1,"00000"))</f>
        <v/>
      </c>
      <c r="B454" s="6" t="n"/>
      <c r="E454" s="8" t="n"/>
    </row>
    <row r="455">
      <c r="A455">
        <f>IF($C455="","", "R"&amp;TEXT(ROW()-1,"00000"))</f>
        <v/>
      </c>
      <c r="B455" s="6" t="n"/>
      <c r="E455" s="8" t="n"/>
    </row>
    <row r="456">
      <c r="A456">
        <f>IF($C456="","", "R"&amp;TEXT(ROW()-1,"00000"))</f>
        <v/>
      </c>
      <c r="B456" s="6" t="n"/>
      <c r="E456" s="8" t="n"/>
    </row>
    <row r="457">
      <c r="A457">
        <f>IF($C457="","", "R"&amp;TEXT(ROW()-1,"00000"))</f>
        <v/>
      </c>
      <c r="B457" s="6" t="n"/>
      <c r="E457" s="8" t="n"/>
    </row>
    <row r="458">
      <c r="A458">
        <f>IF($C458="","", "R"&amp;TEXT(ROW()-1,"00000"))</f>
        <v/>
      </c>
      <c r="B458" s="6" t="n"/>
      <c r="E458" s="8" t="n"/>
    </row>
    <row r="459">
      <c r="A459">
        <f>IF($C459="","", "R"&amp;TEXT(ROW()-1,"00000"))</f>
        <v/>
      </c>
      <c r="B459" s="6" t="n"/>
      <c r="E459" s="8" t="n"/>
    </row>
    <row r="460">
      <c r="A460">
        <f>IF($C460="","", "R"&amp;TEXT(ROW()-1,"00000"))</f>
        <v/>
      </c>
      <c r="B460" s="6" t="n"/>
      <c r="E460" s="8" t="n"/>
    </row>
    <row r="461">
      <c r="A461">
        <f>IF($C461="","", "R"&amp;TEXT(ROW()-1,"00000"))</f>
        <v/>
      </c>
      <c r="B461" s="6" t="n"/>
      <c r="E461" s="8" t="n"/>
    </row>
    <row r="462">
      <c r="A462">
        <f>IF($C462="","", "R"&amp;TEXT(ROW()-1,"00000"))</f>
        <v/>
      </c>
      <c r="B462" s="6" t="n"/>
      <c r="E462" s="8" t="n"/>
    </row>
    <row r="463">
      <c r="A463">
        <f>IF($C463="","", "R"&amp;TEXT(ROW()-1,"00000"))</f>
        <v/>
      </c>
      <c r="B463" s="6" t="n"/>
      <c r="E463" s="8" t="n"/>
    </row>
    <row r="464">
      <c r="A464">
        <f>IF($C464="","", "R"&amp;TEXT(ROW()-1,"00000"))</f>
        <v/>
      </c>
      <c r="B464" s="6" t="n"/>
      <c r="E464" s="8" t="n"/>
    </row>
    <row r="465">
      <c r="A465">
        <f>IF($C465="","", "R"&amp;TEXT(ROW()-1,"00000"))</f>
        <v/>
      </c>
      <c r="B465" s="6" t="n"/>
      <c r="E465" s="8" t="n"/>
    </row>
    <row r="466">
      <c r="A466">
        <f>IF($C466="","", "R"&amp;TEXT(ROW()-1,"00000"))</f>
        <v/>
      </c>
      <c r="B466" s="6" t="n"/>
      <c r="E466" s="8" t="n"/>
    </row>
    <row r="467">
      <c r="A467">
        <f>IF($C467="","", "R"&amp;TEXT(ROW()-1,"00000"))</f>
        <v/>
      </c>
      <c r="B467" s="6" t="n"/>
      <c r="E467" s="8" t="n"/>
    </row>
    <row r="468">
      <c r="A468">
        <f>IF($C468="","", "R"&amp;TEXT(ROW()-1,"00000"))</f>
        <v/>
      </c>
      <c r="B468" s="6" t="n"/>
      <c r="E468" s="8" t="n"/>
    </row>
    <row r="469">
      <c r="A469">
        <f>IF($C469="","", "R"&amp;TEXT(ROW()-1,"00000"))</f>
        <v/>
      </c>
      <c r="B469" s="6" t="n"/>
      <c r="E469" s="8" t="n"/>
    </row>
    <row r="470">
      <c r="A470">
        <f>IF($C470="","", "R"&amp;TEXT(ROW()-1,"00000"))</f>
        <v/>
      </c>
      <c r="B470" s="6" t="n"/>
      <c r="E470" s="8" t="n"/>
    </row>
    <row r="471">
      <c r="A471">
        <f>IF($C471="","", "R"&amp;TEXT(ROW()-1,"00000"))</f>
        <v/>
      </c>
      <c r="B471" s="6" t="n"/>
      <c r="E471" s="8" t="n"/>
    </row>
    <row r="472">
      <c r="A472">
        <f>IF($C472="","", "R"&amp;TEXT(ROW()-1,"00000"))</f>
        <v/>
      </c>
      <c r="B472" s="6" t="n"/>
      <c r="E472" s="8" t="n"/>
    </row>
    <row r="473">
      <c r="A473">
        <f>IF($C473="","", "R"&amp;TEXT(ROW()-1,"00000"))</f>
        <v/>
      </c>
      <c r="B473" s="6" t="n"/>
      <c r="E473" s="8" t="n"/>
    </row>
    <row r="474">
      <c r="A474">
        <f>IF($C474="","", "R"&amp;TEXT(ROW()-1,"00000"))</f>
        <v/>
      </c>
      <c r="B474" s="6" t="n"/>
      <c r="E474" s="8" t="n"/>
    </row>
    <row r="475">
      <c r="A475">
        <f>IF($C475="","", "R"&amp;TEXT(ROW()-1,"00000"))</f>
        <v/>
      </c>
      <c r="B475" s="6" t="n"/>
      <c r="E475" s="8" t="n"/>
    </row>
    <row r="476">
      <c r="A476">
        <f>IF($C476="","", "R"&amp;TEXT(ROW()-1,"00000"))</f>
        <v/>
      </c>
      <c r="B476" s="6" t="n"/>
      <c r="E476" s="8" t="n"/>
    </row>
    <row r="477">
      <c r="A477">
        <f>IF($C477="","", "R"&amp;TEXT(ROW()-1,"00000"))</f>
        <v/>
      </c>
      <c r="B477" s="6" t="n"/>
      <c r="E477" s="8" t="n"/>
    </row>
    <row r="478">
      <c r="A478">
        <f>IF($C478="","", "R"&amp;TEXT(ROW()-1,"00000"))</f>
        <v/>
      </c>
      <c r="B478" s="6" t="n"/>
      <c r="E478" s="8" t="n"/>
    </row>
    <row r="479">
      <c r="A479">
        <f>IF($C479="","", "R"&amp;TEXT(ROW()-1,"00000"))</f>
        <v/>
      </c>
      <c r="B479" s="6" t="n"/>
      <c r="E479" s="8" t="n"/>
    </row>
    <row r="480">
      <c r="A480">
        <f>IF($C480="","", "R"&amp;TEXT(ROW()-1,"00000"))</f>
        <v/>
      </c>
      <c r="B480" s="6" t="n"/>
      <c r="E480" s="8" t="n"/>
    </row>
    <row r="481">
      <c r="A481">
        <f>IF($C481="","", "R"&amp;TEXT(ROW()-1,"00000"))</f>
        <v/>
      </c>
      <c r="B481" s="6" t="n"/>
      <c r="E481" s="8" t="n"/>
    </row>
    <row r="482">
      <c r="A482">
        <f>IF($C482="","", "R"&amp;TEXT(ROW()-1,"00000"))</f>
        <v/>
      </c>
      <c r="B482" s="6" t="n"/>
      <c r="E482" s="8" t="n"/>
    </row>
    <row r="483">
      <c r="A483">
        <f>IF($C483="","", "R"&amp;TEXT(ROW()-1,"00000"))</f>
        <v/>
      </c>
      <c r="B483" s="6" t="n"/>
      <c r="E483" s="8" t="n"/>
    </row>
    <row r="484">
      <c r="A484">
        <f>IF($C484="","", "R"&amp;TEXT(ROW()-1,"00000"))</f>
        <v/>
      </c>
      <c r="B484" s="6" t="n"/>
      <c r="E484" s="8" t="n"/>
    </row>
    <row r="485">
      <c r="A485">
        <f>IF($C485="","", "R"&amp;TEXT(ROW()-1,"00000"))</f>
        <v/>
      </c>
      <c r="B485" s="6" t="n"/>
      <c r="E485" s="8" t="n"/>
    </row>
    <row r="486">
      <c r="A486">
        <f>IF($C486="","", "R"&amp;TEXT(ROW()-1,"00000"))</f>
        <v/>
      </c>
      <c r="B486" s="6" t="n"/>
      <c r="E486" s="8" t="n"/>
    </row>
    <row r="487">
      <c r="A487">
        <f>IF($C487="","", "R"&amp;TEXT(ROW()-1,"00000"))</f>
        <v/>
      </c>
      <c r="B487" s="6" t="n"/>
      <c r="E487" s="8" t="n"/>
    </row>
    <row r="488">
      <c r="A488">
        <f>IF($C488="","", "R"&amp;TEXT(ROW()-1,"00000"))</f>
        <v/>
      </c>
      <c r="B488" s="6" t="n"/>
      <c r="E488" s="8" t="n"/>
    </row>
    <row r="489">
      <c r="A489">
        <f>IF($C489="","", "R"&amp;TEXT(ROW()-1,"00000"))</f>
        <v/>
      </c>
      <c r="B489" s="6" t="n"/>
      <c r="E489" s="8" t="n"/>
    </row>
    <row r="490">
      <c r="A490">
        <f>IF($C490="","", "R"&amp;TEXT(ROW()-1,"00000"))</f>
        <v/>
      </c>
      <c r="B490" s="6" t="n"/>
      <c r="E490" s="8" t="n"/>
    </row>
    <row r="491">
      <c r="A491">
        <f>IF($C491="","", "R"&amp;TEXT(ROW()-1,"00000"))</f>
        <v/>
      </c>
      <c r="B491" s="6" t="n"/>
      <c r="E491" s="8" t="n"/>
    </row>
    <row r="492">
      <c r="A492">
        <f>IF($C492="","", "R"&amp;TEXT(ROW()-1,"00000"))</f>
        <v/>
      </c>
      <c r="B492" s="6" t="n"/>
      <c r="E492" s="8" t="n"/>
    </row>
    <row r="493">
      <c r="A493">
        <f>IF($C493="","", "R"&amp;TEXT(ROW()-1,"00000"))</f>
        <v/>
      </c>
      <c r="B493" s="6" t="n"/>
      <c r="E493" s="8" t="n"/>
    </row>
    <row r="494">
      <c r="A494">
        <f>IF($C494="","", "R"&amp;TEXT(ROW()-1,"00000"))</f>
        <v/>
      </c>
      <c r="B494" s="6" t="n"/>
      <c r="E494" s="8" t="n"/>
    </row>
    <row r="495">
      <c r="A495">
        <f>IF($C495="","", "R"&amp;TEXT(ROW()-1,"00000"))</f>
        <v/>
      </c>
      <c r="B495" s="6" t="n"/>
      <c r="E495" s="8" t="n"/>
    </row>
    <row r="496">
      <c r="A496">
        <f>IF($C496="","", "R"&amp;TEXT(ROW()-1,"00000"))</f>
        <v/>
      </c>
      <c r="B496" s="6" t="n"/>
      <c r="E496" s="8" t="n"/>
    </row>
    <row r="497">
      <c r="A497">
        <f>IF($C497="","", "R"&amp;TEXT(ROW()-1,"00000"))</f>
        <v/>
      </c>
      <c r="B497" s="6" t="n"/>
      <c r="E497" s="8" t="n"/>
    </row>
    <row r="498">
      <c r="A498">
        <f>IF($C498="","", "R"&amp;TEXT(ROW()-1,"00000"))</f>
        <v/>
      </c>
      <c r="B498" s="6" t="n"/>
      <c r="E498" s="8" t="n"/>
    </row>
    <row r="499">
      <c r="A499">
        <f>IF($C499="","", "R"&amp;TEXT(ROW()-1,"00000"))</f>
        <v/>
      </c>
      <c r="B499" s="6" t="n"/>
      <c r="E499" s="8" t="n"/>
    </row>
    <row r="500">
      <c r="A500">
        <f>IF($C500="","", "R"&amp;TEXT(ROW()-1,"00000"))</f>
        <v/>
      </c>
      <c r="B500" s="6" t="n"/>
      <c r="E500" s="8" t="n"/>
    </row>
    <row r="501">
      <c r="A501">
        <f>IF($C501="","", "R"&amp;TEXT(ROW()-1,"00000"))</f>
        <v/>
      </c>
      <c r="B501" s="6" t="n"/>
      <c r="E501" s="8" t="n"/>
    </row>
    <row r="502">
      <c r="A502">
        <f>IF($C502="","", "R"&amp;TEXT(ROW()-1,"00000"))</f>
        <v/>
      </c>
      <c r="B502" s="6" t="n"/>
      <c r="E502" s="8" t="n"/>
    </row>
    <row r="503">
      <c r="A503">
        <f>IF($C503="","", "R"&amp;TEXT(ROW()-1,"00000"))</f>
        <v/>
      </c>
      <c r="B503" s="6" t="n"/>
      <c r="E503" s="8" t="n"/>
    </row>
    <row r="504">
      <c r="A504">
        <f>IF($C504="","", "R"&amp;TEXT(ROW()-1,"00000"))</f>
        <v/>
      </c>
      <c r="B504" s="6" t="n"/>
      <c r="E504" s="8" t="n"/>
    </row>
    <row r="505">
      <c r="A505">
        <f>IF($C505="","", "R"&amp;TEXT(ROW()-1,"00000"))</f>
        <v/>
      </c>
      <c r="B505" s="6" t="n"/>
      <c r="E505" s="8" t="n"/>
    </row>
    <row r="506">
      <c r="A506">
        <f>IF($C506="","", "R"&amp;TEXT(ROW()-1,"00000"))</f>
        <v/>
      </c>
      <c r="B506" s="6" t="n"/>
      <c r="E506" s="8" t="n"/>
    </row>
    <row r="507">
      <c r="A507">
        <f>IF($C507="","", "R"&amp;TEXT(ROW()-1,"00000"))</f>
        <v/>
      </c>
      <c r="B507" s="6" t="n"/>
      <c r="E507" s="8" t="n"/>
    </row>
    <row r="508">
      <c r="A508">
        <f>IF($C508="","", "R"&amp;TEXT(ROW()-1,"00000"))</f>
        <v/>
      </c>
      <c r="B508" s="6" t="n"/>
      <c r="E508" s="8" t="n"/>
    </row>
    <row r="509">
      <c r="A509">
        <f>IF($C509="","", "R"&amp;TEXT(ROW()-1,"00000"))</f>
        <v/>
      </c>
      <c r="B509" s="6" t="n"/>
      <c r="E509" s="8" t="n"/>
    </row>
    <row r="510">
      <c r="A510">
        <f>IF($C510="","", "R"&amp;TEXT(ROW()-1,"00000"))</f>
        <v/>
      </c>
      <c r="B510" s="6" t="n"/>
      <c r="E510" s="8" t="n"/>
    </row>
    <row r="511">
      <c r="A511">
        <f>IF($C511="","", "R"&amp;TEXT(ROW()-1,"00000"))</f>
        <v/>
      </c>
      <c r="B511" s="6" t="n"/>
      <c r="E511" s="8" t="n"/>
    </row>
    <row r="512">
      <c r="A512">
        <f>IF($C512="","", "R"&amp;TEXT(ROW()-1,"00000"))</f>
        <v/>
      </c>
      <c r="B512" s="6" t="n"/>
      <c r="E512" s="8" t="n"/>
    </row>
    <row r="513">
      <c r="A513">
        <f>IF($C513="","", "R"&amp;TEXT(ROW()-1,"00000"))</f>
        <v/>
      </c>
      <c r="B513" s="6" t="n"/>
      <c r="E513" s="8" t="n"/>
    </row>
    <row r="514">
      <c r="A514">
        <f>IF($C514="","", "R"&amp;TEXT(ROW()-1,"00000"))</f>
        <v/>
      </c>
      <c r="B514" s="6" t="n"/>
      <c r="E514" s="8" t="n"/>
    </row>
    <row r="515">
      <c r="A515">
        <f>IF($C515="","", "R"&amp;TEXT(ROW()-1,"00000"))</f>
        <v/>
      </c>
      <c r="B515" s="6" t="n"/>
      <c r="E515" s="8" t="n"/>
    </row>
    <row r="516">
      <c r="A516">
        <f>IF($C516="","", "R"&amp;TEXT(ROW()-1,"00000"))</f>
        <v/>
      </c>
      <c r="B516" s="6" t="n"/>
      <c r="E516" s="8" t="n"/>
    </row>
    <row r="517">
      <c r="A517">
        <f>IF($C517="","", "R"&amp;TEXT(ROW()-1,"00000"))</f>
        <v/>
      </c>
      <c r="B517" s="6" t="n"/>
      <c r="E517" s="8" t="n"/>
    </row>
    <row r="518">
      <c r="A518">
        <f>IF($C518="","", "R"&amp;TEXT(ROW()-1,"00000"))</f>
        <v/>
      </c>
      <c r="B518" s="6" t="n"/>
      <c r="E518" s="8" t="n"/>
    </row>
    <row r="519">
      <c r="A519">
        <f>IF($C519="","", "R"&amp;TEXT(ROW()-1,"00000"))</f>
        <v/>
      </c>
      <c r="B519" s="6" t="n"/>
      <c r="E519" s="8" t="n"/>
    </row>
    <row r="520">
      <c r="A520">
        <f>IF($C520="","", "R"&amp;TEXT(ROW()-1,"00000"))</f>
        <v/>
      </c>
      <c r="B520" s="6" t="n"/>
      <c r="E520" s="8" t="n"/>
    </row>
    <row r="521">
      <c r="A521">
        <f>IF($C521="","", "R"&amp;TEXT(ROW()-1,"00000"))</f>
        <v/>
      </c>
      <c r="B521" s="6" t="n"/>
      <c r="E521" s="8" t="n"/>
    </row>
    <row r="522">
      <c r="A522">
        <f>IF($C522="","", "R"&amp;TEXT(ROW()-1,"00000"))</f>
        <v/>
      </c>
      <c r="B522" s="6" t="n"/>
      <c r="E522" s="8" t="n"/>
    </row>
    <row r="523">
      <c r="A523">
        <f>IF($C523="","", "R"&amp;TEXT(ROW()-1,"00000"))</f>
        <v/>
      </c>
      <c r="B523" s="6" t="n"/>
      <c r="E523" s="8" t="n"/>
    </row>
    <row r="524">
      <c r="A524">
        <f>IF($C524="","", "R"&amp;TEXT(ROW()-1,"00000"))</f>
        <v/>
      </c>
      <c r="B524" s="6" t="n"/>
      <c r="E524" s="8" t="n"/>
    </row>
    <row r="525">
      <c r="A525">
        <f>IF($C525="","", "R"&amp;TEXT(ROW()-1,"00000"))</f>
        <v/>
      </c>
      <c r="B525" s="6" t="n"/>
      <c r="E525" s="8" t="n"/>
    </row>
    <row r="526">
      <c r="A526">
        <f>IF($C526="","", "R"&amp;TEXT(ROW()-1,"00000"))</f>
        <v/>
      </c>
      <c r="B526" s="6" t="n"/>
      <c r="E526" s="8" t="n"/>
    </row>
    <row r="527">
      <c r="A527">
        <f>IF($C527="","", "R"&amp;TEXT(ROW()-1,"00000"))</f>
        <v/>
      </c>
      <c r="B527" s="6" t="n"/>
      <c r="E527" s="8" t="n"/>
    </row>
    <row r="528">
      <c r="A528">
        <f>IF($C528="","", "R"&amp;TEXT(ROW()-1,"00000"))</f>
        <v/>
      </c>
      <c r="B528" s="6" t="n"/>
      <c r="E528" s="8" t="n"/>
    </row>
    <row r="529">
      <c r="A529">
        <f>IF($C529="","", "R"&amp;TEXT(ROW()-1,"00000"))</f>
        <v/>
      </c>
      <c r="B529" s="6" t="n"/>
      <c r="E529" s="8" t="n"/>
    </row>
    <row r="530">
      <c r="A530">
        <f>IF($C530="","", "R"&amp;TEXT(ROW()-1,"00000"))</f>
        <v/>
      </c>
      <c r="B530" s="6" t="n"/>
      <c r="E530" s="8" t="n"/>
    </row>
    <row r="531">
      <c r="A531">
        <f>IF($C531="","", "R"&amp;TEXT(ROW()-1,"00000"))</f>
        <v/>
      </c>
      <c r="B531" s="6" t="n"/>
      <c r="E531" s="8" t="n"/>
    </row>
    <row r="532">
      <c r="A532">
        <f>IF($C532="","", "R"&amp;TEXT(ROW()-1,"00000"))</f>
        <v/>
      </c>
      <c r="B532" s="6" t="n"/>
      <c r="E532" s="8" t="n"/>
    </row>
    <row r="533">
      <c r="A533">
        <f>IF($C533="","", "R"&amp;TEXT(ROW()-1,"00000"))</f>
        <v/>
      </c>
      <c r="B533" s="6" t="n"/>
      <c r="E533" s="8" t="n"/>
    </row>
    <row r="534">
      <c r="A534">
        <f>IF($C534="","", "R"&amp;TEXT(ROW()-1,"00000"))</f>
        <v/>
      </c>
      <c r="B534" s="6" t="n"/>
      <c r="E534" s="8" t="n"/>
    </row>
    <row r="535">
      <c r="A535">
        <f>IF($C535="","", "R"&amp;TEXT(ROW()-1,"00000"))</f>
        <v/>
      </c>
      <c r="B535" s="6" t="n"/>
      <c r="E535" s="8" t="n"/>
    </row>
    <row r="536">
      <c r="A536">
        <f>IF($C536="","", "R"&amp;TEXT(ROW()-1,"00000"))</f>
        <v/>
      </c>
      <c r="B536" s="6" t="n"/>
      <c r="E536" s="8" t="n"/>
    </row>
    <row r="537">
      <c r="A537">
        <f>IF($C537="","", "R"&amp;TEXT(ROW()-1,"00000"))</f>
        <v/>
      </c>
      <c r="B537" s="6" t="n"/>
      <c r="E537" s="8" t="n"/>
    </row>
    <row r="538">
      <c r="A538">
        <f>IF($C538="","", "R"&amp;TEXT(ROW()-1,"00000"))</f>
        <v/>
      </c>
      <c r="B538" s="6" t="n"/>
      <c r="E538" s="8" t="n"/>
    </row>
    <row r="539">
      <c r="A539">
        <f>IF($C539="","", "R"&amp;TEXT(ROW()-1,"00000"))</f>
        <v/>
      </c>
      <c r="B539" s="6" t="n"/>
      <c r="E539" s="8" t="n"/>
    </row>
    <row r="540">
      <c r="A540">
        <f>IF($C540="","", "R"&amp;TEXT(ROW()-1,"00000"))</f>
        <v/>
      </c>
      <c r="B540" s="6" t="n"/>
      <c r="E540" s="8" t="n"/>
    </row>
    <row r="541">
      <c r="A541">
        <f>IF($C541="","", "R"&amp;TEXT(ROW()-1,"00000"))</f>
        <v/>
      </c>
      <c r="B541" s="6" t="n"/>
      <c r="E541" s="8" t="n"/>
    </row>
    <row r="542">
      <c r="A542">
        <f>IF($C542="","", "R"&amp;TEXT(ROW()-1,"00000"))</f>
        <v/>
      </c>
      <c r="B542" s="6" t="n"/>
      <c r="E542" s="8" t="n"/>
    </row>
    <row r="543">
      <c r="A543">
        <f>IF($C543="","", "R"&amp;TEXT(ROW()-1,"00000"))</f>
        <v/>
      </c>
      <c r="B543" s="6" t="n"/>
      <c r="E543" s="8" t="n"/>
    </row>
    <row r="544">
      <c r="A544">
        <f>IF($C544="","", "R"&amp;TEXT(ROW()-1,"00000"))</f>
        <v/>
      </c>
      <c r="B544" s="6" t="n"/>
      <c r="E544" s="8" t="n"/>
    </row>
    <row r="545">
      <c r="A545">
        <f>IF($C545="","", "R"&amp;TEXT(ROW()-1,"00000"))</f>
        <v/>
      </c>
      <c r="B545" s="6" t="n"/>
      <c r="E545" s="8" t="n"/>
    </row>
    <row r="546">
      <c r="A546">
        <f>IF($C546="","", "R"&amp;TEXT(ROW()-1,"00000"))</f>
        <v/>
      </c>
      <c r="B546" s="6" t="n"/>
      <c r="E546" s="8" t="n"/>
    </row>
    <row r="547">
      <c r="A547">
        <f>IF($C547="","", "R"&amp;TEXT(ROW()-1,"00000"))</f>
        <v/>
      </c>
      <c r="B547" s="6" t="n"/>
      <c r="E547" s="8" t="n"/>
    </row>
    <row r="548">
      <c r="A548">
        <f>IF($C548="","", "R"&amp;TEXT(ROW()-1,"00000"))</f>
        <v/>
      </c>
      <c r="B548" s="6" t="n"/>
      <c r="E548" s="8" t="n"/>
    </row>
    <row r="549">
      <c r="A549">
        <f>IF($C549="","", "R"&amp;TEXT(ROW()-1,"00000"))</f>
        <v/>
      </c>
      <c r="B549" s="6" t="n"/>
      <c r="E549" s="8" t="n"/>
    </row>
    <row r="550">
      <c r="A550">
        <f>IF($C550="","", "R"&amp;TEXT(ROW()-1,"00000"))</f>
        <v/>
      </c>
      <c r="B550" s="6" t="n"/>
      <c r="E550" s="8" t="n"/>
    </row>
    <row r="551">
      <c r="A551">
        <f>IF($C551="","", "R"&amp;TEXT(ROW()-1,"00000"))</f>
        <v/>
      </c>
      <c r="B551" s="6" t="n"/>
      <c r="E551" s="8" t="n"/>
    </row>
    <row r="552">
      <c r="A552">
        <f>IF($C552="","", "R"&amp;TEXT(ROW()-1,"00000"))</f>
        <v/>
      </c>
      <c r="B552" s="6" t="n"/>
      <c r="E552" s="8" t="n"/>
    </row>
    <row r="553">
      <c r="A553">
        <f>IF($C553="","", "R"&amp;TEXT(ROW()-1,"00000"))</f>
        <v/>
      </c>
      <c r="B553" s="6" t="n"/>
      <c r="E553" s="8" t="n"/>
    </row>
    <row r="554">
      <c r="A554">
        <f>IF($C554="","", "R"&amp;TEXT(ROW()-1,"00000"))</f>
        <v/>
      </c>
      <c r="B554" s="6" t="n"/>
      <c r="E554" s="8" t="n"/>
    </row>
    <row r="555">
      <c r="A555">
        <f>IF($C555="","", "R"&amp;TEXT(ROW()-1,"00000"))</f>
        <v/>
      </c>
      <c r="B555" s="6" t="n"/>
      <c r="E555" s="8" t="n"/>
    </row>
    <row r="556">
      <c r="A556">
        <f>IF($C556="","", "R"&amp;TEXT(ROW()-1,"00000"))</f>
        <v/>
      </c>
      <c r="B556" s="6" t="n"/>
      <c r="E556" s="8" t="n"/>
    </row>
    <row r="557">
      <c r="A557">
        <f>IF($C557="","", "R"&amp;TEXT(ROW()-1,"00000"))</f>
        <v/>
      </c>
      <c r="B557" s="6" t="n"/>
      <c r="E557" s="8" t="n"/>
    </row>
    <row r="558">
      <c r="A558">
        <f>IF($C558="","", "R"&amp;TEXT(ROW()-1,"00000"))</f>
        <v/>
      </c>
      <c r="B558" s="6" t="n"/>
      <c r="E558" s="8" t="n"/>
    </row>
    <row r="559">
      <c r="A559">
        <f>IF($C559="","", "R"&amp;TEXT(ROW()-1,"00000"))</f>
        <v/>
      </c>
      <c r="B559" s="6" t="n"/>
      <c r="E559" s="8" t="n"/>
    </row>
    <row r="560">
      <c r="A560">
        <f>IF($C560="","", "R"&amp;TEXT(ROW()-1,"00000"))</f>
        <v/>
      </c>
      <c r="B560" s="6" t="n"/>
      <c r="E560" s="8" t="n"/>
    </row>
    <row r="561">
      <c r="A561">
        <f>IF($C561="","", "R"&amp;TEXT(ROW()-1,"00000"))</f>
        <v/>
      </c>
      <c r="B561" s="6" t="n"/>
      <c r="E561" s="8" t="n"/>
    </row>
    <row r="562">
      <c r="A562">
        <f>IF($C562="","", "R"&amp;TEXT(ROW()-1,"00000"))</f>
        <v/>
      </c>
      <c r="B562" s="6" t="n"/>
      <c r="E562" s="8" t="n"/>
    </row>
    <row r="563">
      <c r="A563">
        <f>IF($C563="","", "R"&amp;TEXT(ROW()-1,"00000"))</f>
        <v/>
      </c>
      <c r="B563" s="6" t="n"/>
      <c r="E563" s="8" t="n"/>
    </row>
    <row r="564">
      <c r="A564">
        <f>IF($C564="","", "R"&amp;TEXT(ROW()-1,"00000"))</f>
        <v/>
      </c>
      <c r="B564" s="6" t="n"/>
      <c r="E564" s="8" t="n"/>
    </row>
    <row r="565">
      <c r="A565">
        <f>IF($C565="","", "R"&amp;TEXT(ROW()-1,"00000"))</f>
        <v/>
      </c>
      <c r="B565" s="6" t="n"/>
      <c r="E565" s="8" t="n"/>
    </row>
    <row r="566">
      <c r="A566">
        <f>IF($C566="","", "R"&amp;TEXT(ROW()-1,"00000"))</f>
        <v/>
      </c>
      <c r="B566" s="6" t="n"/>
      <c r="E566" s="8" t="n"/>
    </row>
    <row r="567">
      <c r="A567">
        <f>IF($C567="","", "R"&amp;TEXT(ROW()-1,"00000"))</f>
        <v/>
      </c>
      <c r="B567" s="6" t="n"/>
      <c r="E567" s="8" t="n"/>
    </row>
    <row r="568">
      <c r="A568">
        <f>IF($C568="","", "R"&amp;TEXT(ROW()-1,"00000"))</f>
        <v/>
      </c>
      <c r="B568" s="6" t="n"/>
      <c r="E568" s="8" t="n"/>
    </row>
    <row r="569">
      <c r="A569">
        <f>IF($C569="","", "R"&amp;TEXT(ROW()-1,"00000"))</f>
        <v/>
      </c>
      <c r="B569" s="6" t="n"/>
      <c r="E569" s="8" t="n"/>
    </row>
    <row r="570">
      <c r="A570">
        <f>IF($C570="","", "R"&amp;TEXT(ROW()-1,"00000"))</f>
        <v/>
      </c>
      <c r="B570" s="6" t="n"/>
      <c r="E570" s="8" t="n"/>
    </row>
    <row r="571">
      <c r="A571">
        <f>IF($C571="","", "R"&amp;TEXT(ROW()-1,"00000"))</f>
        <v/>
      </c>
      <c r="B571" s="6" t="n"/>
      <c r="E571" s="8" t="n"/>
    </row>
    <row r="572">
      <c r="A572">
        <f>IF($C572="","", "R"&amp;TEXT(ROW()-1,"00000"))</f>
        <v/>
      </c>
      <c r="B572" s="6" t="n"/>
      <c r="E572" s="8" t="n"/>
    </row>
    <row r="573">
      <c r="A573">
        <f>IF($C573="","", "R"&amp;TEXT(ROW()-1,"00000"))</f>
        <v/>
      </c>
      <c r="B573" s="6" t="n"/>
      <c r="E573" s="8" t="n"/>
    </row>
    <row r="574">
      <c r="A574">
        <f>IF($C574="","", "R"&amp;TEXT(ROW()-1,"00000"))</f>
        <v/>
      </c>
      <c r="B574" s="6" t="n"/>
      <c r="E574" s="8" t="n"/>
    </row>
    <row r="575">
      <c r="A575">
        <f>IF($C575="","", "R"&amp;TEXT(ROW()-1,"00000"))</f>
        <v/>
      </c>
      <c r="B575" s="6" t="n"/>
      <c r="E575" s="8" t="n"/>
    </row>
    <row r="576">
      <c r="A576">
        <f>IF($C576="","", "R"&amp;TEXT(ROW()-1,"00000"))</f>
        <v/>
      </c>
      <c r="B576" s="6" t="n"/>
      <c r="E576" s="8" t="n"/>
    </row>
    <row r="577">
      <c r="A577">
        <f>IF($C577="","", "R"&amp;TEXT(ROW()-1,"00000"))</f>
        <v/>
      </c>
      <c r="B577" s="6" t="n"/>
      <c r="E577" s="8" t="n"/>
    </row>
    <row r="578">
      <c r="A578">
        <f>IF($C578="","", "R"&amp;TEXT(ROW()-1,"00000"))</f>
        <v/>
      </c>
      <c r="B578" s="6" t="n"/>
      <c r="E578" s="8" t="n"/>
    </row>
    <row r="579">
      <c r="A579">
        <f>IF($C579="","", "R"&amp;TEXT(ROW()-1,"00000"))</f>
        <v/>
      </c>
      <c r="B579" s="6" t="n"/>
      <c r="E579" s="8" t="n"/>
    </row>
    <row r="580">
      <c r="A580">
        <f>IF($C580="","", "R"&amp;TEXT(ROW()-1,"00000"))</f>
        <v/>
      </c>
      <c r="B580" s="6" t="n"/>
      <c r="E580" s="8" t="n"/>
    </row>
    <row r="581">
      <c r="A581">
        <f>IF($C581="","", "R"&amp;TEXT(ROW()-1,"00000"))</f>
        <v/>
      </c>
      <c r="B581" s="6" t="n"/>
      <c r="E581" s="8" t="n"/>
    </row>
    <row r="582">
      <c r="A582">
        <f>IF($C582="","", "R"&amp;TEXT(ROW()-1,"00000"))</f>
        <v/>
      </c>
      <c r="B582" s="6" t="n"/>
      <c r="E582" s="8" t="n"/>
    </row>
    <row r="583">
      <c r="A583">
        <f>IF($C583="","", "R"&amp;TEXT(ROW()-1,"00000"))</f>
        <v/>
      </c>
      <c r="B583" s="6" t="n"/>
      <c r="E583" s="8" t="n"/>
    </row>
    <row r="584">
      <c r="A584">
        <f>IF($C584="","", "R"&amp;TEXT(ROW()-1,"00000"))</f>
        <v/>
      </c>
      <c r="B584" s="6" t="n"/>
      <c r="E584" s="8" t="n"/>
    </row>
    <row r="585">
      <c r="A585">
        <f>IF($C585="","", "R"&amp;TEXT(ROW()-1,"00000"))</f>
        <v/>
      </c>
      <c r="B585" s="6" t="n"/>
      <c r="E585" s="8" t="n"/>
    </row>
    <row r="586">
      <c r="A586">
        <f>IF($C586="","", "R"&amp;TEXT(ROW()-1,"00000"))</f>
        <v/>
      </c>
      <c r="B586" s="6" t="n"/>
      <c r="E586" s="8" t="n"/>
    </row>
    <row r="587">
      <c r="A587">
        <f>IF($C587="","", "R"&amp;TEXT(ROW()-1,"00000"))</f>
        <v/>
      </c>
      <c r="B587" s="6" t="n"/>
      <c r="E587" s="8" t="n"/>
    </row>
    <row r="588">
      <c r="A588">
        <f>IF($C588="","", "R"&amp;TEXT(ROW()-1,"00000"))</f>
        <v/>
      </c>
      <c r="B588" s="6" t="n"/>
      <c r="E588" s="8" t="n"/>
    </row>
    <row r="589">
      <c r="A589">
        <f>IF($C589="","", "R"&amp;TEXT(ROW()-1,"00000"))</f>
        <v/>
      </c>
      <c r="B589" s="6" t="n"/>
      <c r="E589" s="8" t="n"/>
    </row>
    <row r="590">
      <c r="A590">
        <f>IF($C590="","", "R"&amp;TEXT(ROW()-1,"00000"))</f>
        <v/>
      </c>
      <c r="B590" s="6" t="n"/>
      <c r="E590" s="8" t="n"/>
    </row>
    <row r="591">
      <c r="A591">
        <f>IF($C591="","", "R"&amp;TEXT(ROW()-1,"00000"))</f>
        <v/>
      </c>
      <c r="B591" s="6" t="n"/>
      <c r="E591" s="8" t="n"/>
    </row>
    <row r="592">
      <c r="A592">
        <f>IF($C592="","", "R"&amp;TEXT(ROW()-1,"00000"))</f>
        <v/>
      </c>
      <c r="B592" s="6" t="n"/>
      <c r="E592" s="8" t="n"/>
    </row>
    <row r="593">
      <c r="A593">
        <f>IF($C593="","", "R"&amp;TEXT(ROW()-1,"00000"))</f>
        <v/>
      </c>
      <c r="B593" s="6" t="n"/>
      <c r="E593" s="8" t="n"/>
    </row>
    <row r="594">
      <c r="A594">
        <f>IF($C594="","", "R"&amp;TEXT(ROW()-1,"00000"))</f>
        <v/>
      </c>
      <c r="B594" s="6" t="n"/>
      <c r="E594" s="8" t="n"/>
    </row>
    <row r="595">
      <c r="A595">
        <f>IF($C595="","", "R"&amp;TEXT(ROW()-1,"00000"))</f>
        <v/>
      </c>
      <c r="B595" s="6" t="n"/>
      <c r="E595" s="8" t="n"/>
    </row>
    <row r="596">
      <c r="A596">
        <f>IF($C596="","", "R"&amp;TEXT(ROW()-1,"00000"))</f>
        <v/>
      </c>
      <c r="B596" s="6" t="n"/>
      <c r="E596" s="8" t="n"/>
    </row>
    <row r="597">
      <c r="A597">
        <f>IF($C597="","", "R"&amp;TEXT(ROW()-1,"00000"))</f>
        <v/>
      </c>
      <c r="B597" s="6" t="n"/>
      <c r="E597" s="8" t="n"/>
    </row>
    <row r="598">
      <c r="A598">
        <f>IF($C598="","", "R"&amp;TEXT(ROW()-1,"00000"))</f>
        <v/>
      </c>
      <c r="B598" s="6" t="n"/>
      <c r="E598" s="8" t="n"/>
    </row>
    <row r="599">
      <c r="A599">
        <f>IF($C599="","", "R"&amp;TEXT(ROW()-1,"00000"))</f>
        <v/>
      </c>
      <c r="B599" s="6" t="n"/>
      <c r="E599" s="8" t="n"/>
    </row>
    <row r="600">
      <c r="A600">
        <f>IF($C600="","", "R"&amp;TEXT(ROW()-1,"00000"))</f>
        <v/>
      </c>
      <c r="B600" s="6" t="n"/>
      <c r="E600" s="8" t="n"/>
    </row>
    <row r="601">
      <c r="A601">
        <f>IF($C601="","", "R"&amp;TEXT(ROW()-1,"00000"))</f>
        <v/>
      </c>
      <c r="B601" s="6" t="n"/>
      <c r="E601" s="8" t="n"/>
    </row>
    <row r="602">
      <c r="A602">
        <f>IF($C602="","", "R"&amp;TEXT(ROW()-1,"00000"))</f>
        <v/>
      </c>
      <c r="B602" s="6" t="n"/>
      <c r="E602" s="8" t="n"/>
    </row>
    <row r="603">
      <c r="A603">
        <f>IF($C603="","", "R"&amp;TEXT(ROW()-1,"00000"))</f>
        <v/>
      </c>
      <c r="B603" s="6" t="n"/>
      <c r="E603" s="8" t="n"/>
    </row>
    <row r="604">
      <c r="A604">
        <f>IF($C604="","", "R"&amp;TEXT(ROW()-1,"00000"))</f>
        <v/>
      </c>
      <c r="B604" s="6" t="n"/>
      <c r="E604" s="8" t="n"/>
    </row>
    <row r="605">
      <c r="A605">
        <f>IF($C605="","", "R"&amp;TEXT(ROW()-1,"00000"))</f>
        <v/>
      </c>
      <c r="B605" s="6" t="n"/>
      <c r="E605" s="8" t="n"/>
    </row>
    <row r="606">
      <c r="A606">
        <f>IF($C606="","", "R"&amp;TEXT(ROW()-1,"00000"))</f>
        <v/>
      </c>
      <c r="B606" s="6" t="n"/>
      <c r="E606" s="8" t="n"/>
    </row>
    <row r="607">
      <c r="A607">
        <f>IF($C607="","", "R"&amp;TEXT(ROW()-1,"00000"))</f>
        <v/>
      </c>
      <c r="B607" s="6" t="n"/>
      <c r="E607" s="8" t="n"/>
    </row>
    <row r="608">
      <c r="A608">
        <f>IF($C608="","", "R"&amp;TEXT(ROW()-1,"00000"))</f>
        <v/>
      </c>
      <c r="B608" s="6" t="n"/>
      <c r="E608" s="8" t="n"/>
    </row>
    <row r="609">
      <c r="A609">
        <f>IF($C609="","", "R"&amp;TEXT(ROW()-1,"00000"))</f>
        <v/>
      </c>
      <c r="B609" s="6" t="n"/>
      <c r="E609" s="8" t="n"/>
    </row>
    <row r="610">
      <c r="A610">
        <f>IF($C610="","", "R"&amp;TEXT(ROW()-1,"00000"))</f>
        <v/>
      </c>
      <c r="B610" s="6" t="n"/>
      <c r="E610" s="8" t="n"/>
    </row>
    <row r="611">
      <c r="A611">
        <f>IF($C611="","", "R"&amp;TEXT(ROW()-1,"00000"))</f>
        <v/>
      </c>
      <c r="B611" s="6" t="n"/>
      <c r="E611" s="8" t="n"/>
    </row>
    <row r="612">
      <c r="A612">
        <f>IF($C612="","", "R"&amp;TEXT(ROW()-1,"00000"))</f>
        <v/>
      </c>
      <c r="B612" s="6" t="n"/>
      <c r="E612" s="8" t="n"/>
    </row>
    <row r="613">
      <c r="A613">
        <f>IF($C613="","", "R"&amp;TEXT(ROW()-1,"00000"))</f>
        <v/>
      </c>
      <c r="B613" s="6" t="n"/>
      <c r="E613" s="8" t="n"/>
    </row>
    <row r="614">
      <c r="A614">
        <f>IF($C614="","", "R"&amp;TEXT(ROW()-1,"00000"))</f>
        <v/>
      </c>
      <c r="B614" s="6" t="n"/>
      <c r="E614" s="8" t="n"/>
    </row>
    <row r="615">
      <c r="A615">
        <f>IF($C615="","", "R"&amp;TEXT(ROW()-1,"00000"))</f>
        <v/>
      </c>
      <c r="B615" s="6" t="n"/>
      <c r="E615" s="8" t="n"/>
    </row>
    <row r="616">
      <c r="A616">
        <f>IF($C616="","", "R"&amp;TEXT(ROW()-1,"00000"))</f>
        <v/>
      </c>
      <c r="B616" s="6" t="n"/>
      <c r="E616" s="8" t="n"/>
    </row>
    <row r="617">
      <c r="A617">
        <f>IF($C617="","", "R"&amp;TEXT(ROW()-1,"00000"))</f>
        <v/>
      </c>
      <c r="B617" s="6" t="n"/>
      <c r="E617" s="8" t="n"/>
    </row>
    <row r="618">
      <c r="A618">
        <f>IF($C618="","", "R"&amp;TEXT(ROW()-1,"00000"))</f>
        <v/>
      </c>
      <c r="B618" s="6" t="n"/>
      <c r="E618" s="8" t="n"/>
    </row>
    <row r="619">
      <c r="A619">
        <f>IF($C619="","", "R"&amp;TEXT(ROW()-1,"00000"))</f>
        <v/>
      </c>
      <c r="B619" s="6" t="n"/>
      <c r="E619" s="8" t="n"/>
    </row>
    <row r="620">
      <c r="A620">
        <f>IF($C620="","", "R"&amp;TEXT(ROW()-1,"00000"))</f>
        <v/>
      </c>
      <c r="B620" s="6" t="n"/>
      <c r="E620" s="8" t="n"/>
    </row>
    <row r="621">
      <c r="A621">
        <f>IF($C621="","", "R"&amp;TEXT(ROW()-1,"00000"))</f>
        <v/>
      </c>
      <c r="B621" s="6" t="n"/>
      <c r="E621" s="8" t="n"/>
    </row>
    <row r="622">
      <c r="A622">
        <f>IF($C622="","", "R"&amp;TEXT(ROW()-1,"00000"))</f>
        <v/>
      </c>
      <c r="B622" s="6" t="n"/>
      <c r="E622" s="8" t="n"/>
    </row>
    <row r="623">
      <c r="A623">
        <f>IF($C623="","", "R"&amp;TEXT(ROW()-1,"00000"))</f>
        <v/>
      </c>
      <c r="B623" s="6" t="n"/>
      <c r="E623" s="8" t="n"/>
    </row>
    <row r="624">
      <c r="A624">
        <f>IF($C624="","", "R"&amp;TEXT(ROW()-1,"00000"))</f>
        <v/>
      </c>
      <c r="B624" s="6" t="n"/>
      <c r="E624" s="8" t="n"/>
    </row>
    <row r="625">
      <c r="A625">
        <f>IF($C625="","", "R"&amp;TEXT(ROW()-1,"00000"))</f>
        <v/>
      </c>
      <c r="B625" s="6" t="n"/>
      <c r="E625" s="8" t="n"/>
    </row>
    <row r="626">
      <c r="A626">
        <f>IF($C626="","", "R"&amp;TEXT(ROW()-1,"00000"))</f>
        <v/>
      </c>
      <c r="B626" s="6" t="n"/>
      <c r="E626" s="8" t="n"/>
    </row>
    <row r="627">
      <c r="A627">
        <f>IF($C627="","", "R"&amp;TEXT(ROW()-1,"00000"))</f>
        <v/>
      </c>
      <c r="B627" s="6" t="n"/>
      <c r="E627" s="8" t="n"/>
    </row>
    <row r="628">
      <c r="A628">
        <f>IF($C628="","", "R"&amp;TEXT(ROW()-1,"00000"))</f>
        <v/>
      </c>
      <c r="B628" s="6" t="n"/>
      <c r="E628" s="8" t="n"/>
    </row>
    <row r="629">
      <c r="A629">
        <f>IF($C629="","", "R"&amp;TEXT(ROW()-1,"00000"))</f>
        <v/>
      </c>
      <c r="B629" s="6" t="n"/>
      <c r="E629" s="8" t="n"/>
    </row>
    <row r="630">
      <c r="A630">
        <f>IF($C630="","", "R"&amp;TEXT(ROW()-1,"00000"))</f>
        <v/>
      </c>
      <c r="B630" s="6" t="n"/>
      <c r="E630" s="8" t="n"/>
    </row>
    <row r="631">
      <c r="A631">
        <f>IF($C631="","", "R"&amp;TEXT(ROW()-1,"00000"))</f>
        <v/>
      </c>
      <c r="B631" s="6" t="n"/>
      <c r="E631" s="8" t="n"/>
    </row>
    <row r="632">
      <c r="A632">
        <f>IF($C632="","", "R"&amp;TEXT(ROW()-1,"00000"))</f>
        <v/>
      </c>
      <c r="B632" s="6" t="n"/>
      <c r="E632" s="8" t="n"/>
    </row>
    <row r="633">
      <c r="A633">
        <f>IF($C633="","", "R"&amp;TEXT(ROW()-1,"00000"))</f>
        <v/>
      </c>
      <c r="B633" s="6" t="n"/>
      <c r="E633" s="8" t="n"/>
    </row>
    <row r="634">
      <c r="A634">
        <f>IF($C634="","", "R"&amp;TEXT(ROW()-1,"00000"))</f>
        <v/>
      </c>
      <c r="B634" s="6" t="n"/>
      <c r="E634" s="8" t="n"/>
    </row>
    <row r="635">
      <c r="A635">
        <f>IF($C635="","", "R"&amp;TEXT(ROW()-1,"00000"))</f>
        <v/>
      </c>
      <c r="B635" s="6" t="n"/>
      <c r="E635" s="8" t="n"/>
    </row>
    <row r="636">
      <c r="A636">
        <f>IF($C636="","", "R"&amp;TEXT(ROW()-1,"00000"))</f>
        <v/>
      </c>
      <c r="B636" s="6" t="n"/>
      <c r="E636" s="8" t="n"/>
    </row>
    <row r="637">
      <c r="A637">
        <f>IF($C637="","", "R"&amp;TEXT(ROW()-1,"00000"))</f>
        <v/>
      </c>
      <c r="B637" s="6" t="n"/>
      <c r="E637" s="8" t="n"/>
    </row>
    <row r="638">
      <c r="A638">
        <f>IF($C638="","", "R"&amp;TEXT(ROW()-1,"00000"))</f>
        <v/>
      </c>
      <c r="B638" s="6" t="n"/>
      <c r="E638" s="8" t="n"/>
    </row>
    <row r="639">
      <c r="A639">
        <f>IF($C639="","", "R"&amp;TEXT(ROW()-1,"00000"))</f>
        <v/>
      </c>
      <c r="B639" s="6" t="n"/>
      <c r="E639" s="8" t="n"/>
    </row>
    <row r="640">
      <c r="A640">
        <f>IF($C640="","", "R"&amp;TEXT(ROW()-1,"00000"))</f>
        <v/>
      </c>
      <c r="B640" s="6" t="n"/>
      <c r="E640" s="8" t="n"/>
    </row>
    <row r="641">
      <c r="A641">
        <f>IF($C641="","", "R"&amp;TEXT(ROW()-1,"00000"))</f>
        <v/>
      </c>
      <c r="B641" s="6" t="n"/>
      <c r="E641" s="8" t="n"/>
    </row>
    <row r="642">
      <c r="A642">
        <f>IF($C642="","", "R"&amp;TEXT(ROW()-1,"00000"))</f>
        <v/>
      </c>
      <c r="B642" s="6" t="n"/>
      <c r="E642" s="8" t="n"/>
    </row>
    <row r="643">
      <c r="A643">
        <f>IF($C643="","", "R"&amp;TEXT(ROW()-1,"00000"))</f>
        <v/>
      </c>
      <c r="B643" s="6" t="n"/>
      <c r="E643" s="8" t="n"/>
    </row>
    <row r="644">
      <c r="A644">
        <f>IF($C644="","", "R"&amp;TEXT(ROW()-1,"00000"))</f>
        <v/>
      </c>
      <c r="B644" s="6" t="n"/>
      <c r="E644" s="8" t="n"/>
    </row>
    <row r="645">
      <c r="A645">
        <f>IF($C645="","", "R"&amp;TEXT(ROW()-1,"00000"))</f>
        <v/>
      </c>
      <c r="B645" s="6" t="n"/>
      <c r="E645" s="8" t="n"/>
    </row>
    <row r="646">
      <c r="A646">
        <f>IF($C646="","", "R"&amp;TEXT(ROW()-1,"00000"))</f>
        <v/>
      </c>
      <c r="B646" s="6" t="n"/>
      <c r="E646" s="8" t="n"/>
    </row>
    <row r="647">
      <c r="A647">
        <f>IF($C647="","", "R"&amp;TEXT(ROW()-1,"00000"))</f>
        <v/>
      </c>
      <c r="B647" s="6" t="n"/>
      <c r="E647" s="8" t="n"/>
    </row>
    <row r="648">
      <c r="A648">
        <f>IF($C648="","", "R"&amp;TEXT(ROW()-1,"00000"))</f>
        <v/>
      </c>
      <c r="B648" s="6" t="n"/>
      <c r="E648" s="8" t="n"/>
    </row>
    <row r="649">
      <c r="A649">
        <f>IF($C649="","", "R"&amp;TEXT(ROW()-1,"00000"))</f>
        <v/>
      </c>
      <c r="B649" s="6" t="n"/>
      <c r="E649" s="8" t="n"/>
    </row>
    <row r="650">
      <c r="A650">
        <f>IF($C650="","", "R"&amp;TEXT(ROW()-1,"00000"))</f>
        <v/>
      </c>
      <c r="B650" s="6" t="n"/>
      <c r="E650" s="8" t="n"/>
    </row>
    <row r="651">
      <c r="A651">
        <f>IF($C651="","", "R"&amp;TEXT(ROW()-1,"00000"))</f>
        <v/>
      </c>
      <c r="B651" s="6" t="n"/>
      <c r="E651" s="8" t="n"/>
    </row>
    <row r="652">
      <c r="A652">
        <f>IF($C652="","", "R"&amp;TEXT(ROW()-1,"00000"))</f>
        <v/>
      </c>
      <c r="B652" s="6" t="n"/>
      <c r="E652" s="8" t="n"/>
    </row>
    <row r="653">
      <c r="A653">
        <f>IF($C653="","", "R"&amp;TEXT(ROW()-1,"00000"))</f>
        <v/>
      </c>
      <c r="B653" s="6" t="n"/>
      <c r="E653" s="8" t="n"/>
    </row>
    <row r="654">
      <c r="A654">
        <f>IF($C654="","", "R"&amp;TEXT(ROW()-1,"00000"))</f>
        <v/>
      </c>
      <c r="B654" s="6" t="n"/>
      <c r="E654" s="8" t="n"/>
    </row>
    <row r="655">
      <c r="A655">
        <f>IF($C655="","", "R"&amp;TEXT(ROW()-1,"00000"))</f>
        <v/>
      </c>
      <c r="B655" s="6" t="n"/>
      <c r="E655" s="8" t="n"/>
    </row>
    <row r="656">
      <c r="A656">
        <f>IF($C656="","", "R"&amp;TEXT(ROW()-1,"00000"))</f>
        <v/>
      </c>
      <c r="B656" s="6" t="n"/>
      <c r="E656" s="8" t="n"/>
    </row>
    <row r="657">
      <c r="A657">
        <f>IF($C657="","", "R"&amp;TEXT(ROW()-1,"00000"))</f>
        <v/>
      </c>
      <c r="B657" s="6" t="n"/>
      <c r="E657" s="8" t="n"/>
    </row>
    <row r="658">
      <c r="A658">
        <f>IF($C658="","", "R"&amp;TEXT(ROW()-1,"00000"))</f>
        <v/>
      </c>
      <c r="B658" s="6" t="n"/>
      <c r="E658" s="8" t="n"/>
    </row>
    <row r="659">
      <c r="A659">
        <f>IF($C659="","", "R"&amp;TEXT(ROW()-1,"00000"))</f>
        <v/>
      </c>
      <c r="B659" s="6" t="n"/>
      <c r="E659" s="8" t="n"/>
    </row>
    <row r="660">
      <c r="A660">
        <f>IF($C660="","", "R"&amp;TEXT(ROW()-1,"00000"))</f>
        <v/>
      </c>
      <c r="B660" s="6" t="n"/>
      <c r="E660" s="8" t="n"/>
    </row>
    <row r="661">
      <c r="A661">
        <f>IF($C661="","", "R"&amp;TEXT(ROW()-1,"00000"))</f>
        <v/>
      </c>
      <c r="B661" s="6" t="n"/>
      <c r="E661" s="8" t="n"/>
    </row>
    <row r="662">
      <c r="A662">
        <f>IF($C662="","", "R"&amp;TEXT(ROW()-1,"00000"))</f>
        <v/>
      </c>
      <c r="B662" s="6" t="n"/>
      <c r="E662" s="8" t="n"/>
    </row>
    <row r="663">
      <c r="A663">
        <f>IF($C663="","", "R"&amp;TEXT(ROW()-1,"00000"))</f>
        <v/>
      </c>
      <c r="B663" s="6" t="n"/>
      <c r="E663" s="8" t="n"/>
    </row>
    <row r="664">
      <c r="A664">
        <f>IF($C664="","", "R"&amp;TEXT(ROW()-1,"00000"))</f>
        <v/>
      </c>
      <c r="B664" s="6" t="n"/>
      <c r="E664" s="8" t="n"/>
    </row>
    <row r="665">
      <c r="A665">
        <f>IF($C665="","", "R"&amp;TEXT(ROW()-1,"00000"))</f>
        <v/>
      </c>
      <c r="B665" s="6" t="n"/>
      <c r="E665" s="8" t="n"/>
    </row>
    <row r="666">
      <c r="A666">
        <f>IF($C666="","", "R"&amp;TEXT(ROW()-1,"00000"))</f>
        <v/>
      </c>
      <c r="B666" s="6" t="n"/>
      <c r="E666" s="8" t="n"/>
    </row>
    <row r="667">
      <c r="A667">
        <f>IF($C667="","", "R"&amp;TEXT(ROW()-1,"00000"))</f>
        <v/>
      </c>
      <c r="B667" s="6" t="n"/>
      <c r="E667" s="8" t="n"/>
    </row>
    <row r="668">
      <c r="A668">
        <f>IF($C668="","", "R"&amp;TEXT(ROW()-1,"00000"))</f>
        <v/>
      </c>
      <c r="B668" s="6" t="n"/>
      <c r="E668" s="8" t="n"/>
    </row>
    <row r="669">
      <c r="A669">
        <f>IF($C669="","", "R"&amp;TEXT(ROW()-1,"00000"))</f>
        <v/>
      </c>
      <c r="B669" s="6" t="n"/>
      <c r="E669" s="8" t="n"/>
    </row>
    <row r="670">
      <c r="A670">
        <f>IF($C670="","", "R"&amp;TEXT(ROW()-1,"00000"))</f>
        <v/>
      </c>
      <c r="B670" s="6" t="n"/>
      <c r="E670" s="8" t="n"/>
    </row>
    <row r="671">
      <c r="A671">
        <f>IF($C671="","", "R"&amp;TEXT(ROW()-1,"00000"))</f>
        <v/>
      </c>
      <c r="B671" s="6" t="n"/>
      <c r="E671" s="8" t="n"/>
    </row>
    <row r="672">
      <c r="A672">
        <f>IF($C672="","", "R"&amp;TEXT(ROW()-1,"00000"))</f>
        <v/>
      </c>
      <c r="B672" s="6" t="n"/>
      <c r="E672" s="8" t="n"/>
    </row>
    <row r="673">
      <c r="A673">
        <f>IF($C673="","", "R"&amp;TEXT(ROW()-1,"00000"))</f>
        <v/>
      </c>
      <c r="B673" s="6" t="n"/>
      <c r="E673" s="8" t="n"/>
    </row>
    <row r="674">
      <c r="A674">
        <f>IF($C674="","", "R"&amp;TEXT(ROW()-1,"00000"))</f>
        <v/>
      </c>
      <c r="B674" s="6" t="n"/>
      <c r="E674" s="8" t="n"/>
    </row>
    <row r="675">
      <c r="A675">
        <f>IF($C675="","", "R"&amp;TEXT(ROW()-1,"00000"))</f>
        <v/>
      </c>
      <c r="B675" s="6" t="n"/>
      <c r="E675" s="8" t="n"/>
    </row>
    <row r="676">
      <c r="A676">
        <f>IF($C676="","", "R"&amp;TEXT(ROW()-1,"00000"))</f>
        <v/>
      </c>
      <c r="B676" s="6" t="n"/>
      <c r="E676" s="8" t="n"/>
    </row>
    <row r="677">
      <c r="A677">
        <f>IF($C677="","", "R"&amp;TEXT(ROW()-1,"00000"))</f>
        <v/>
      </c>
      <c r="B677" s="6" t="n"/>
      <c r="E677" s="8" t="n"/>
    </row>
    <row r="678">
      <c r="A678">
        <f>IF($C678="","", "R"&amp;TEXT(ROW()-1,"00000"))</f>
        <v/>
      </c>
      <c r="B678" s="6" t="n"/>
      <c r="E678" s="8" t="n"/>
    </row>
    <row r="679">
      <c r="A679">
        <f>IF($C679="","", "R"&amp;TEXT(ROW()-1,"00000"))</f>
        <v/>
      </c>
      <c r="B679" s="6" t="n"/>
      <c r="E679" s="8" t="n"/>
    </row>
    <row r="680">
      <c r="A680">
        <f>IF($C680="","", "R"&amp;TEXT(ROW()-1,"00000"))</f>
        <v/>
      </c>
      <c r="B680" s="6" t="n"/>
      <c r="E680" s="8" t="n"/>
    </row>
    <row r="681">
      <c r="A681">
        <f>IF($C681="","", "R"&amp;TEXT(ROW()-1,"00000"))</f>
        <v/>
      </c>
      <c r="B681" s="6" t="n"/>
      <c r="E681" s="8" t="n"/>
    </row>
    <row r="682">
      <c r="A682">
        <f>IF($C682="","", "R"&amp;TEXT(ROW()-1,"00000"))</f>
        <v/>
      </c>
      <c r="B682" s="6" t="n"/>
      <c r="E682" s="8" t="n"/>
    </row>
    <row r="683">
      <c r="A683">
        <f>IF($C683="","", "R"&amp;TEXT(ROW()-1,"00000"))</f>
        <v/>
      </c>
      <c r="B683" s="6" t="n"/>
      <c r="E683" s="8" t="n"/>
    </row>
    <row r="684">
      <c r="A684">
        <f>IF($C684="","", "R"&amp;TEXT(ROW()-1,"00000"))</f>
        <v/>
      </c>
      <c r="B684" s="6" t="n"/>
      <c r="E684" s="8" t="n"/>
    </row>
    <row r="685">
      <c r="A685">
        <f>IF($C685="","", "R"&amp;TEXT(ROW()-1,"00000"))</f>
        <v/>
      </c>
      <c r="B685" s="6" t="n"/>
      <c r="E685" s="8" t="n"/>
    </row>
    <row r="686">
      <c r="A686">
        <f>IF($C686="","", "R"&amp;TEXT(ROW()-1,"00000"))</f>
        <v/>
      </c>
      <c r="B686" s="6" t="n"/>
      <c r="E686" s="8" t="n"/>
    </row>
    <row r="687">
      <c r="A687">
        <f>IF($C687="","", "R"&amp;TEXT(ROW()-1,"00000"))</f>
        <v/>
      </c>
      <c r="B687" s="6" t="n"/>
      <c r="E687" s="8" t="n"/>
    </row>
    <row r="688">
      <c r="A688">
        <f>IF($C688="","", "R"&amp;TEXT(ROW()-1,"00000"))</f>
        <v/>
      </c>
      <c r="B688" s="6" t="n"/>
      <c r="E688" s="8" t="n"/>
    </row>
    <row r="689">
      <c r="A689">
        <f>IF($C689="","", "R"&amp;TEXT(ROW()-1,"00000"))</f>
        <v/>
      </c>
      <c r="B689" s="6" t="n"/>
      <c r="E689" s="8" t="n"/>
    </row>
    <row r="690">
      <c r="A690">
        <f>IF($C690="","", "R"&amp;TEXT(ROW()-1,"00000"))</f>
        <v/>
      </c>
      <c r="B690" s="6" t="n"/>
      <c r="E690" s="8" t="n"/>
    </row>
    <row r="691">
      <c r="A691">
        <f>IF($C691="","", "R"&amp;TEXT(ROW()-1,"00000"))</f>
        <v/>
      </c>
      <c r="B691" s="6" t="n"/>
      <c r="E691" s="8" t="n"/>
    </row>
    <row r="692">
      <c r="A692">
        <f>IF($C692="","", "R"&amp;TEXT(ROW()-1,"00000"))</f>
        <v/>
      </c>
      <c r="B692" s="6" t="n"/>
      <c r="E692" s="8" t="n"/>
    </row>
    <row r="693">
      <c r="A693">
        <f>IF($C693="","", "R"&amp;TEXT(ROW()-1,"00000"))</f>
        <v/>
      </c>
      <c r="B693" s="6" t="n"/>
      <c r="E693" s="8" t="n"/>
    </row>
    <row r="694">
      <c r="A694">
        <f>IF($C694="","", "R"&amp;TEXT(ROW()-1,"00000"))</f>
        <v/>
      </c>
      <c r="B694" s="6" t="n"/>
      <c r="E694" s="8" t="n"/>
    </row>
    <row r="695">
      <c r="A695">
        <f>IF($C695="","", "R"&amp;TEXT(ROW()-1,"00000"))</f>
        <v/>
      </c>
      <c r="B695" s="6" t="n"/>
      <c r="E695" s="8" t="n"/>
    </row>
    <row r="696">
      <c r="A696">
        <f>IF($C696="","", "R"&amp;TEXT(ROW()-1,"00000"))</f>
        <v/>
      </c>
      <c r="B696" s="6" t="n"/>
      <c r="E696" s="8" t="n"/>
    </row>
    <row r="697">
      <c r="A697">
        <f>IF($C697="","", "R"&amp;TEXT(ROW()-1,"00000"))</f>
        <v/>
      </c>
      <c r="B697" s="6" t="n"/>
      <c r="E697" s="8" t="n"/>
    </row>
    <row r="698">
      <c r="A698">
        <f>IF($C698="","", "R"&amp;TEXT(ROW()-1,"00000"))</f>
        <v/>
      </c>
      <c r="B698" s="6" t="n"/>
      <c r="E698" s="8" t="n"/>
    </row>
    <row r="699">
      <c r="A699">
        <f>IF($C699="","", "R"&amp;TEXT(ROW()-1,"00000"))</f>
        <v/>
      </c>
      <c r="B699" s="6" t="n"/>
      <c r="E699" s="8" t="n"/>
    </row>
    <row r="700">
      <c r="A700">
        <f>IF($C700="","", "R"&amp;TEXT(ROW()-1,"00000"))</f>
        <v/>
      </c>
      <c r="B700" s="6" t="n"/>
      <c r="E700" s="8" t="n"/>
    </row>
    <row r="701">
      <c r="A701">
        <f>IF($C701="","", "R"&amp;TEXT(ROW()-1,"00000"))</f>
        <v/>
      </c>
      <c r="B701" s="6" t="n"/>
      <c r="E701" s="8" t="n"/>
    </row>
    <row r="702">
      <c r="A702">
        <f>IF($C702="","", "R"&amp;TEXT(ROW()-1,"00000"))</f>
        <v/>
      </c>
      <c r="B702" s="6" t="n"/>
      <c r="E702" s="8" t="n"/>
    </row>
    <row r="703">
      <c r="A703">
        <f>IF($C703="","", "R"&amp;TEXT(ROW()-1,"00000"))</f>
        <v/>
      </c>
      <c r="B703" s="6" t="n"/>
      <c r="E703" s="8" t="n"/>
    </row>
    <row r="704">
      <c r="A704">
        <f>IF($C704="","", "R"&amp;TEXT(ROW()-1,"00000"))</f>
        <v/>
      </c>
      <c r="B704" s="6" t="n"/>
      <c r="E704" s="8" t="n"/>
    </row>
    <row r="705">
      <c r="A705">
        <f>IF($C705="","", "R"&amp;TEXT(ROW()-1,"00000"))</f>
        <v/>
      </c>
      <c r="B705" s="6" t="n"/>
      <c r="E705" s="8" t="n"/>
    </row>
    <row r="706">
      <c r="A706">
        <f>IF($C706="","", "R"&amp;TEXT(ROW()-1,"00000"))</f>
        <v/>
      </c>
      <c r="B706" s="6" t="n"/>
      <c r="E706" s="8" t="n"/>
    </row>
    <row r="707">
      <c r="A707">
        <f>IF($C707="","", "R"&amp;TEXT(ROW()-1,"00000"))</f>
        <v/>
      </c>
      <c r="B707" s="6" t="n"/>
      <c r="E707" s="8" t="n"/>
    </row>
    <row r="708">
      <c r="A708">
        <f>IF($C708="","", "R"&amp;TEXT(ROW()-1,"00000"))</f>
        <v/>
      </c>
      <c r="B708" s="6" t="n"/>
      <c r="E708" s="8" t="n"/>
    </row>
    <row r="709">
      <c r="A709">
        <f>IF($C709="","", "R"&amp;TEXT(ROW()-1,"00000"))</f>
        <v/>
      </c>
      <c r="B709" s="6" t="n"/>
      <c r="E709" s="8" t="n"/>
    </row>
    <row r="710">
      <c r="A710">
        <f>IF($C710="","", "R"&amp;TEXT(ROW()-1,"00000"))</f>
        <v/>
      </c>
      <c r="B710" s="6" t="n"/>
      <c r="E710" s="8" t="n"/>
    </row>
    <row r="711">
      <c r="A711">
        <f>IF($C711="","", "R"&amp;TEXT(ROW()-1,"00000"))</f>
        <v/>
      </c>
      <c r="B711" s="6" t="n"/>
      <c r="E711" s="8" t="n"/>
    </row>
    <row r="712">
      <c r="A712">
        <f>IF($C712="","", "R"&amp;TEXT(ROW()-1,"00000"))</f>
        <v/>
      </c>
      <c r="B712" s="6" t="n"/>
      <c r="E712" s="8" t="n"/>
    </row>
    <row r="713">
      <c r="A713">
        <f>IF($C713="","", "R"&amp;TEXT(ROW()-1,"00000"))</f>
        <v/>
      </c>
      <c r="B713" s="6" t="n"/>
      <c r="E713" s="8" t="n"/>
    </row>
    <row r="714">
      <c r="A714">
        <f>IF($C714="","", "R"&amp;TEXT(ROW()-1,"00000"))</f>
        <v/>
      </c>
      <c r="B714" s="6" t="n"/>
      <c r="E714" s="8" t="n"/>
    </row>
    <row r="715">
      <c r="A715">
        <f>IF($C715="","", "R"&amp;TEXT(ROW()-1,"00000"))</f>
        <v/>
      </c>
      <c r="B715" s="6" t="n"/>
      <c r="E715" s="8" t="n"/>
    </row>
    <row r="716">
      <c r="A716">
        <f>IF($C716="","", "R"&amp;TEXT(ROW()-1,"00000"))</f>
        <v/>
      </c>
      <c r="B716" s="6" t="n"/>
      <c r="E716" s="8" t="n"/>
    </row>
    <row r="717">
      <c r="A717">
        <f>IF($C717="","", "R"&amp;TEXT(ROW()-1,"00000"))</f>
        <v/>
      </c>
      <c r="B717" s="6" t="n"/>
      <c r="E717" s="8" t="n"/>
    </row>
    <row r="718">
      <c r="A718">
        <f>IF($C718="","", "R"&amp;TEXT(ROW()-1,"00000"))</f>
        <v/>
      </c>
      <c r="B718" s="6" t="n"/>
      <c r="E718" s="8" t="n"/>
    </row>
    <row r="719">
      <c r="A719">
        <f>IF($C719="","", "R"&amp;TEXT(ROW()-1,"00000"))</f>
        <v/>
      </c>
      <c r="B719" s="6" t="n"/>
      <c r="E719" s="8" t="n"/>
    </row>
    <row r="720">
      <c r="A720">
        <f>IF($C720="","", "R"&amp;TEXT(ROW()-1,"00000"))</f>
        <v/>
      </c>
      <c r="B720" s="6" t="n"/>
      <c r="E720" s="8" t="n"/>
    </row>
    <row r="721">
      <c r="A721">
        <f>IF($C721="","", "R"&amp;TEXT(ROW()-1,"00000"))</f>
        <v/>
      </c>
      <c r="B721" s="6" t="n"/>
      <c r="E721" s="8" t="n"/>
    </row>
    <row r="722">
      <c r="A722">
        <f>IF($C722="","", "R"&amp;TEXT(ROW()-1,"00000"))</f>
        <v/>
      </c>
      <c r="B722" s="6" t="n"/>
      <c r="E722" s="8" t="n"/>
    </row>
    <row r="723">
      <c r="A723">
        <f>IF($C723="","", "R"&amp;TEXT(ROW()-1,"00000"))</f>
        <v/>
      </c>
      <c r="B723" s="6" t="n"/>
      <c r="E723" s="8" t="n"/>
    </row>
    <row r="724">
      <c r="A724">
        <f>IF($C724="","", "R"&amp;TEXT(ROW()-1,"00000"))</f>
        <v/>
      </c>
      <c r="B724" s="6" t="n"/>
      <c r="E724" s="8" t="n"/>
    </row>
    <row r="725">
      <c r="A725">
        <f>IF($C725="","", "R"&amp;TEXT(ROW()-1,"00000"))</f>
        <v/>
      </c>
      <c r="B725" s="6" t="n"/>
      <c r="E725" s="8" t="n"/>
    </row>
    <row r="726">
      <c r="A726">
        <f>IF($C726="","", "R"&amp;TEXT(ROW()-1,"00000"))</f>
        <v/>
      </c>
      <c r="B726" s="6" t="n"/>
      <c r="E726" s="8" t="n"/>
    </row>
    <row r="727">
      <c r="A727">
        <f>IF($C727="","", "R"&amp;TEXT(ROW()-1,"00000"))</f>
        <v/>
      </c>
      <c r="B727" s="6" t="n"/>
      <c r="E727" s="8" t="n"/>
    </row>
    <row r="728">
      <c r="A728">
        <f>IF($C728="","", "R"&amp;TEXT(ROW()-1,"00000"))</f>
        <v/>
      </c>
      <c r="B728" s="6" t="n"/>
      <c r="E728" s="8" t="n"/>
    </row>
    <row r="729">
      <c r="A729">
        <f>IF($C729="","", "R"&amp;TEXT(ROW()-1,"00000"))</f>
        <v/>
      </c>
      <c r="B729" s="6" t="n"/>
      <c r="E729" s="8" t="n"/>
    </row>
    <row r="730">
      <c r="A730">
        <f>IF($C730="","", "R"&amp;TEXT(ROW()-1,"00000"))</f>
        <v/>
      </c>
      <c r="B730" s="6" t="n"/>
      <c r="E730" s="8" t="n"/>
    </row>
    <row r="731">
      <c r="A731">
        <f>IF($C731="","", "R"&amp;TEXT(ROW()-1,"00000"))</f>
        <v/>
      </c>
      <c r="B731" s="6" t="n"/>
      <c r="E731" s="8" t="n"/>
    </row>
    <row r="732">
      <c r="A732">
        <f>IF($C732="","", "R"&amp;TEXT(ROW()-1,"00000"))</f>
        <v/>
      </c>
      <c r="B732" s="6" t="n"/>
      <c r="E732" s="8" t="n"/>
    </row>
    <row r="733">
      <c r="A733">
        <f>IF($C733="","", "R"&amp;TEXT(ROW()-1,"00000"))</f>
        <v/>
      </c>
      <c r="B733" s="6" t="n"/>
      <c r="E733" s="8" t="n"/>
    </row>
    <row r="734">
      <c r="A734">
        <f>IF($C734="","", "R"&amp;TEXT(ROW()-1,"00000"))</f>
        <v/>
      </c>
      <c r="B734" s="6" t="n"/>
      <c r="E734" s="8" t="n"/>
    </row>
    <row r="735">
      <c r="A735">
        <f>IF($C735="","", "R"&amp;TEXT(ROW()-1,"00000"))</f>
        <v/>
      </c>
      <c r="B735" s="6" t="n"/>
      <c r="E735" s="8" t="n"/>
    </row>
    <row r="736">
      <c r="A736">
        <f>IF($C736="","", "R"&amp;TEXT(ROW()-1,"00000"))</f>
        <v/>
      </c>
      <c r="B736" s="6" t="n"/>
      <c r="E736" s="8" t="n"/>
    </row>
    <row r="737">
      <c r="A737">
        <f>IF($C737="","", "R"&amp;TEXT(ROW()-1,"00000"))</f>
        <v/>
      </c>
      <c r="B737" s="6" t="n"/>
      <c r="E737" s="8" t="n"/>
    </row>
    <row r="738">
      <c r="A738">
        <f>IF($C738="","", "R"&amp;TEXT(ROW()-1,"00000"))</f>
        <v/>
      </c>
      <c r="B738" s="6" t="n"/>
      <c r="E738" s="8" t="n"/>
    </row>
    <row r="739">
      <c r="A739">
        <f>IF($C739="","", "R"&amp;TEXT(ROW()-1,"00000"))</f>
        <v/>
      </c>
      <c r="B739" s="6" t="n"/>
      <c r="E739" s="8" t="n"/>
    </row>
    <row r="740">
      <c r="A740">
        <f>IF($C740="","", "R"&amp;TEXT(ROW()-1,"00000"))</f>
        <v/>
      </c>
      <c r="B740" s="6" t="n"/>
      <c r="E740" s="8" t="n"/>
    </row>
    <row r="741">
      <c r="A741">
        <f>IF($C741="","", "R"&amp;TEXT(ROW()-1,"00000"))</f>
        <v/>
      </c>
      <c r="B741" s="6" t="n"/>
      <c r="E741" s="8" t="n"/>
    </row>
    <row r="742">
      <c r="A742">
        <f>IF($C742="","", "R"&amp;TEXT(ROW()-1,"00000"))</f>
        <v/>
      </c>
      <c r="B742" s="6" t="n"/>
      <c r="E742" s="8" t="n"/>
    </row>
    <row r="743">
      <c r="A743">
        <f>IF($C743="","", "R"&amp;TEXT(ROW()-1,"00000"))</f>
        <v/>
      </c>
      <c r="B743" s="6" t="n"/>
      <c r="E743" s="8" t="n"/>
    </row>
    <row r="744">
      <c r="A744">
        <f>IF($C744="","", "R"&amp;TEXT(ROW()-1,"00000"))</f>
        <v/>
      </c>
      <c r="B744" s="6" t="n"/>
      <c r="E744" s="8" t="n"/>
    </row>
    <row r="745">
      <c r="A745">
        <f>IF($C745="","", "R"&amp;TEXT(ROW()-1,"00000"))</f>
        <v/>
      </c>
      <c r="B745" s="6" t="n"/>
      <c r="E745" s="8" t="n"/>
    </row>
    <row r="746">
      <c r="A746">
        <f>IF($C746="","", "R"&amp;TEXT(ROW()-1,"00000"))</f>
        <v/>
      </c>
      <c r="B746" s="6" t="n"/>
      <c r="E746" s="8" t="n"/>
    </row>
    <row r="747">
      <c r="A747">
        <f>IF($C747="","", "R"&amp;TEXT(ROW()-1,"00000"))</f>
        <v/>
      </c>
      <c r="B747" s="6" t="n"/>
      <c r="E747" s="8" t="n"/>
    </row>
    <row r="748">
      <c r="A748">
        <f>IF($C748="","", "R"&amp;TEXT(ROW()-1,"00000"))</f>
        <v/>
      </c>
      <c r="B748" s="6" t="n"/>
      <c r="E748" s="8" t="n"/>
    </row>
    <row r="749">
      <c r="A749">
        <f>IF($C749="","", "R"&amp;TEXT(ROW()-1,"00000"))</f>
        <v/>
      </c>
      <c r="B749" s="6" t="n"/>
      <c r="E749" s="8" t="n"/>
    </row>
    <row r="750">
      <c r="A750">
        <f>IF($C750="","", "R"&amp;TEXT(ROW()-1,"00000"))</f>
        <v/>
      </c>
      <c r="B750" s="6" t="n"/>
      <c r="E750" s="8" t="n"/>
    </row>
    <row r="751">
      <c r="A751">
        <f>IF($C751="","", "R"&amp;TEXT(ROW()-1,"00000"))</f>
        <v/>
      </c>
      <c r="B751" s="6" t="n"/>
      <c r="E751" s="8" t="n"/>
    </row>
    <row r="752">
      <c r="A752">
        <f>IF($C752="","", "R"&amp;TEXT(ROW()-1,"00000"))</f>
        <v/>
      </c>
      <c r="B752" s="6" t="n"/>
      <c r="E752" s="8" t="n"/>
    </row>
    <row r="753">
      <c r="A753">
        <f>IF($C753="","", "R"&amp;TEXT(ROW()-1,"00000"))</f>
        <v/>
      </c>
      <c r="B753" s="6" t="n"/>
      <c r="E753" s="8" t="n"/>
    </row>
    <row r="754">
      <c r="A754">
        <f>IF($C754="","", "R"&amp;TEXT(ROW()-1,"00000"))</f>
        <v/>
      </c>
      <c r="B754" s="6" t="n"/>
      <c r="E754" s="8" t="n"/>
    </row>
    <row r="755">
      <c r="A755">
        <f>IF($C755="","", "R"&amp;TEXT(ROW()-1,"00000"))</f>
        <v/>
      </c>
      <c r="B755" s="6" t="n"/>
      <c r="E755" s="8" t="n"/>
    </row>
    <row r="756">
      <c r="A756">
        <f>IF($C756="","", "R"&amp;TEXT(ROW()-1,"00000"))</f>
        <v/>
      </c>
      <c r="B756" s="6" t="n"/>
      <c r="E756" s="8" t="n"/>
    </row>
    <row r="757">
      <c r="A757">
        <f>IF($C757="","", "R"&amp;TEXT(ROW()-1,"00000"))</f>
        <v/>
      </c>
      <c r="B757" s="6" t="n"/>
      <c r="E757" s="8" t="n"/>
    </row>
    <row r="758">
      <c r="A758">
        <f>IF($C758="","", "R"&amp;TEXT(ROW()-1,"00000"))</f>
        <v/>
      </c>
      <c r="B758" s="6" t="n"/>
      <c r="E758" s="8" t="n"/>
    </row>
    <row r="759">
      <c r="A759">
        <f>IF($C759="","", "R"&amp;TEXT(ROW()-1,"00000"))</f>
        <v/>
      </c>
      <c r="B759" s="6" t="n"/>
      <c r="E759" s="8" t="n"/>
    </row>
    <row r="760">
      <c r="A760">
        <f>IF($C760="","", "R"&amp;TEXT(ROW()-1,"00000"))</f>
        <v/>
      </c>
      <c r="B760" s="6" t="n"/>
      <c r="E760" s="8" t="n"/>
    </row>
    <row r="761">
      <c r="A761">
        <f>IF($C761="","", "R"&amp;TEXT(ROW()-1,"00000"))</f>
        <v/>
      </c>
      <c r="B761" s="6" t="n"/>
      <c r="E761" s="8" t="n"/>
    </row>
    <row r="762">
      <c r="A762">
        <f>IF($C762="","", "R"&amp;TEXT(ROW()-1,"00000"))</f>
        <v/>
      </c>
      <c r="B762" s="6" t="n"/>
      <c r="E762" s="8" t="n"/>
    </row>
    <row r="763">
      <c r="A763">
        <f>IF($C763="","", "R"&amp;TEXT(ROW()-1,"00000"))</f>
        <v/>
      </c>
      <c r="B763" s="6" t="n"/>
      <c r="E763" s="8" t="n"/>
    </row>
    <row r="764">
      <c r="A764">
        <f>IF($C764="","", "R"&amp;TEXT(ROW()-1,"00000"))</f>
        <v/>
      </c>
      <c r="B764" s="6" t="n"/>
      <c r="E764" s="8" t="n"/>
    </row>
    <row r="765">
      <c r="A765">
        <f>IF($C765="","", "R"&amp;TEXT(ROW()-1,"00000"))</f>
        <v/>
      </c>
      <c r="B765" s="6" t="n"/>
      <c r="E765" s="8" t="n"/>
    </row>
    <row r="766">
      <c r="A766">
        <f>IF($C766="","", "R"&amp;TEXT(ROW()-1,"00000"))</f>
        <v/>
      </c>
      <c r="B766" s="6" t="n"/>
      <c r="E766" s="8" t="n"/>
    </row>
    <row r="767">
      <c r="A767">
        <f>IF($C767="","", "R"&amp;TEXT(ROW()-1,"00000"))</f>
        <v/>
      </c>
      <c r="B767" s="6" t="n"/>
      <c r="E767" s="8" t="n"/>
    </row>
    <row r="768">
      <c r="A768">
        <f>IF($C768="","", "R"&amp;TEXT(ROW()-1,"00000"))</f>
        <v/>
      </c>
      <c r="B768" s="6" t="n"/>
      <c r="E768" s="8" t="n"/>
    </row>
    <row r="769">
      <c r="A769">
        <f>IF($C769="","", "R"&amp;TEXT(ROW()-1,"00000"))</f>
        <v/>
      </c>
      <c r="B769" s="6" t="n"/>
      <c r="E769" s="8" t="n"/>
    </row>
    <row r="770">
      <c r="A770">
        <f>IF($C770="","", "R"&amp;TEXT(ROW()-1,"00000"))</f>
        <v/>
      </c>
      <c r="B770" s="6" t="n"/>
      <c r="E770" s="8" t="n"/>
    </row>
    <row r="771">
      <c r="A771">
        <f>IF($C771="","", "R"&amp;TEXT(ROW()-1,"00000"))</f>
        <v/>
      </c>
      <c r="B771" s="6" t="n"/>
      <c r="E771" s="8" t="n"/>
    </row>
    <row r="772">
      <c r="A772">
        <f>IF($C772="","", "R"&amp;TEXT(ROW()-1,"00000"))</f>
        <v/>
      </c>
      <c r="B772" s="6" t="n"/>
      <c r="E772" s="8" t="n"/>
    </row>
    <row r="773">
      <c r="A773">
        <f>IF($C773="","", "R"&amp;TEXT(ROW()-1,"00000"))</f>
        <v/>
      </c>
      <c r="B773" s="6" t="n"/>
      <c r="E773" s="8" t="n"/>
    </row>
    <row r="774">
      <c r="A774">
        <f>IF($C774="","", "R"&amp;TEXT(ROW()-1,"00000"))</f>
        <v/>
      </c>
      <c r="B774" s="6" t="n"/>
      <c r="E774" s="8" t="n"/>
    </row>
    <row r="775">
      <c r="A775">
        <f>IF($C775="","", "R"&amp;TEXT(ROW()-1,"00000"))</f>
        <v/>
      </c>
      <c r="B775" s="6" t="n"/>
      <c r="E775" s="8" t="n"/>
    </row>
    <row r="776">
      <c r="A776">
        <f>IF($C776="","", "R"&amp;TEXT(ROW()-1,"00000"))</f>
        <v/>
      </c>
      <c r="B776" s="6" t="n"/>
      <c r="E776" s="8" t="n"/>
    </row>
    <row r="777">
      <c r="A777">
        <f>IF($C777="","", "R"&amp;TEXT(ROW()-1,"00000"))</f>
        <v/>
      </c>
      <c r="B777" s="6" t="n"/>
      <c r="E777" s="8" t="n"/>
    </row>
    <row r="778">
      <c r="A778">
        <f>IF($C778="","", "R"&amp;TEXT(ROW()-1,"00000"))</f>
        <v/>
      </c>
      <c r="B778" s="6" t="n"/>
      <c r="E778" s="8" t="n"/>
    </row>
    <row r="779">
      <c r="A779">
        <f>IF($C779="","", "R"&amp;TEXT(ROW()-1,"00000"))</f>
        <v/>
      </c>
      <c r="B779" s="6" t="n"/>
      <c r="E779" s="8" t="n"/>
    </row>
    <row r="780">
      <c r="A780">
        <f>IF($C780="","", "R"&amp;TEXT(ROW()-1,"00000"))</f>
        <v/>
      </c>
      <c r="B780" s="6" t="n"/>
      <c r="E780" s="8" t="n"/>
    </row>
    <row r="781">
      <c r="A781">
        <f>IF($C781="","", "R"&amp;TEXT(ROW()-1,"00000"))</f>
        <v/>
      </c>
      <c r="B781" s="6" t="n"/>
      <c r="E781" s="8" t="n"/>
    </row>
    <row r="782">
      <c r="A782">
        <f>IF($C782="","", "R"&amp;TEXT(ROW()-1,"00000"))</f>
        <v/>
      </c>
      <c r="B782" s="6" t="n"/>
      <c r="E782" s="8" t="n"/>
    </row>
    <row r="783">
      <c r="A783">
        <f>IF($C783="","", "R"&amp;TEXT(ROW()-1,"00000"))</f>
        <v/>
      </c>
      <c r="B783" s="6" t="n"/>
      <c r="E783" s="8" t="n"/>
    </row>
    <row r="784">
      <c r="A784">
        <f>IF($C784="","", "R"&amp;TEXT(ROW()-1,"00000"))</f>
        <v/>
      </c>
      <c r="B784" s="6" t="n"/>
      <c r="E784" s="8" t="n"/>
    </row>
    <row r="785">
      <c r="A785">
        <f>IF($C785="","", "R"&amp;TEXT(ROW()-1,"00000"))</f>
        <v/>
      </c>
      <c r="B785" s="6" t="n"/>
      <c r="E785" s="8" t="n"/>
    </row>
    <row r="786">
      <c r="A786">
        <f>IF($C786="","", "R"&amp;TEXT(ROW()-1,"00000"))</f>
        <v/>
      </c>
      <c r="B786" s="6" t="n"/>
      <c r="E786" s="8" t="n"/>
    </row>
    <row r="787">
      <c r="A787">
        <f>IF($C787="","", "R"&amp;TEXT(ROW()-1,"00000"))</f>
        <v/>
      </c>
      <c r="B787" s="6" t="n"/>
      <c r="E787" s="8" t="n"/>
    </row>
    <row r="788">
      <c r="A788">
        <f>IF($C788="","", "R"&amp;TEXT(ROW()-1,"00000"))</f>
        <v/>
      </c>
      <c r="B788" s="6" t="n"/>
      <c r="E788" s="8" t="n"/>
    </row>
    <row r="789">
      <c r="A789">
        <f>IF($C789="","", "R"&amp;TEXT(ROW()-1,"00000"))</f>
        <v/>
      </c>
      <c r="B789" s="6" t="n"/>
      <c r="E789" s="8" t="n"/>
    </row>
    <row r="790">
      <c r="A790">
        <f>IF($C790="","", "R"&amp;TEXT(ROW()-1,"00000"))</f>
        <v/>
      </c>
      <c r="B790" s="6" t="n"/>
      <c r="E790" s="8" t="n"/>
    </row>
    <row r="791">
      <c r="A791">
        <f>IF($C791="","", "R"&amp;TEXT(ROW()-1,"00000"))</f>
        <v/>
      </c>
      <c r="B791" s="6" t="n"/>
      <c r="E791" s="8" t="n"/>
    </row>
    <row r="792">
      <c r="A792">
        <f>IF($C792="","", "R"&amp;TEXT(ROW()-1,"00000"))</f>
        <v/>
      </c>
      <c r="B792" s="6" t="n"/>
      <c r="E792" s="8" t="n"/>
    </row>
    <row r="793">
      <c r="A793">
        <f>IF($C793="","", "R"&amp;TEXT(ROW()-1,"00000"))</f>
        <v/>
      </c>
      <c r="B793" s="6" t="n"/>
      <c r="E793" s="8" t="n"/>
    </row>
    <row r="794">
      <c r="A794">
        <f>IF($C794="","", "R"&amp;TEXT(ROW()-1,"00000"))</f>
        <v/>
      </c>
      <c r="B794" s="6" t="n"/>
      <c r="E794" s="8" t="n"/>
    </row>
    <row r="795">
      <c r="A795">
        <f>IF($C795="","", "R"&amp;TEXT(ROW()-1,"00000"))</f>
        <v/>
      </c>
      <c r="B795" s="6" t="n"/>
      <c r="E795" s="8" t="n"/>
    </row>
    <row r="796">
      <c r="A796">
        <f>IF($C796="","", "R"&amp;TEXT(ROW()-1,"00000"))</f>
        <v/>
      </c>
      <c r="B796" s="6" t="n"/>
      <c r="E796" s="8" t="n"/>
    </row>
    <row r="797">
      <c r="A797">
        <f>IF($C797="","", "R"&amp;TEXT(ROW()-1,"00000"))</f>
        <v/>
      </c>
      <c r="B797" s="6" t="n"/>
      <c r="E797" s="8" t="n"/>
    </row>
    <row r="798">
      <c r="A798">
        <f>IF($C798="","", "R"&amp;TEXT(ROW()-1,"00000"))</f>
        <v/>
      </c>
      <c r="B798" s="6" t="n"/>
      <c r="E798" s="8" t="n"/>
    </row>
    <row r="799">
      <c r="A799">
        <f>IF($C799="","", "R"&amp;TEXT(ROW()-1,"00000"))</f>
        <v/>
      </c>
      <c r="B799" s="6" t="n"/>
      <c r="E799" s="8" t="n"/>
    </row>
    <row r="800">
      <c r="A800">
        <f>IF($C800="","", "R"&amp;TEXT(ROW()-1,"00000"))</f>
        <v/>
      </c>
      <c r="B800" s="6" t="n"/>
      <c r="E800" s="8" t="n"/>
    </row>
    <row r="801">
      <c r="A801">
        <f>IF($C801="","", "R"&amp;TEXT(ROW()-1,"00000"))</f>
        <v/>
      </c>
      <c r="B801" s="6" t="n"/>
      <c r="E801" s="8" t="n"/>
    </row>
  </sheetData>
  <dataValidations count="4">
    <dataValidation sqref="C2:C801" showDropDown="0" showInputMessage="0" showErrorMessage="0" allowBlank="1" type="list">
      <formula1>=LoanIDs</formula1>
    </dataValidation>
    <dataValidation sqref="D2:D801" showDropDown="0" showInputMessage="0" showErrorMessage="0" allowBlank="1" type="list">
      <formula1>=ClientIDs</formula1>
    </dataValidation>
    <dataValidation sqref="F2:F801" showDropDown="0" showInputMessage="0" showErrorMessage="0" allowBlank="1" type="list">
      <formula1>=PaymentTypes</formula1>
    </dataValidation>
    <dataValidation sqref="G2:G801" showDropDown="0" showInputMessage="0" showErrorMessage="0" allowBlank="1" type="list">
      <formula1>=StaffNames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4" customWidth="1" min="9" max="9"/>
  </cols>
  <sheetData>
    <row r="1" ht="28" customHeight="1">
      <c r="A1" s="3" t="inlineStr">
        <is>
          <t>Date</t>
        </is>
      </c>
      <c r="B1" s="3" t="inlineStr">
        <is>
          <t>Opening Cash</t>
        </is>
      </c>
      <c r="C1" s="3" t="inlineStr">
        <is>
          <t>Collections</t>
        </is>
      </c>
      <c r="D1" s="3" t="inlineStr">
        <is>
          <t>Other Receipts</t>
        </is>
      </c>
      <c r="E1" s="3" t="inlineStr">
        <is>
          <t>Expenses</t>
        </is>
      </c>
      <c r="F1" s="3" t="inlineStr">
        <is>
          <t>Deposits</t>
        </is>
      </c>
      <c r="G1" s="3" t="inlineStr">
        <is>
          <t>Closing Cash</t>
        </is>
      </c>
      <c r="H1" s="3" t="inlineStr">
        <is>
          <t>Verified By</t>
        </is>
      </c>
      <c r="I1" s="3" t="inlineStr">
        <is>
          <t>Notes</t>
        </is>
      </c>
    </row>
    <row r="2">
      <c r="A2" s="5" t="n"/>
      <c r="B2" s="7" t="n"/>
      <c r="C2" s="7">
        <f>SUMIFS(Repayment_Ledger!$E$2:$E$801,Repayment_Ledger!$G$2:$G$801,$A2)</f>
        <v/>
      </c>
      <c r="D2" s="7" t="n"/>
      <c r="E2" s="7">
        <f>SUMIFS(Expense_Tracking!$F$2:$F$401,Expense_Tracking!$A$2:$A$401,$A2)</f>
        <v/>
      </c>
      <c r="F2" s="7" t="n"/>
      <c r="G2" s="7">
        <f>IF($A2="","", $B2+IF($C2="",0,$C2)+IF($D2="",0,$D2)-IF($E2="",0,$E2)-IF($F2="",0,$F2))</f>
        <v/>
      </c>
      <c r="H2" s="4" t="n"/>
      <c r="I2" s="4" t="n"/>
    </row>
    <row r="3">
      <c r="A3" s="5" t="n"/>
      <c r="B3" s="7" t="n"/>
      <c r="C3" s="7">
        <f>SUMIFS(Repayment_Ledger!$E$2:$E$801,Repayment_Ledger!$G$2:$G$801,$A3)</f>
        <v/>
      </c>
      <c r="D3" s="7" t="n"/>
      <c r="E3" s="7">
        <f>SUMIFS(Expense_Tracking!$F$2:$F$401,Expense_Tracking!$A$2:$A$401,$A3)</f>
        <v/>
      </c>
      <c r="F3" s="7" t="n"/>
      <c r="G3" s="7">
        <f>IF($A3="","", $B3+IF($C3="",0,$C3)+IF($D3="",0,$D3)-IF($E3="",0,$E3)-IF($F3="",0,$F3))</f>
        <v/>
      </c>
      <c r="H3" s="4" t="n"/>
      <c r="I3" s="4" t="n"/>
    </row>
    <row r="4">
      <c r="A4" s="5" t="n"/>
      <c r="B4" s="7" t="n"/>
      <c r="C4" s="7">
        <f>SUMIFS(Repayment_Ledger!$E$2:$E$801,Repayment_Ledger!$G$2:$G$801,$A4)</f>
        <v/>
      </c>
      <c r="D4" s="7" t="n"/>
      <c r="E4" s="7">
        <f>SUMIFS(Expense_Tracking!$F$2:$F$401,Expense_Tracking!$A$2:$A$401,$A4)</f>
        <v/>
      </c>
      <c r="F4" s="7" t="n"/>
      <c r="G4" s="7">
        <f>IF($A4="","", $B4+IF($C4="",0,$C4)+IF($D4="",0,$D4)-IF($E4="",0,$E4)-IF($F4="",0,$F4))</f>
        <v/>
      </c>
      <c r="H4" s="4" t="n"/>
      <c r="I4" s="4" t="n"/>
    </row>
    <row r="5">
      <c r="A5" s="5" t="n"/>
      <c r="B5" s="7" t="n"/>
      <c r="C5" s="7">
        <f>SUMIFS(Repayment_Ledger!$E$2:$E$801,Repayment_Ledger!$G$2:$G$801,$A5)</f>
        <v/>
      </c>
      <c r="D5" s="7" t="n"/>
      <c r="E5" s="7">
        <f>SUMIFS(Expense_Tracking!$F$2:$F$401,Expense_Tracking!$A$2:$A$401,$A5)</f>
        <v/>
      </c>
      <c r="F5" s="7" t="n"/>
      <c r="G5" s="7">
        <f>IF($A5="","", $B5+IF($C5="",0,$C5)+IF($D5="",0,$D5)-IF($E5="",0,$E5)-IF($F5="",0,$F5))</f>
        <v/>
      </c>
      <c r="H5" s="4" t="n"/>
      <c r="I5" s="4" t="n"/>
    </row>
    <row r="6">
      <c r="A6" s="5" t="n"/>
      <c r="B6" s="7" t="n"/>
      <c r="C6" s="7">
        <f>SUMIFS(Repayment_Ledger!$E$2:$E$801,Repayment_Ledger!$G$2:$G$801,$A6)</f>
        <v/>
      </c>
      <c r="D6" s="7" t="n"/>
      <c r="E6" s="7">
        <f>SUMIFS(Expense_Tracking!$F$2:$F$401,Expense_Tracking!$A$2:$A$401,$A6)</f>
        <v/>
      </c>
      <c r="F6" s="7" t="n"/>
      <c r="G6" s="7">
        <f>IF($A6="","", $B6+IF($C6="",0,$C6)+IF($D6="",0,$D6)-IF($E6="",0,$E6)-IF($F6="",0,$F6))</f>
        <v/>
      </c>
      <c r="H6" s="4" t="n"/>
      <c r="I6" s="4" t="n"/>
    </row>
    <row r="7">
      <c r="A7" s="5" t="n"/>
      <c r="B7" s="7" t="n"/>
      <c r="C7" s="7">
        <f>SUMIFS(Repayment_Ledger!$E$2:$E$801,Repayment_Ledger!$G$2:$G$801,$A7)</f>
        <v/>
      </c>
      <c r="D7" s="7" t="n"/>
      <c r="E7" s="7">
        <f>SUMIFS(Expense_Tracking!$F$2:$F$401,Expense_Tracking!$A$2:$A$401,$A7)</f>
        <v/>
      </c>
      <c r="F7" s="7" t="n"/>
      <c r="G7" s="7">
        <f>IF($A7="","", $B7+IF($C7="",0,$C7)+IF($D7="",0,$D7)-IF($E7="",0,$E7)-IF($F7="",0,$F7))</f>
        <v/>
      </c>
      <c r="H7" s="4" t="n"/>
      <c r="I7" s="4" t="n"/>
    </row>
    <row r="8">
      <c r="A8" s="5" t="n"/>
      <c r="B8" s="7" t="n"/>
      <c r="C8" s="7">
        <f>SUMIFS(Repayment_Ledger!$E$2:$E$801,Repayment_Ledger!$G$2:$G$801,$A8)</f>
        <v/>
      </c>
      <c r="D8" s="7" t="n"/>
      <c r="E8" s="7">
        <f>SUMIFS(Expense_Tracking!$F$2:$F$401,Expense_Tracking!$A$2:$A$401,$A8)</f>
        <v/>
      </c>
      <c r="F8" s="7" t="n"/>
      <c r="G8" s="7">
        <f>IF($A8="","", $B8+IF($C8="",0,$C8)+IF($D8="",0,$D8)-IF($E8="",0,$E8)-IF($F8="",0,$F8))</f>
        <v/>
      </c>
      <c r="H8" s="4" t="n"/>
      <c r="I8" s="4" t="n"/>
    </row>
    <row r="9">
      <c r="A9" s="5" t="n"/>
      <c r="B9" s="7" t="n"/>
      <c r="C9" s="7">
        <f>SUMIFS(Repayment_Ledger!$E$2:$E$801,Repayment_Ledger!$G$2:$G$801,$A9)</f>
        <v/>
      </c>
      <c r="D9" s="7" t="n"/>
      <c r="E9" s="7">
        <f>SUMIFS(Expense_Tracking!$F$2:$F$401,Expense_Tracking!$A$2:$A$401,$A9)</f>
        <v/>
      </c>
      <c r="F9" s="7" t="n"/>
      <c r="G9" s="7">
        <f>IF($A9="","", $B9+IF($C9="",0,$C9)+IF($D9="",0,$D9)-IF($E9="",0,$E9)-IF($F9="",0,$F9))</f>
        <v/>
      </c>
      <c r="H9" s="4" t="n"/>
      <c r="I9" s="4" t="n"/>
    </row>
    <row r="10">
      <c r="A10" s="5" t="n"/>
      <c r="B10" s="7" t="n"/>
      <c r="C10" s="7">
        <f>SUMIFS(Repayment_Ledger!$E$2:$E$801,Repayment_Ledger!$G$2:$G$801,$A10)</f>
        <v/>
      </c>
      <c r="D10" s="7" t="n"/>
      <c r="E10" s="7">
        <f>SUMIFS(Expense_Tracking!$F$2:$F$401,Expense_Tracking!$A$2:$A$401,$A10)</f>
        <v/>
      </c>
      <c r="F10" s="7" t="n"/>
      <c r="G10" s="7">
        <f>IF($A10="","", $B10+IF($C10="",0,$C10)+IF($D10="",0,$D10)-IF($E10="",0,$E10)-IF($F10="",0,$F10))</f>
        <v/>
      </c>
      <c r="H10" s="4" t="n"/>
      <c r="I10" s="4" t="n"/>
    </row>
    <row r="11">
      <c r="A11" s="5" t="n"/>
      <c r="B11" s="7" t="n"/>
      <c r="C11" s="7">
        <f>SUMIFS(Repayment_Ledger!$E$2:$E$801,Repayment_Ledger!$G$2:$G$801,$A11)</f>
        <v/>
      </c>
      <c r="D11" s="7" t="n"/>
      <c r="E11" s="7">
        <f>SUMIFS(Expense_Tracking!$F$2:$F$401,Expense_Tracking!$A$2:$A$401,$A11)</f>
        <v/>
      </c>
      <c r="F11" s="7" t="n"/>
      <c r="G11" s="7">
        <f>IF($A11="","", $B11+IF($C11="",0,$C11)+IF($D11="",0,$D11)-IF($E11="",0,$E11)-IF($F11="",0,$F11))</f>
        <v/>
      </c>
      <c r="H11" s="4" t="n"/>
      <c r="I11" s="4" t="n"/>
    </row>
    <row r="12">
      <c r="A12" s="5" t="n"/>
      <c r="B12" s="7" t="n"/>
      <c r="C12" s="7">
        <f>SUMIFS(Repayment_Ledger!$E$2:$E$801,Repayment_Ledger!$G$2:$G$801,$A12)</f>
        <v/>
      </c>
      <c r="D12" s="7" t="n"/>
      <c r="E12" s="7">
        <f>SUMIFS(Expense_Tracking!$F$2:$F$401,Expense_Tracking!$A$2:$A$401,$A12)</f>
        <v/>
      </c>
      <c r="F12" s="7" t="n"/>
      <c r="G12" s="7">
        <f>IF($A12="","", $B12+IF($C12="",0,$C12)+IF($D12="",0,$D12)-IF($E12="",0,$E12)-IF($F12="",0,$F12))</f>
        <v/>
      </c>
      <c r="H12" s="4" t="n"/>
      <c r="I12" s="4" t="n"/>
    </row>
    <row r="13">
      <c r="A13" s="5" t="n"/>
      <c r="B13" s="7" t="n"/>
      <c r="C13" s="7">
        <f>SUMIFS(Repayment_Ledger!$E$2:$E$801,Repayment_Ledger!$G$2:$G$801,$A13)</f>
        <v/>
      </c>
      <c r="D13" s="7" t="n"/>
      <c r="E13" s="7">
        <f>SUMIFS(Expense_Tracking!$F$2:$F$401,Expense_Tracking!$A$2:$A$401,$A13)</f>
        <v/>
      </c>
      <c r="F13" s="7" t="n"/>
      <c r="G13" s="7">
        <f>IF($A13="","", $B13+IF($C13="",0,$C13)+IF($D13="",0,$D13)-IF($E13="",0,$E13)-IF($F13="",0,$F13))</f>
        <v/>
      </c>
      <c r="H13" s="4" t="n"/>
      <c r="I13" s="4" t="n"/>
    </row>
    <row r="14">
      <c r="A14" s="5" t="n"/>
      <c r="B14" s="7" t="n"/>
      <c r="C14" s="7">
        <f>SUMIFS(Repayment_Ledger!$E$2:$E$801,Repayment_Ledger!$G$2:$G$801,$A14)</f>
        <v/>
      </c>
      <c r="D14" s="7" t="n"/>
      <c r="E14" s="7">
        <f>SUMIFS(Expense_Tracking!$F$2:$F$401,Expense_Tracking!$A$2:$A$401,$A14)</f>
        <v/>
      </c>
      <c r="F14" s="7" t="n"/>
      <c r="G14" s="7">
        <f>IF($A14="","", $B14+IF($C14="",0,$C14)+IF($D14="",0,$D14)-IF($E14="",0,$E14)-IF($F14="",0,$F14))</f>
        <v/>
      </c>
      <c r="H14" s="4" t="n"/>
      <c r="I14" s="4" t="n"/>
    </row>
    <row r="15">
      <c r="A15" s="5" t="n"/>
      <c r="B15" s="7" t="n"/>
      <c r="C15" s="7">
        <f>SUMIFS(Repayment_Ledger!$E$2:$E$801,Repayment_Ledger!$G$2:$G$801,$A15)</f>
        <v/>
      </c>
      <c r="D15" s="7" t="n"/>
      <c r="E15" s="7">
        <f>SUMIFS(Expense_Tracking!$F$2:$F$401,Expense_Tracking!$A$2:$A$401,$A15)</f>
        <v/>
      </c>
      <c r="F15" s="7" t="n"/>
      <c r="G15" s="7">
        <f>IF($A15="","", $B15+IF($C15="",0,$C15)+IF($D15="",0,$D15)-IF($E15="",0,$E15)-IF($F15="",0,$F15))</f>
        <v/>
      </c>
      <c r="H15" s="4" t="n"/>
      <c r="I15" s="4" t="n"/>
    </row>
    <row r="16">
      <c r="A16" s="5" t="n"/>
      <c r="B16" s="7" t="n"/>
      <c r="C16" s="7">
        <f>SUMIFS(Repayment_Ledger!$E$2:$E$801,Repayment_Ledger!$G$2:$G$801,$A16)</f>
        <v/>
      </c>
      <c r="D16" s="7" t="n"/>
      <c r="E16" s="7">
        <f>SUMIFS(Expense_Tracking!$F$2:$F$401,Expense_Tracking!$A$2:$A$401,$A16)</f>
        <v/>
      </c>
      <c r="F16" s="7" t="n"/>
      <c r="G16" s="7">
        <f>IF($A16="","", $B16+IF($C16="",0,$C16)+IF($D16="",0,$D16)-IF($E16="",0,$E16)-IF($F16="",0,$F16))</f>
        <v/>
      </c>
      <c r="H16" s="4" t="n"/>
      <c r="I16" s="4" t="n"/>
    </row>
    <row r="17">
      <c r="A17" s="5" t="n"/>
      <c r="B17" s="7" t="n"/>
      <c r="C17" s="7">
        <f>SUMIFS(Repayment_Ledger!$E$2:$E$801,Repayment_Ledger!$G$2:$G$801,$A17)</f>
        <v/>
      </c>
      <c r="D17" s="7" t="n"/>
      <c r="E17" s="7">
        <f>SUMIFS(Expense_Tracking!$F$2:$F$401,Expense_Tracking!$A$2:$A$401,$A17)</f>
        <v/>
      </c>
      <c r="F17" s="7" t="n"/>
      <c r="G17" s="7">
        <f>IF($A17="","", $B17+IF($C17="",0,$C17)+IF($D17="",0,$D17)-IF($E17="",0,$E17)-IF($F17="",0,$F17))</f>
        <v/>
      </c>
      <c r="H17" s="4" t="n"/>
      <c r="I17" s="4" t="n"/>
    </row>
    <row r="18">
      <c r="A18" s="5" t="n"/>
      <c r="B18" s="7" t="n"/>
      <c r="C18" s="7">
        <f>SUMIFS(Repayment_Ledger!$E$2:$E$801,Repayment_Ledger!$G$2:$G$801,$A18)</f>
        <v/>
      </c>
      <c r="D18" s="7" t="n"/>
      <c r="E18" s="7">
        <f>SUMIFS(Expense_Tracking!$F$2:$F$401,Expense_Tracking!$A$2:$A$401,$A18)</f>
        <v/>
      </c>
      <c r="F18" s="7" t="n"/>
      <c r="G18" s="7">
        <f>IF($A18="","", $B18+IF($C18="",0,$C18)+IF($D18="",0,$D18)-IF($E18="",0,$E18)-IF($F18="",0,$F18))</f>
        <v/>
      </c>
      <c r="H18" s="4" t="n"/>
      <c r="I18" s="4" t="n"/>
    </row>
    <row r="19">
      <c r="A19" s="5" t="n"/>
      <c r="B19" s="7" t="n"/>
      <c r="C19" s="7">
        <f>SUMIFS(Repayment_Ledger!$E$2:$E$801,Repayment_Ledger!$G$2:$G$801,$A19)</f>
        <v/>
      </c>
      <c r="D19" s="7" t="n"/>
      <c r="E19" s="7">
        <f>SUMIFS(Expense_Tracking!$F$2:$F$401,Expense_Tracking!$A$2:$A$401,$A19)</f>
        <v/>
      </c>
      <c r="F19" s="7" t="n"/>
      <c r="G19" s="7">
        <f>IF($A19="","", $B19+IF($C19="",0,$C19)+IF($D19="",0,$D19)-IF($E19="",0,$E19)-IF($F19="",0,$F19))</f>
        <v/>
      </c>
      <c r="H19" s="4" t="n"/>
      <c r="I19" s="4" t="n"/>
    </row>
    <row r="20">
      <c r="A20" s="5" t="n"/>
      <c r="B20" s="7" t="n"/>
      <c r="C20" s="7">
        <f>SUMIFS(Repayment_Ledger!$E$2:$E$801,Repayment_Ledger!$G$2:$G$801,$A20)</f>
        <v/>
      </c>
      <c r="D20" s="7" t="n"/>
      <c r="E20" s="7">
        <f>SUMIFS(Expense_Tracking!$F$2:$F$401,Expense_Tracking!$A$2:$A$401,$A20)</f>
        <v/>
      </c>
      <c r="F20" s="7" t="n"/>
      <c r="G20" s="7">
        <f>IF($A20="","", $B20+IF($C20="",0,$C20)+IF($D20="",0,$D20)-IF($E20="",0,$E20)-IF($F20="",0,$F20))</f>
        <v/>
      </c>
      <c r="H20" s="4" t="n"/>
      <c r="I20" s="4" t="n"/>
    </row>
    <row r="21">
      <c r="A21" s="5" t="n"/>
      <c r="B21" s="7" t="n"/>
      <c r="C21" s="7">
        <f>SUMIFS(Repayment_Ledger!$E$2:$E$801,Repayment_Ledger!$G$2:$G$801,$A21)</f>
        <v/>
      </c>
      <c r="D21" s="7" t="n"/>
      <c r="E21" s="7">
        <f>SUMIFS(Expense_Tracking!$F$2:$F$401,Expense_Tracking!$A$2:$A$401,$A21)</f>
        <v/>
      </c>
      <c r="F21" s="7" t="n"/>
      <c r="G21" s="7">
        <f>IF($A21="","", $B21+IF($C21="",0,$C21)+IF($D21="",0,$D21)-IF($E21="",0,$E21)-IF($F21="",0,$F21))</f>
        <v/>
      </c>
      <c r="H21" s="4" t="n"/>
      <c r="I21" s="4" t="n"/>
    </row>
    <row r="22">
      <c r="A22" s="5" t="n"/>
      <c r="B22" s="7" t="n"/>
      <c r="C22" s="7">
        <f>SUMIFS(Repayment_Ledger!$E$2:$E$801,Repayment_Ledger!$G$2:$G$801,$A22)</f>
        <v/>
      </c>
      <c r="D22" s="7" t="n"/>
      <c r="E22" s="7">
        <f>SUMIFS(Expense_Tracking!$F$2:$F$401,Expense_Tracking!$A$2:$A$401,$A22)</f>
        <v/>
      </c>
      <c r="F22" s="7" t="n"/>
      <c r="G22" s="7">
        <f>IF($A22="","", $B22+IF($C22="",0,$C22)+IF($D22="",0,$D22)-IF($E22="",0,$E22)-IF($F22="",0,$F22))</f>
        <v/>
      </c>
      <c r="H22" s="4" t="n"/>
      <c r="I22" s="4" t="n"/>
    </row>
    <row r="23">
      <c r="A23" s="5" t="n"/>
      <c r="B23" s="7" t="n"/>
      <c r="C23" s="7">
        <f>SUMIFS(Repayment_Ledger!$E$2:$E$801,Repayment_Ledger!$G$2:$G$801,$A23)</f>
        <v/>
      </c>
      <c r="D23" s="7" t="n"/>
      <c r="E23" s="7">
        <f>SUMIFS(Expense_Tracking!$F$2:$F$401,Expense_Tracking!$A$2:$A$401,$A23)</f>
        <v/>
      </c>
      <c r="F23" s="7" t="n"/>
      <c r="G23" s="7">
        <f>IF($A23="","", $B23+IF($C23="",0,$C23)+IF($D23="",0,$D23)-IF($E23="",0,$E23)-IF($F23="",0,$F23))</f>
        <v/>
      </c>
      <c r="H23" s="4" t="n"/>
      <c r="I23" s="4" t="n"/>
    </row>
    <row r="24">
      <c r="A24" s="5" t="n"/>
      <c r="B24" s="7" t="n"/>
      <c r="C24" s="7">
        <f>SUMIFS(Repayment_Ledger!$E$2:$E$801,Repayment_Ledger!$G$2:$G$801,$A24)</f>
        <v/>
      </c>
      <c r="D24" s="7" t="n"/>
      <c r="E24" s="7">
        <f>SUMIFS(Expense_Tracking!$F$2:$F$401,Expense_Tracking!$A$2:$A$401,$A24)</f>
        <v/>
      </c>
      <c r="F24" s="7" t="n"/>
      <c r="G24" s="7">
        <f>IF($A24="","", $B24+IF($C24="",0,$C24)+IF($D24="",0,$D24)-IF($E24="",0,$E24)-IF($F24="",0,$F24))</f>
        <v/>
      </c>
      <c r="H24" s="4" t="n"/>
      <c r="I24" s="4" t="n"/>
    </row>
    <row r="25">
      <c r="A25" s="5" t="n"/>
      <c r="B25" s="7" t="n"/>
      <c r="C25" s="7">
        <f>SUMIFS(Repayment_Ledger!$E$2:$E$801,Repayment_Ledger!$G$2:$G$801,$A25)</f>
        <v/>
      </c>
      <c r="D25" s="7" t="n"/>
      <c r="E25" s="7">
        <f>SUMIFS(Expense_Tracking!$F$2:$F$401,Expense_Tracking!$A$2:$A$401,$A25)</f>
        <v/>
      </c>
      <c r="F25" s="7" t="n"/>
      <c r="G25" s="7">
        <f>IF($A25="","", $B25+IF($C25="",0,$C25)+IF($D25="",0,$D25)-IF($E25="",0,$E25)-IF($F25="",0,$F25))</f>
        <v/>
      </c>
      <c r="H25" s="4" t="n"/>
      <c r="I25" s="4" t="n"/>
    </row>
    <row r="26">
      <c r="A26" s="5" t="n"/>
      <c r="B26" s="7" t="n"/>
      <c r="C26" s="7">
        <f>SUMIFS(Repayment_Ledger!$E$2:$E$801,Repayment_Ledger!$G$2:$G$801,$A26)</f>
        <v/>
      </c>
      <c r="D26" s="7" t="n"/>
      <c r="E26" s="7">
        <f>SUMIFS(Expense_Tracking!$F$2:$F$401,Expense_Tracking!$A$2:$A$401,$A26)</f>
        <v/>
      </c>
      <c r="F26" s="7" t="n"/>
      <c r="G26" s="7">
        <f>IF($A26="","", $B26+IF($C26="",0,$C26)+IF($D26="",0,$D26)-IF($E26="",0,$E26)-IF($F26="",0,$F26))</f>
        <v/>
      </c>
      <c r="H26" s="4" t="n"/>
      <c r="I26" s="4" t="n"/>
    </row>
    <row r="27">
      <c r="A27" s="5" t="n"/>
      <c r="B27" s="7" t="n"/>
      <c r="C27" s="7">
        <f>SUMIFS(Repayment_Ledger!$E$2:$E$801,Repayment_Ledger!$G$2:$G$801,$A27)</f>
        <v/>
      </c>
      <c r="D27" s="7" t="n"/>
      <c r="E27" s="7">
        <f>SUMIFS(Expense_Tracking!$F$2:$F$401,Expense_Tracking!$A$2:$A$401,$A27)</f>
        <v/>
      </c>
      <c r="F27" s="7" t="n"/>
      <c r="G27" s="7">
        <f>IF($A27="","", $B27+IF($C27="",0,$C27)+IF($D27="",0,$D27)-IF($E27="",0,$E27)-IF($F27="",0,$F27))</f>
        <v/>
      </c>
      <c r="H27" s="4" t="n"/>
      <c r="I27" s="4" t="n"/>
    </row>
    <row r="28">
      <c r="A28" s="5" t="n"/>
      <c r="B28" s="7" t="n"/>
      <c r="C28" s="7">
        <f>SUMIFS(Repayment_Ledger!$E$2:$E$801,Repayment_Ledger!$G$2:$G$801,$A28)</f>
        <v/>
      </c>
      <c r="D28" s="7" t="n"/>
      <c r="E28" s="7">
        <f>SUMIFS(Expense_Tracking!$F$2:$F$401,Expense_Tracking!$A$2:$A$401,$A28)</f>
        <v/>
      </c>
      <c r="F28" s="7" t="n"/>
      <c r="G28" s="7">
        <f>IF($A28="","", $B28+IF($C28="",0,$C28)+IF($D28="",0,$D28)-IF($E28="",0,$E28)-IF($F28="",0,$F28))</f>
        <v/>
      </c>
      <c r="H28" s="4" t="n"/>
      <c r="I28" s="4" t="n"/>
    </row>
    <row r="29">
      <c r="A29" s="5" t="n"/>
      <c r="B29" s="7" t="n"/>
      <c r="C29" s="7">
        <f>SUMIFS(Repayment_Ledger!$E$2:$E$801,Repayment_Ledger!$G$2:$G$801,$A29)</f>
        <v/>
      </c>
      <c r="D29" s="7" t="n"/>
      <c r="E29" s="7">
        <f>SUMIFS(Expense_Tracking!$F$2:$F$401,Expense_Tracking!$A$2:$A$401,$A29)</f>
        <v/>
      </c>
      <c r="F29" s="7" t="n"/>
      <c r="G29" s="7">
        <f>IF($A29="","", $B29+IF($C29="",0,$C29)+IF($D29="",0,$D29)-IF($E29="",0,$E29)-IF($F29="",0,$F29))</f>
        <v/>
      </c>
      <c r="H29" s="4" t="n"/>
      <c r="I29" s="4" t="n"/>
    </row>
    <row r="30">
      <c r="A30" s="5" t="n"/>
      <c r="B30" s="7" t="n"/>
      <c r="C30" s="7">
        <f>SUMIFS(Repayment_Ledger!$E$2:$E$801,Repayment_Ledger!$G$2:$G$801,$A30)</f>
        <v/>
      </c>
      <c r="D30" s="7" t="n"/>
      <c r="E30" s="7">
        <f>SUMIFS(Expense_Tracking!$F$2:$F$401,Expense_Tracking!$A$2:$A$401,$A30)</f>
        <v/>
      </c>
      <c r="F30" s="7" t="n"/>
      <c r="G30" s="7">
        <f>IF($A30="","", $B30+IF($C30="",0,$C30)+IF($D30="",0,$D30)-IF($E30="",0,$E30)-IF($F30="",0,$F30))</f>
        <v/>
      </c>
      <c r="H30" s="4" t="n"/>
      <c r="I30" s="4" t="n"/>
    </row>
    <row r="31">
      <c r="A31" s="5" t="n"/>
      <c r="B31" s="7" t="n"/>
      <c r="C31" s="7">
        <f>SUMIFS(Repayment_Ledger!$E$2:$E$801,Repayment_Ledger!$G$2:$G$801,$A31)</f>
        <v/>
      </c>
      <c r="D31" s="7" t="n"/>
      <c r="E31" s="7">
        <f>SUMIFS(Expense_Tracking!$F$2:$F$401,Expense_Tracking!$A$2:$A$401,$A31)</f>
        <v/>
      </c>
      <c r="F31" s="7" t="n"/>
      <c r="G31" s="7">
        <f>IF($A31="","", $B31+IF($C31="",0,$C31)+IF($D31="",0,$D31)-IF($E31="",0,$E31)-IF($F31="",0,$F31))</f>
        <v/>
      </c>
      <c r="H31" s="4" t="n"/>
      <c r="I31" s="4" t="n"/>
    </row>
    <row r="32">
      <c r="A32" s="5" t="n"/>
      <c r="B32" s="7" t="n"/>
      <c r="C32" s="7">
        <f>SUMIFS(Repayment_Ledger!$E$2:$E$801,Repayment_Ledger!$G$2:$G$801,$A32)</f>
        <v/>
      </c>
      <c r="D32" s="7" t="n"/>
      <c r="E32" s="7">
        <f>SUMIFS(Expense_Tracking!$F$2:$F$401,Expense_Tracking!$A$2:$A$401,$A32)</f>
        <v/>
      </c>
      <c r="F32" s="7" t="n"/>
      <c r="G32" s="7">
        <f>IF($A32="","", $B32+IF($C32="",0,$C32)+IF($D32="",0,$D32)-IF($E32="",0,$E32)-IF($F32="",0,$F32))</f>
        <v/>
      </c>
      <c r="H32" s="4" t="n"/>
      <c r="I32" s="4" t="n"/>
    </row>
    <row r="33">
      <c r="A33" s="5" t="n"/>
      <c r="B33" s="7" t="n"/>
      <c r="C33" s="7">
        <f>SUMIFS(Repayment_Ledger!$E$2:$E$801,Repayment_Ledger!$G$2:$G$801,$A33)</f>
        <v/>
      </c>
      <c r="D33" s="7" t="n"/>
      <c r="E33" s="7">
        <f>SUMIFS(Expense_Tracking!$F$2:$F$401,Expense_Tracking!$A$2:$A$401,$A33)</f>
        <v/>
      </c>
      <c r="F33" s="7" t="n"/>
      <c r="G33" s="7">
        <f>IF($A33="","", $B33+IF($C33="",0,$C33)+IF($D33="",0,$D33)-IF($E33="",0,$E33)-IF($F33="",0,$F33))</f>
        <v/>
      </c>
      <c r="H33" s="4" t="n"/>
      <c r="I33" s="4" t="n"/>
    </row>
    <row r="34">
      <c r="A34" s="5" t="n"/>
      <c r="B34" s="7" t="n"/>
      <c r="C34" s="7">
        <f>SUMIFS(Repayment_Ledger!$E$2:$E$801,Repayment_Ledger!$G$2:$G$801,$A34)</f>
        <v/>
      </c>
      <c r="D34" s="7" t="n"/>
      <c r="E34" s="7">
        <f>SUMIFS(Expense_Tracking!$F$2:$F$401,Expense_Tracking!$A$2:$A$401,$A34)</f>
        <v/>
      </c>
      <c r="F34" s="7" t="n"/>
      <c r="G34" s="7">
        <f>IF($A34="","", $B34+IF($C34="",0,$C34)+IF($D34="",0,$D34)-IF($E34="",0,$E34)-IF($F34="",0,$F34))</f>
        <v/>
      </c>
      <c r="H34" s="4" t="n"/>
      <c r="I34" s="4" t="n"/>
    </row>
    <row r="35">
      <c r="A35" s="5" t="n"/>
      <c r="B35" s="7" t="n"/>
      <c r="C35" s="7">
        <f>SUMIFS(Repayment_Ledger!$E$2:$E$801,Repayment_Ledger!$G$2:$G$801,$A35)</f>
        <v/>
      </c>
      <c r="D35" s="7" t="n"/>
      <c r="E35" s="7">
        <f>SUMIFS(Expense_Tracking!$F$2:$F$401,Expense_Tracking!$A$2:$A$401,$A35)</f>
        <v/>
      </c>
      <c r="F35" s="7" t="n"/>
      <c r="G35" s="7">
        <f>IF($A35="","", $B35+IF($C35="",0,$C35)+IF($D35="",0,$D35)-IF($E35="",0,$E35)-IF($F35="",0,$F35))</f>
        <v/>
      </c>
      <c r="H35" s="4" t="n"/>
      <c r="I35" s="4" t="n"/>
    </row>
    <row r="36">
      <c r="A36" s="5" t="n"/>
      <c r="B36" s="7" t="n"/>
      <c r="C36" s="7">
        <f>SUMIFS(Repayment_Ledger!$E$2:$E$801,Repayment_Ledger!$G$2:$G$801,$A36)</f>
        <v/>
      </c>
      <c r="D36" s="7" t="n"/>
      <c r="E36" s="7">
        <f>SUMIFS(Expense_Tracking!$F$2:$F$401,Expense_Tracking!$A$2:$A$401,$A36)</f>
        <v/>
      </c>
      <c r="F36" s="7" t="n"/>
      <c r="G36" s="7">
        <f>IF($A36="","", $B36+IF($C36="",0,$C36)+IF($D36="",0,$D36)-IF($E36="",0,$E36)-IF($F36="",0,$F36))</f>
        <v/>
      </c>
      <c r="H36" s="4" t="n"/>
      <c r="I36" s="4" t="n"/>
    </row>
    <row r="37">
      <c r="A37" s="5" t="n"/>
      <c r="B37" s="7" t="n"/>
      <c r="C37" s="7">
        <f>SUMIFS(Repayment_Ledger!$E$2:$E$801,Repayment_Ledger!$G$2:$G$801,$A37)</f>
        <v/>
      </c>
      <c r="D37" s="7" t="n"/>
      <c r="E37" s="7">
        <f>SUMIFS(Expense_Tracking!$F$2:$F$401,Expense_Tracking!$A$2:$A$401,$A37)</f>
        <v/>
      </c>
      <c r="F37" s="7" t="n"/>
      <c r="G37" s="7">
        <f>IF($A37="","", $B37+IF($C37="",0,$C37)+IF($D37="",0,$D37)-IF($E37="",0,$E37)-IF($F37="",0,$F37))</f>
        <v/>
      </c>
      <c r="H37" s="4" t="n"/>
      <c r="I37" s="4" t="n"/>
    </row>
    <row r="38">
      <c r="A38" s="5" t="n"/>
      <c r="B38" s="7" t="n"/>
      <c r="C38" s="7">
        <f>SUMIFS(Repayment_Ledger!$E$2:$E$801,Repayment_Ledger!$G$2:$G$801,$A38)</f>
        <v/>
      </c>
      <c r="D38" s="7" t="n"/>
      <c r="E38" s="7">
        <f>SUMIFS(Expense_Tracking!$F$2:$F$401,Expense_Tracking!$A$2:$A$401,$A38)</f>
        <v/>
      </c>
      <c r="F38" s="7" t="n"/>
      <c r="G38" s="7">
        <f>IF($A38="","", $B38+IF($C38="",0,$C38)+IF($D38="",0,$D38)-IF($E38="",0,$E38)-IF($F38="",0,$F38))</f>
        <v/>
      </c>
      <c r="H38" s="4" t="n"/>
      <c r="I38" s="4" t="n"/>
    </row>
    <row r="39">
      <c r="A39" s="5" t="n"/>
      <c r="B39" s="7" t="n"/>
      <c r="C39" s="7">
        <f>SUMIFS(Repayment_Ledger!$E$2:$E$801,Repayment_Ledger!$G$2:$G$801,$A39)</f>
        <v/>
      </c>
      <c r="D39" s="7" t="n"/>
      <c r="E39" s="7">
        <f>SUMIFS(Expense_Tracking!$F$2:$F$401,Expense_Tracking!$A$2:$A$401,$A39)</f>
        <v/>
      </c>
      <c r="F39" s="7" t="n"/>
      <c r="G39" s="7">
        <f>IF($A39="","", $B39+IF($C39="",0,$C39)+IF($D39="",0,$D39)-IF($E39="",0,$E39)-IF($F39="",0,$F39))</f>
        <v/>
      </c>
      <c r="H39" s="4" t="n"/>
      <c r="I39" s="4" t="n"/>
    </row>
    <row r="40">
      <c r="A40" s="5" t="n"/>
      <c r="B40" s="7" t="n"/>
      <c r="C40" s="7">
        <f>SUMIFS(Repayment_Ledger!$E$2:$E$801,Repayment_Ledger!$G$2:$G$801,$A40)</f>
        <v/>
      </c>
      <c r="D40" s="7" t="n"/>
      <c r="E40" s="7">
        <f>SUMIFS(Expense_Tracking!$F$2:$F$401,Expense_Tracking!$A$2:$A$401,$A40)</f>
        <v/>
      </c>
      <c r="F40" s="7" t="n"/>
      <c r="G40" s="7">
        <f>IF($A40="","", $B40+IF($C40="",0,$C40)+IF($D40="",0,$D40)-IF($E40="",0,$E40)-IF($F40="",0,$F40))</f>
        <v/>
      </c>
      <c r="H40" s="4" t="n"/>
      <c r="I40" s="4" t="n"/>
    </row>
    <row r="41">
      <c r="A41" s="5" t="n"/>
      <c r="B41" s="7" t="n"/>
      <c r="C41" s="7">
        <f>SUMIFS(Repayment_Ledger!$E$2:$E$801,Repayment_Ledger!$G$2:$G$801,$A41)</f>
        <v/>
      </c>
      <c r="D41" s="7" t="n"/>
      <c r="E41" s="7">
        <f>SUMIFS(Expense_Tracking!$F$2:$F$401,Expense_Tracking!$A$2:$A$401,$A41)</f>
        <v/>
      </c>
      <c r="F41" s="7" t="n"/>
      <c r="G41" s="7">
        <f>IF($A41="","", $B41+IF($C41="",0,$C41)+IF($D41="",0,$D41)-IF($E41="",0,$E41)-IF($F41="",0,$F41))</f>
        <v/>
      </c>
      <c r="H41" s="4" t="n"/>
      <c r="I41" s="4" t="n"/>
    </row>
    <row r="42">
      <c r="A42" s="5" t="n"/>
      <c r="B42" s="7" t="n"/>
      <c r="C42" s="7">
        <f>SUMIFS(Repayment_Ledger!$E$2:$E$801,Repayment_Ledger!$G$2:$G$801,$A42)</f>
        <v/>
      </c>
      <c r="D42" s="7" t="n"/>
      <c r="E42" s="7">
        <f>SUMIFS(Expense_Tracking!$F$2:$F$401,Expense_Tracking!$A$2:$A$401,$A42)</f>
        <v/>
      </c>
      <c r="F42" s="7" t="n"/>
      <c r="G42" s="7">
        <f>IF($A42="","", $B42+IF($C42="",0,$C42)+IF($D42="",0,$D42)-IF($E42="",0,$E42)-IF($F42="",0,$F42))</f>
        <v/>
      </c>
      <c r="H42" s="4" t="n"/>
      <c r="I42" s="4" t="n"/>
    </row>
    <row r="43">
      <c r="A43" s="5" t="n"/>
      <c r="B43" s="7" t="n"/>
      <c r="C43" s="7">
        <f>SUMIFS(Repayment_Ledger!$E$2:$E$801,Repayment_Ledger!$G$2:$G$801,$A43)</f>
        <v/>
      </c>
      <c r="D43" s="7" t="n"/>
      <c r="E43" s="7">
        <f>SUMIFS(Expense_Tracking!$F$2:$F$401,Expense_Tracking!$A$2:$A$401,$A43)</f>
        <v/>
      </c>
      <c r="F43" s="7" t="n"/>
      <c r="G43" s="7">
        <f>IF($A43="","", $B43+IF($C43="",0,$C43)+IF($D43="",0,$D43)-IF($E43="",0,$E43)-IF($F43="",0,$F43))</f>
        <v/>
      </c>
      <c r="H43" s="4" t="n"/>
      <c r="I43" s="4" t="n"/>
    </row>
    <row r="44">
      <c r="A44" s="5" t="n"/>
      <c r="B44" s="7" t="n"/>
      <c r="C44" s="7">
        <f>SUMIFS(Repayment_Ledger!$E$2:$E$801,Repayment_Ledger!$G$2:$G$801,$A44)</f>
        <v/>
      </c>
      <c r="D44" s="7" t="n"/>
      <c r="E44" s="7">
        <f>SUMIFS(Expense_Tracking!$F$2:$F$401,Expense_Tracking!$A$2:$A$401,$A44)</f>
        <v/>
      </c>
      <c r="F44" s="7" t="n"/>
      <c r="G44" s="7">
        <f>IF($A44="","", $B44+IF($C44="",0,$C44)+IF($D44="",0,$D44)-IF($E44="",0,$E44)-IF($F44="",0,$F44))</f>
        <v/>
      </c>
      <c r="H44" s="4" t="n"/>
      <c r="I44" s="4" t="n"/>
    </row>
    <row r="45">
      <c r="A45" s="5" t="n"/>
      <c r="B45" s="7" t="n"/>
      <c r="C45" s="7">
        <f>SUMIFS(Repayment_Ledger!$E$2:$E$801,Repayment_Ledger!$G$2:$G$801,$A45)</f>
        <v/>
      </c>
      <c r="D45" s="7" t="n"/>
      <c r="E45" s="7">
        <f>SUMIFS(Expense_Tracking!$F$2:$F$401,Expense_Tracking!$A$2:$A$401,$A45)</f>
        <v/>
      </c>
      <c r="F45" s="7" t="n"/>
      <c r="G45" s="7">
        <f>IF($A45="","", $B45+IF($C45="",0,$C45)+IF($D45="",0,$D45)-IF($E45="",0,$E45)-IF($F45="",0,$F45))</f>
        <v/>
      </c>
      <c r="H45" s="4" t="n"/>
      <c r="I45" s="4" t="n"/>
    </row>
    <row r="46">
      <c r="A46" s="5" t="n"/>
      <c r="B46" s="7" t="n"/>
      <c r="C46" s="7">
        <f>SUMIFS(Repayment_Ledger!$E$2:$E$801,Repayment_Ledger!$G$2:$G$801,$A46)</f>
        <v/>
      </c>
      <c r="D46" s="7" t="n"/>
      <c r="E46" s="7">
        <f>SUMIFS(Expense_Tracking!$F$2:$F$401,Expense_Tracking!$A$2:$A$401,$A46)</f>
        <v/>
      </c>
      <c r="F46" s="7" t="n"/>
      <c r="G46" s="7">
        <f>IF($A46="","", $B46+IF($C46="",0,$C46)+IF($D46="",0,$D46)-IF($E46="",0,$E46)-IF($F46="",0,$F46))</f>
        <v/>
      </c>
      <c r="H46" s="4" t="n"/>
      <c r="I46" s="4" t="n"/>
    </row>
    <row r="47">
      <c r="A47" s="5" t="n"/>
      <c r="B47" s="7" t="n"/>
      <c r="C47" s="7">
        <f>SUMIFS(Repayment_Ledger!$E$2:$E$801,Repayment_Ledger!$G$2:$G$801,$A47)</f>
        <v/>
      </c>
      <c r="D47" s="7" t="n"/>
      <c r="E47" s="7">
        <f>SUMIFS(Expense_Tracking!$F$2:$F$401,Expense_Tracking!$A$2:$A$401,$A47)</f>
        <v/>
      </c>
      <c r="F47" s="7" t="n"/>
      <c r="G47" s="7">
        <f>IF($A47="","", $B47+IF($C47="",0,$C47)+IF($D47="",0,$D47)-IF($E47="",0,$E47)-IF($F47="",0,$F47))</f>
        <v/>
      </c>
      <c r="H47" s="4" t="n"/>
      <c r="I47" s="4" t="n"/>
    </row>
    <row r="48">
      <c r="A48" s="5" t="n"/>
      <c r="B48" s="7" t="n"/>
      <c r="C48" s="7">
        <f>SUMIFS(Repayment_Ledger!$E$2:$E$801,Repayment_Ledger!$G$2:$G$801,$A48)</f>
        <v/>
      </c>
      <c r="D48" s="7" t="n"/>
      <c r="E48" s="7">
        <f>SUMIFS(Expense_Tracking!$F$2:$F$401,Expense_Tracking!$A$2:$A$401,$A48)</f>
        <v/>
      </c>
      <c r="F48" s="7" t="n"/>
      <c r="G48" s="7">
        <f>IF($A48="","", $B48+IF($C48="",0,$C48)+IF($D48="",0,$D48)-IF($E48="",0,$E48)-IF($F48="",0,$F48))</f>
        <v/>
      </c>
      <c r="H48" s="4" t="n"/>
      <c r="I48" s="4" t="n"/>
    </row>
    <row r="49">
      <c r="A49" s="5" t="n"/>
      <c r="B49" s="7" t="n"/>
      <c r="C49" s="7">
        <f>SUMIFS(Repayment_Ledger!$E$2:$E$801,Repayment_Ledger!$G$2:$G$801,$A49)</f>
        <v/>
      </c>
      <c r="D49" s="7" t="n"/>
      <c r="E49" s="7">
        <f>SUMIFS(Expense_Tracking!$F$2:$F$401,Expense_Tracking!$A$2:$A$401,$A49)</f>
        <v/>
      </c>
      <c r="F49" s="7" t="n"/>
      <c r="G49" s="7">
        <f>IF($A49="","", $B49+IF($C49="",0,$C49)+IF($D49="",0,$D49)-IF($E49="",0,$E49)-IF($F49="",0,$F49))</f>
        <v/>
      </c>
      <c r="H49" s="4" t="n"/>
      <c r="I49" s="4" t="n"/>
    </row>
    <row r="50">
      <c r="A50" s="5" t="n"/>
      <c r="B50" s="7" t="n"/>
      <c r="C50" s="7">
        <f>SUMIFS(Repayment_Ledger!$E$2:$E$801,Repayment_Ledger!$G$2:$G$801,$A50)</f>
        <v/>
      </c>
      <c r="D50" s="7" t="n"/>
      <c r="E50" s="7">
        <f>SUMIFS(Expense_Tracking!$F$2:$F$401,Expense_Tracking!$A$2:$A$401,$A50)</f>
        <v/>
      </c>
      <c r="F50" s="7" t="n"/>
      <c r="G50" s="7">
        <f>IF($A50="","", $B50+IF($C50="",0,$C50)+IF($D50="",0,$D50)-IF($E50="",0,$E50)-IF($F50="",0,$F50))</f>
        <v/>
      </c>
      <c r="H50" s="4" t="n"/>
      <c r="I50" s="4" t="n"/>
    </row>
    <row r="51">
      <c r="A51" s="5" t="n"/>
      <c r="B51" s="7" t="n"/>
      <c r="C51" s="7">
        <f>SUMIFS(Repayment_Ledger!$E$2:$E$801,Repayment_Ledger!$G$2:$G$801,$A51)</f>
        <v/>
      </c>
      <c r="D51" s="7" t="n"/>
      <c r="E51" s="7">
        <f>SUMIFS(Expense_Tracking!$F$2:$F$401,Expense_Tracking!$A$2:$A$401,$A51)</f>
        <v/>
      </c>
      <c r="F51" s="7" t="n"/>
      <c r="G51" s="7">
        <f>IF($A51="","", $B51+IF($C51="",0,$C51)+IF($D51="",0,$D51)-IF($E51="",0,$E51)-IF($F51="",0,$F51))</f>
        <v/>
      </c>
      <c r="H51" s="4" t="n"/>
      <c r="I51" s="4" t="n"/>
    </row>
    <row r="52">
      <c r="A52" s="5" t="n"/>
      <c r="B52" s="7" t="n"/>
      <c r="C52" s="7">
        <f>SUMIFS(Repayment_Ledger!$E$2:$E$801,Repayment_Ledger!$G$2:$G$801,$A52)</f>
        <v/>
      </c>
      <c r="D52" s="7" t="n"/>
      <c r="E52" s="7">
        <f>SUMIFS(Expense_Tracking!$F$2:$F$401,Expense_Tracking!$A$2:$A$401,$A52)</f>
        <v/>
      </c>
      <c r="F52" s="7" t="n"/>
      <c r="G52" s="7">
        <f>IF($A52="","", $B52+IF($C52="",0,$C52)+IF($D52="",0,$D52)-IF($E52="",0,$E52)-IF($F52="",0,$F52))</f>
        <v/>
      </c>
      <c r="H52" s="4" t="n"/>
      <c r="I52" s="4" t="n"/>
    </row>
    <row r="53">
      <c r="A53" s="5" t="n"/>
      <c r="B53" s="7" t="n"/>
      <c r="C53" s="7">
        <f>SUMIFS(Repayment_Ledger!$E$2:$E$801,Repayment_Ledger!$G$2:$G$801,$A53)</f>
        <v/>
      </c>
      <c r="D53" s="7" t="n"/>
      <c r="E53" s="7">
        <f>SUMIFS(Expense_Tracking!$F$2:$F$401,Expense_Tracking!$A$2:$A$401,$A53)</f>
        <v/>
      </c>
      <c r="F53" s="7" t="n"/>
      <c r="G53" s="7">
        <f>IF($A53="","", $B53+IF($C53="",0,$C53)+IF($D53="",0,$D53)-IF($E53="",0,$E53)-IF($F53="",0,$F53))</f>
        <v/>
      </c>
      <c r="H53" s="4" t="n"/>
      <c r="I53" s="4" t="n"/>
    </row>
    <row r="54">
      <c r="A54" s="5" t="n"/>
      <c r="B54" s="7" t="n"/>
      <c r="C54" s="7">
        <f>SUMIFS(Repayment_Ledger!$E$2:$E$801,Repayment_Ledger!$G$2:$G$801,$A54)</f>
        <v/>
      </c>
      <c r="D54" s="7" t="n"/>
      <c r="E54" s="7">
        <f>SUMIFS(Expense_Tracking!$F$2:$F$401,Expense_Tracking!$A$2:$A$401,$A54)</f>
        <v/>
      </c>
      <c r="F54" s="7" t="n"/>
      <c r="G54" s="7">
        <f>IF($A54="","", $B54+IF($C54="",0,$C54)+IF($D54="",0,$D54)-IF($E54="",0,$E54)-IF($F54="",0,$F54))</f>
        <v/>
      </c>
      <c r="H54" s="4" t="n"/>
      <c r="I54" s="4" t="n"/>
    </row>
    <row r="55">
      <c r="A55" s="5" t="n"/>
      <c r="B55" s="7" t="n"/>
      <c r="C55" s="7">
        <f>SUMIFS(Repayment_Ledger!$E$2:$E$801,Repayment_Ledger!$G$2:$G$801,$A55)</f>
        <v/>
      </c>
      <c r="D55" s="7" t="n"/>
      <c r="E55" s="7">
        <f>SUMIFS(Expense_Tracking!$F$2:$F$401,Expense_Tracking!$A$2:$A$401,$A55)</f>
        <v/>
      </c>
      <c r="F55" s="7" t="n"/>
      <c r="G55" s="7">
        <f>IF($A55="","", $B55+IF($C55="",0,$C55)+IF($D55="",0,$D55)-IF($E55="",0,$E55)-IF($F55="",0,$F55))</f>
        <v/>
      </c>
      <c r="H55" s="4" t="n"/>
      <c r="I55" s="4" t="n"/>
    </row>
    <row r="56">
      <c r="A56" s="5" t="n"/>
      <c r="B56" s="7" t="n"/>
      <c r="C56" s="7">
        <f>SUMIFS(Repayment_Ledger!$E$2:$E$801,Repayment_Ledger!$G$2:$G$801,$A56)</f>
        <v/>
      </c>
      <c r="D56" s="7" t="n"/>
      <c r="E56" s="7">
        <f>SUMIFS(Expense_Tracking!$F$2:$F$401,Expense_Tracking!$A$2:$A$401,$A56)</f>
        <v/>
      </c>
      <c r="F56" s="7" t="n"/>
      <c r="G56" s="7">
        <f>IF($A56="","", $B56+IF($C56="",0,$C56)+IF($D56="",0,$D56)-IF($E56="",0,$E56)-IF($F56="",0,$F56))</f>
        <v/>
      </c>
      <c r="H56" s="4" t="n"/>
      <c r="I56" s="4" t="n"/>
    </row>
    <row r="57">
      <c r="A57" s="5" t="n"/>
      <c r="B57" s="7" t="n"/>
      <c r="C57" s="7">
        <f>SUMIFS(Repayment_Ledger!$E$2:$E$801,Repayment_Ledger!$G$2:$G$801,$A57)</f>
        <v/>
      </c>
      <c r="D57" s="7" t="n"/>
      <c r="E57" s="7">
        <f>SUMIFS(Expense_Tracking!$F$2:$F$401,Expense_Tracking!$A$2:$A$401,$A57)</f>
        <v/>
      </c>
      <c r="F57" s="7" t="n"/>
      <c r="G57" s="7">
        <f>IF($A57="","", $B57+IF($C57="",0,$C57)+IF($D57="",0,$D57)-IF($E57="",0,$E57)-IF($F57="",0,$F57))</f>
        <v/>
      </c>
      <c r="H57" s="4" t="n"/>
      <c r="I57" s="4" t="n"/>
    </row>
    <row r="58">
      <c r="A58" s="5" t="n"/>
      <c r="B58" s="7" t="n"/>
      <c r="C58" s="7">
        <f>SUMIFS(Repayment_Ledger!$E$2:$E$801,Repayment_Ledger!$G$2:$G$801,$A58)</f>
        <v/>
      </c>
      <c r="D58" s="7" t="n"/>
      <c r="E58" s="7">
        <f>SUMIFS(Expense_Tracking!$F$2:$F$401,Expense_Tracking!$A$2:$A$401,$A58)</f>
        <v/>
      </c>
      <c r="F58" s="7" t="n"/>
      <c r="G58" s="7">
        <f>IF($A58="","", $B58+IF($C58="",0,$C58)+IF($D58="",0,$D58)-IF($E58="",0,$E58)-IF($F58="",0,$F58))</f>
        <v/>
      </c>
      <c r="H58" s="4" t="n"/>
      <c r="I58" s="4" t="n"/>
    </row>
    <row r="59">
      <c r="A59" s="5" t="n"/>
      <c r="B59" s="7" t="n"/>
      <c r="C59" s="7">
        <f>SUMIFS(Repayment_Ledger!$E$2:$E$801,Repayment_Ledger!$G$2:$G$801,$A59)</f>
        <v/>
      </c>
      <c r="D59" s="7" t="n"/>
      <c r="E59" s="7">
        <f>SUMIFS(Expense_Tracking!$F$2:$F$401,Expense_Tracking!$A$2:$A$401,$A59)</f>
        <v/>
      </c>
      <c r="F59" s="7" t="n"/>
      <c r="G59" s="7">
        <f>IF($A59="","", $B59+IF($C59="",0,$C59)+IF($D59="",0,$D59)-IF($E59="",0,$E59)-IF($F59="",0,$F59))</f>
        <v/>
      </c>
      <c r="H59" s="4" t="n"/>
      <c r="I59" s="4" t="n"/>
    </row>
    <row r="60">
      <c r="A60" s="5" t="n"/>
      <c r="B60" s="7" t="n"/>
      <c r="C60" s="7">
        <f>SUMIFS(Repayment_Ledger!$E$2:$E$801,Repayment_Ledger!$G$2:$G$801,$A60)</f>
        <v/>
      </c>
      <c r="D60" s="7" t="n"/>
      <c r="E60" s="7">
        <f>SUMIFS(Expense_Tracking!$F$2:$F$401,Expense_Tracking!$A$2:$A$401,$A60)</f>
        <v/>
      </c>
      <c r="F60" s="7" t="n"/>
      <c r="G60" s="7">
        <f>IF($A60="","", $B60+IF($C60="",0,$C60)+IF($D60="",0,$D60)-IF($E60="",0,$E60)-IF($F60="",0,$F60))</f>
        <v/>
      </c>
      <c r="H60" s="4" t="n"/>
      <c r="I60" s="4" t="n"/>
    </row>
    <row r="61">
      <c r="A61" s="5" t="n"/>
      <c r="B61" s="7" t="n"/>
      <c r="C61" s="7">
        <f>SUMIFS(Repayment_Ledger!$E$2:$E$801,Repayment_Ledger!$G$2:$G$801,$A61)</f>
        <v/>
      </c>
      <c r="D61" s="7" t="n"/>
      <c r="E61" s="7">
        <f>SUMIFS(Expense_Tracking!$F$2:$F$401,Expense_Tracking!$A$2:$A$401,$A61)</f>
        <v/>
      </c>
      <c r="F61" s="7" t="n"/>
      <c r="G61" s="7">
        <f>IF($A61="","", $B61+IF($C61="",0,$C61)+IF($D61="",0,$D61)-IF($E61="",0,$E61)-IF($F61="",0,$F61))</f>
        <v/>
      </c>
      <c r="H61" s="4" t="n"/>
      <c r="I61" s="4" t="n"/>
    </row>
    <row r="62">
      <c r="A62" s="5" t="n"/>
      <c r="B62" s="7" t="n"/>
      <c r="C62" s="7">
        <f>SUMIFS(Repayment_Ledger!$E$2:$E$801,Repayment_Ledger!$G$2:$G$801,$A62)</f>
        <v/>
      </c>
      <c r="D62" s="7" t="n"/>
      <c r="E62" s="7">
        <f>SUMIFS(Expense_Tracking!$F$2:$F$401,Expense_Tracking!$A$2:$A$401,$A62)</f>
        <v/>
      </c>
      <c r="F62" s="7" t="n"/>
      <c r="G62" s="7">
        <f>IF($A62="","", $B62+IF($C62="",0,$C62)+IF($D62="",0,$D62)-IF($E62="",0,$E62)-IF($F62="",0,$F62))</f>
        <v/>
      </c>
      <c r="H62" s="4" t="n"/>
      <c r="I62" s="4" t="n"/>
    </row>
    <row r="63">
      <c r="A63" s="5" t="n"/>
      <c r="B63" s="7" t="n"/>
      <c r="C63" s="7">
        <f>SUMIFS(Repayment_Ledger!$E$2:$E$801,Repayment_Ledger!$G$2:$G$801,$A63)</f>
        <v/>
      </c>
      <c r="D63" s="7" t="n"/>
      <c r="E63" s="7">
        <f>SUMIFS(Expense_Tracking!$F$2:$F$401,Expense_Tracking!$A$2:$A$401,$A63)</f>
        <v/>
      </c>
      <c r="F63" s="7" t="n"/>
      <c r="G63" s="7">
        <f>IF($A63="","", $B63+IF($C63="",0,$C63)+IF($D63="",0,$D63)-IF($E63="",0,$E63)-IF($F63="",0,$F63))</f>
        <v/>
      </c>
      <c r="H63" s="4" t="n"/>
      <c r="I63" s="4" t="n"/>
    </row>
    <row r="64">
      <c r="A64" s="5" t="n"/>
      <c r="B64" s="7" t="n"/>
      <c r="C64" s="7">
        <f>SUMIFS(Repayment_Ledger!$E$2:$E$801,Repayment_Ledger!$G$2:$G$801,$A64)</f>
        <v/>
      </c>
      <c r="D64" s="7" t="n"/>
      <c r="E64" s="7">
        <f>SUMIFS(Expense_Tracking!$F$2:$F$401,Expense_Tracking!$A$2:$A$401,$A64)</f>
        <v/>
      </c>
      <c r="F64" s="7" t="n"/>
      <c r="G64" s="7">
        <f>IF($A64="","", $B64+IF($C64="",0,$C64)+IF($D64="",0,$D64)-IF($E64="",0,$E64)-IF($F64="",0,$F64))</f>
        <v/>
      </c>
      <c r="H64" s="4" t="n"/>
      <c r="I64" s="4" t="n"/>
    </row>
    <row r="65">
      <c r="A65" s="5" t="n"/>
      <c r="B65" s="7" t="n"/>
      <c r="C65" s="7">
        <f>SUMIFS(Repayment_Ledger!$E$2:$E$801,Repayment_Ledger!$G$2:$G$801,$A65)</f>
        <v/>
      </c>
      <c r="D65" s="7" t="n"/>
      <c r="E65" s="7">
        <f>SUMIFS(Expense_Tracking!$F$2:$F$401,Expense_Tracking!$A$2:$A$401,$A65)</f>
        <v/>
      </c>
      <c r="F65" s="7" t="n"/>
      <c r="G65" s="7">
        <f>IF($A65="","", $B65+IF($C65="",0,$C65)+IF($D65="",0,$D65)-IF($E65="",0,$E65)-IF($F65="",0,$F65))</f>
        <v/>
      </c>
      <c r="H65" s="4" t="n"/>
      <c r="I65" s="4" t="n"/>
    </row>
    <row r="66">
      <c r="A66" s="5" t="n"/>
      <c r="B66" s="7" t="n"/>
      <c r="C66" s="7">
        <f>SUMIFS(Repayment_Ledger!$E$2:$E$801,Repayment_Ledger!$G$2:$G$801,$A66)</f>
        <v/>
      </c>
      <c r="D66" s="7" t="n"/>
      <c r="E66" s="7">
        <f>SUMIFS(Expense_Tracking!$F$2:$F$401,Expense_Tracking!$A$2:$A$401,$A66)</f>
        <v/>
      </c>
      <c r="F66" s="7" t="n"/>
      <c r="G66" s="7">
        <f>IF($A66="","", $B66+IF($C66="",0,$C66)+IF($D66="",0,$D66)-IF($E66="",0,$E66)-IF($F66="",0,$F66))</f>
        <v/>
      </c>
      <c r="H66" s="4" t="n"/>
      <c r="I66" s="4" t="n"/>
    </row>
    <row r="67">
      <c r="A67" s="5" t="n"/>
      <c r="B67" s="7" t="n"/>
      <c r="C67" s="7">
        <f>SUMIFS(Repayment_Ledger!$E$2:$E$801,Repayment_Ledger!$G$2:$G$801,$A67)</f>
        <v/>
      </c>
      <c r="D67" s="7" t="n"/>
      <c r="E67" s="7">
        <f>SUMIFS(Expense_Tracking!$F$2:$F$401,Expense_Tracking!$A$2:$A$401,$A67)</f>
        <v/>
      </c>
      <c r="F67" s="7" t="n"/>
      <c r="G67" s="7">
        <f>IF($A67="","", $B67+IF($C67="",0,$C67)+IF($D67="",0,$D67)-IF($E67="",0,$E67)-IF($F67="",0,$F67))</f>
        <v/>
      </c>
      <c r="H67" s="4" t="n"/>
      <c r="I67" s="4" t="n"/>
    </row>
    <row r="68">
      <c r="A68" s="5" t="n"/>
      <c r="B68" s="7" t="n"/>
      <c r="C68" s="7">
        <f>SUMIFS(Repayment_Ledger!$E$2:$E$801,Repayment_Ledger!$G$2:$G$801,$A68)</f>
        <v/>
      </c>
      <c r="D68" s="7" t="n"/>
      <c r="E68" s="7">
        <f>SUMIFS(Expense_Tracking!$F$2:$F$401,Expense_Tracking!$A$2:$A$401,$A68)</f>
        <v/>
      </c>
      <c r="F68" s="7" t="n"/>
      <c r="G68" s="7">
        <f>IF($A68="","", $B68+IF($C68="",0,$C68)+IF($D68="",0,$D68)-IF($E68="",0,$E68)-IF($F68="",0,$F68))</f>
        <v/>
      </c>
      <c r="H68" s="4" t="n"/>
      <c r="I68" s="4" t="n"/>
    </row>
    <row r="69">
      <c r="A69" s="5" t="n"/>
      <c r="B69" s="7" t="n"/>
      <c r="C69" s="7">
        <f>SUMIFS(Repayment_Ledger!$E$2:$E$801,Repayment_Ledger!$G$2:$G$801,$A69)</f>
        <v/>
      </c>
      <c r="D69" s="7" t="n"/>
      <c r="E69" s="7">
        <f>SUMIFS(Expense_Tracking!$F$2:$F$401,Expense_Tracking!$A$2:$A$401,$A69)</f>
        <v/>
      </c>
      <c r="F69" s="7" t="n"/>
      <c r="G69" s="7">
        <f>IF($A69="","", $B69+IF($C69="",0,$C69)+IF($D69="",0,$D69)-IF($E69="",0,$E69)-IF($F69="",0,$F69))</f>
        <v/>
      </c>
      <c r="H69" s="4" t="n"/>
      <c r="I69" s="4" t="n"/>
    </row>
    <row r="70">
      <c r="A70" s="5" t="n"/>
      <c r="B70" s="7" t="n"/>
      <c r="C70" s="7">
        <f>SUMIFS(Repayment_Ledger!$E$2:$E$801,Repayment_Ledger!$G$2:$G$801,$A70)</f>
        <v/>
      </c>
      <c r="D70" s="7" t="n"/>
      <c r="E70" s="7">
        <f>SUMIFS(Expense_Tracking!$F$2:$F$401,Expense_Tracking!$A$2:$A$401,$A70)</f>
        <v/>
      </c>
      <c r="F70" s="7" t="n"/>
      <c r="G70" s="7">
        <f>IF($A70="","", $B70+IF($C70="",0,$C70)+IF($D70="",0,$D70)-IF($E70="",0,$E70)-IF($F70="",0,$F70))</f>
        <v/>
      </c>
      <c r="H70" s="4" t="n"/>
      <c r="I70" s="4" t="n"/>
    </row>
    <row r="71">
      <c r="A71" s="5" t="n"/>
      <c r="B71" s="7" t="n"/>
      <c r="C71" s="7">
        <f>SUMIFS(Repayment_Ledger!$E$2:$E$801,Repayment_Ledger!$G$2:$G$801,$A71)</f>
        <v/>
      </c>
      <c r="D71" s="7" t="n"/>
      <c r="E71" s="7">
        <f>SUMIFS(Expense_Tracking!$F$2:$F$401,Expense_Tracking!$A$2:$A$401,$A71)</f>
        <v/>
      </c>
      <c r="F71" s="7" t="n"/>
      <c r="G71" s="7">
        <f>IF($A71="","", $B71+IF($C71="",0,$C71)+IF($D71="",0,$D71)-IF($E71="",0,$E71)-IF($F71="",0,$F71))</f>
        <v/>
      </c>
      <c r="H71" s="4" t="n"/>
      <c r="I71" s="4" t="n"/>
    </row>
    <row r="72">
      <c r="A72" s="5" t="n"/>
      <c r="B72" s="7" t="n"/>
      <c r="C72" s="7">
        <f>SUMIFS(Repayment_Ledger!$E$2:$E$801,Repayment_Ledger!$G$2:$G$801,$A72)</f>
        <v/>
      </c>
      <c r="D72" s="7" t="n"/>
      <c r="E72" s="7">
        <f>SUMIFS(Expense_Tracking!$F$2:$F$401,Expense_Tracking!$A$2:$A$401,$A72)</f>
        <v/>
      </c>
      <c r="F72" s="7" t="n"/>
      <c r="G72" s="7">
        <f>IF($A72="","", $B72+IF($C72="",0,$C72)+IF($D72="",0,$D72)-IF($E72="",0,$E72)-IF($F72="",0,$F72))</f>
        <v/>
      </c>
      <c r="H72" s="4" t="n"/>
      <c r="I72" s="4" t="n"/>
    </row>
    <row r="73">
      <c r="A73" s="5" t="n"/>
      <c r="B73" s="7" t="n"/>
      <c r="C73" s="7">
        <f>SUMIFS(Repayment_Ledger!$E$2:$E$801,Repayment_Ledger!$G$2:$G$801,$A73)</f>
        <v/>
      </c>
      <c r="D73" s="7" t="n"/>
      <c r="E73" s="7">
        <f>SUMIFS(Expense_Tracking!$F$2:$F$401,Expense_Tracking!$A$2:$A$401,$A73)</f>
        <v/>
      </c>
      <c r="F73" s="7" t="n"/>
      <c r="G73" s="7">
        <f>IF($A73="","", $B73+IF($C73="",0,$C73)+IF($D73="",0,$D73)-IF($E73="",0,$E73)-IF($F73="",0,$F73))</f>
        <v/>
      </c>
      <c r="H73" s="4" t="n"/>
      <c r="I73" s="4" t="n"/>
    </row>
    <row r="74">
      <c r="A74" s="5" t="n"/>
      <c r="B74" s="7" t="n"/>
      <c r="C74" s="7">
        <f>SUMIFS(Repayment_Ledger!$E$2:$E$801,Repayment_Ledger!$G$2:$G$801,$A74)</f>
        <v/>
      </c>
      <c r="D74" s="7" t="n"/>
      <c r="E74" s="7">
        <f>SUMIFS(Expense_Tracking!$F$2:$F$401,Expense_Tracking!$A$2:$A$401,$A74)</f>
        <v/>
      </c>
      <c r="F74" s="7" t="n"/>
      <c r="G74" s="7">
        <f>IF($A74="","", $B74+IF($C74="",0,$C74)+IF($D74="",0,$D74)-IF($E74="",0,$E74)-IF($F74="",0,$F74))</f>
        <v/>
      </c>
      <c r="H74" s="4" t="n"/>
      <c r="I74" s="4" t="n"/>
    </row>
    <row r="75">
      <c r="A75" s="5" t="n"/>
      <c r="B75" s="7" t="n"/>
      <c r="C75" s="7">
        <f>SUMIFS(Repayment_Ledger!$E$2:$E$801,Repayment_Ledger!$G$2:$G$801,$A75)</f>
        <v/>
      </c>
      <c r="D75" s="7" t="n"/>
      <c r="E75" s="7">
        <f>SUMIFS(Expense_Tracking!$F$2:$F$401,Expense_Tracking!$A$2:$A$401,$A75)</f>
        <v/>
      </c>
      <c r="F75" s="7" t="n"/>
      <c r="G75" s="7">
        <f>IF($A75="","", $B75+IF($C75="",0,$C75)+IF($D75="",0,$D75)-IF($E75="",0,$E75)-IF($F75="",0,$F75))</f>
        <v/>
      </c>
      <c r="H75" s="4" t="n"/>
      <c r="I75" s="4" t="n"/>
    </row>
    <row r="76">
      <c r="A76" s="5" t="n"/>
      <c r="B76" s="7" t="n"/>
      <c r="C76" s="7">
        <f>SUMIFS(Repayment_Ledger!$E$2:$E$801,Repayment_Ledger!$G$2:$G$801,$A76)</f>
        <v/>
      </c>
      <c r="D76" s="7" t="n"/>
      <c r="E76" s="7">
        <f>SUMIFS(Expense_Tracking!$F$2:$F$401,Expense_Tracking!$A$2:$A$401,$A76)</f>
        <v/>
      </c>
      <c r="F76" s="7" t="n"/>
      <c r="G76" s="7">
        <f>IF($A76="","", $B76+IF($C76="",0,$C76)+IF($D76="",0,$D76)-IF($E76="",0,$E76)-IF($F76="",0,$F76))</f>
        <v/>
      </c>
      <c r="H76" s="4" t="n"/>
      <c r="I76" s="4" t="n"/>
    </row>
    <row r="77">
      <c r="A77" s="5" t="n"/>
      <c r="B77" s="7" t="n"/>
      <c r="C77" s="7">
        <f>SUMIFS(Repayment_Ledger!$E$2:$E$801,Repayment_Ledger!$G$2:$G$801,$A77)</f>
        <v/>
      </c>
      <c r="D77" s="7" t="n"/>
      <c r="E77" s="7">
        <f>SUMIFS(Expense_Tracking!$F$2:$F$401,Expense_Tracking!$A$2:$A$401,$A77)</f>
        <v/>
      </c>
      <c r="F77" s="7" t="n"/>
      <c r="G77" s="7">
        <f>IF($A77="","", $B77+IF($C77="",0,$C77)+IF($D77="",0,$D77)-IF($E77="",0,$E77)-IF($F77="",0,$F77))</f>
        <v/>
      </c>
      <c r="H77" s="4" t="n"/>
      <c r="I77" s="4" t="n"/>
    </row>
    <row r="78">
      <c r="A78" s="5" t="n"/>
      <c r="B78" s="7" t="n"/>
      <c r="C78" s="7">
        <f>SUMIFS(Repayment_Ledger!$E$2:$E$801,Repayment_Ledger!$G$2:$G$801,$A78)</f>
        <v/>
      </c>
      <c r="D78" s="7" t="n"/>
      <c r="E78" s="7">
        <f>SUMIFS(Expense_Tracking!$F$2:$F$401,Expense_Tracking!$A$2:$A$401,$A78)</f>
        <v/>
      </c>
      <c r="F78" s="7" t="n"/>
      <c r="G78" s="7">
        <f>IF($A78="","", $B78+IF($C78="",0,$C78)+IF($D78="",0,$D78)-IF($E78="",0,$E78)-IF($F78="",0,$F78))</f>
        <v/>
      </c>
      <c r="H78" s="4" t="n"/>
      <c r="I78" s="4" t="n"/>
    </row>
    <row r="79">
      <c r="A79" s="5" t="n"/>
      <c r="B79" s="7" t="n"/>
      <c r="C79" s="7">
        <f>SUMIFS(Repayment_Ledger!$E$2:$E$801,Repayment_Ledger!$G$2:$G$801,$A79)</f>
        <v/>
      </c>
      <c r="D79" s="7" t="n"/>
      <c r="E79" s="7">
        <f>SUMIFS(Expense_Tracking!$F$2:$F$401,Expense_Tracking!$A$2:$A$401,$A79)</f>
        <v/>
      </c>
      <c r="F79" s="7" t="n"/>
      <c r="G79" s="7">
        <f>IF($A79="","", $B79+IF($C79="",0,$C79)+IF($D79="",0,$D79)-IF($E79="",0,$E79)-IF($F79="",0,$F79))</f>
        <v/>
      </c>
      <c r="H79" s="4" t="n"/>
      <c r="I79" s="4" t="n"/>
    </row>
    <row r="80">
      <c r="A80" s="5" t="n"/>
      <c r="B80" s="7" t="n"/>
      <c r="C80" s="7">
        <f>SUMIFS(Repayment_Ledger!$E$2:$E$801,Repayment_Ledger!$G$2:$G$801,$A80)</f>
        <v/>
      </c>
      <c r="D80" s="7" t="n"/>
      <c r="E80" s="7">
        <f>SUMIFS(Expense_Tracking!$F$2:$F$401,Expense_Tracking!$A$2:$A$401,$A80)</f>
        <v/>
      </c>
      <c r="F80" s="7" t="n"/>
      <c r="G80" s="7">
        <f>IF($A80="","", $B80+IF($C80="",0,$C80)+IF($D80="",0,$D80)-IF($E80="",0,$E80)-IF($F80="",0,$F80))</f>
        <v/>
      </c>
      <c r="H80" s="4" t="n"/>
      <c r="I80" s="4" t="n"/>
    </row>
    <row r="81">
      <c r="A81" s="5" t="n"/>
      <c r="B81" s="7" t="n"/>
      <c r="C81" s="7">
        <f>SUMIFS(Repayment_Ledger!$E$2:$E$801,Repayment_Ledger!$G$2:$G$801,$A81)</f>
        <v/>
      </c>
      <c r="D81" s="7" t="n"/>
      <c r="E81" s="7">
        <f>SUMIFS(Expense_Tracking!$F$2:$F$401,Expense_Tracking!$A$2:$A$401,$A81)</f>
        <v/>
      </c>
      <c r="F81" s="7" t="n"/>
      <c r="G81" s="7">
        <f>IF($A81="","", $B81+IF($C81="",0,$C81)+IF($D81="",0,$D81)-IF($E81="",0,$E81)-IF($F81="",0,$F81))</f>
        <v/>
      </c>
      <c r="H81" s="4" t="n"/>
      <c r="I81" s="4" t="n"/>
    </row>
    <row r="82">
      <c r="A82" s="5" t="n"/>
      <c r="B82" s="7" t="n"/>
      <c r="C82" s="7">
        <f>SUMIFS(Repayment_Ledger!$E$2:$E$801,Repayment_Ledger!$G$2:$G$801,$A82)</f>
        <v/>
      </c>
      <c r="D82" s="7" t="n"/>
      <c r="E82" s="7">
        <f>SUMIFS(Expense_Tracking!$F$2:$F$401,Expense_Tracking!$A$2:$A$401,$A82)</f>
        <v/>
      </c>
      <c r="F82" s="7" t="n"/>
      <c r="G82" s="7">
        <f>IF($A82="","", $B82+IF($C82="",0,$C82)+IF($D82="",0,$D82)-IF($E82="",0,$E82)-IF($F82="",0,$F82))</f>
        <v/>
      </c>
      <c r="H82" s="4" t="n"/>
      <c r="I82" s="4" t="n"/>
    </row>
    <row r="83">
      <c r="A83" s="5" t="n"/>
      <c r="B83" s="7" t="n"/>
      <c r="C83" s="7">
        <f>SUMIFS(Repayment_Ledger!$E$2:$E$801,Repayment_Ledger!$G$2:$G$801,$A83)</f>
        <v/>
      </c>
      <c r="D83" s="7" t="n"/>
      <c r="E83" s="7">
        <f>SUMIFS(Expense_Tracking!$F$2:$F$401,Expense_Tracking!$A$2:$A$401,$A83)</f>
        <v/>
      </c>
      <c r="F83" s="7" t="n"/>
      <c r="G83" s="7">
        <f>IF($A83="","", $B83+IF($C83="",0,$C83)+IF($D83="",0,$D83)-IF($E83="",0,$E83)-IF($F83="",0,$F83))</f>
        <v/>
      </c>
      <c r="H83" s="4" t="n"/>
      <c r="I83" s="4" t="n"/>
    </row>
    <row r="84">
      <c r="A84" s="5" t="n"/>
      <c r="B84" s="7" t="n"/>
      <c r="C84" s="7">
        <f>SUMIFS(Repayment_Ledger!$E$2:$E$801,Repayment_Ledger!$G$2:$G$801,$A84)</f>
        <v/>
      </c>
      <c r="D84" s="7" t="n"/>
      <c r="E84" s="7">
        <f>SUMIFS(Expense_Tracking!$F$2:$F$401,Expense_Tracking!$A$2:$A$401,$A84)</f>
        <v/>
      </c>
      <c r="F84" s="7" t="n"/>
      <c r="G84" s="7">
        <f>IF($A84="","", $B84+IF($C84="",0,$C84)+IF($D84="",0,$D84)-IF($E84="",0,$E84)-IF($F84="",0,$F84))</f>
        <v/>
      </c>
      <c r="H84" s="4" t="n"/>
      <c r="I84" s="4" t="n"/>
    </row>
    <row r="85">
      <c r="A85" s="5" t="n"/>
      <c r="B85" s="7" t="n"/>
      <c r="C85" s="7">
        <f>SUMIFS(Repayment_Ledger!$E$2:$E$801,Repayment_Ledger!$G$2:$G$801,$A85)</f>
        <v/>
      </c>
      <c r="D85" s="7" t="n"/>
      <c r="E85" s="7">
        <f>SUMIFS(Expense_Tracking!$F$2:$F$401,Expense_Tracking!$A$2:$A$401,$A85)</f>
        <v/>
      </c>
      <c r="F85" s="7" t="n"/>
      <c r="G85" s="7">
        <f>IF($A85="","", $B85+IF($C85="",0,$C85)+IF($D85="",0,$D85)-IF($E85="",0,$E85)-IF($F85="",0,$F85))</f>
        <v/>
      </c>
      <c r="H85" s="4" t="n"/>
      <c r="I85" s="4" t="n"/>
    </row>
    <row r="86">
      <c r="A86" s="5" t="n"/>
      <c r="B86" s="7" t="n"/>
      <c r="C86" s="7">
        <f>SUMIFS(Repayment_Ledger!$E$2:$E$801,Repayment_Ledger!$G$2:$G$801,$A86)</f>
        <v/>
      </c>
      <c r="D86" s="7" t="n"/>
      <c r="E86" s="7">
        <f>SUMIFS(Expense_Tracking!$F$2:$F$401,Expense_Tracking!$A$2:$A$401,$A86)</f>
        <v/>
      </c>
      <c r="F86" s="7" t="n"/>
      <c r="G86" s="7">
        <f>IF($A86="","", $B86+IF($C86="",0,$C86)+IF($D86="",0,$D86)-IF($E86="",0,$E86)-IF($F86="",0,$F86))</f>
        <v/>
      </c>
      <c r="H86" s="4" t="n"/>
      <c r="I86" s="4" t="n"/>
    </row>
    <row r="87">
      <c r="A87" s="5" t="n"/>
      <c r="B87" s="7" t="n"/>
      <c r="C87" s="7">
        <f>SUMIFS(Repayment_Ledger!$E$2:$E$801,Repayment_Ledger!$G$2:$G$801,$A87)</f>
        <v/>
      </c>
      <c r="D87" s="7" t="n"/>
      <c r="E87" s="7">
        <f>SUMIFS(Expense_Tracking!$F$2:$F$401,Expense_Tracking!$A$2:$A$401,$A87)</f>
        <v/>
      </c>
      <c r="F87" s="7" t="n"/>
      <c r="G87" s="7">
        <f>IF($A87="","", $B87+IF($C87="",0,$C87)+IF($D87="",0,$D87)-IF($E87="",0,$E87)-IF($F87="",0,$F87))</f>
        <v/>
      </c>
      <c r="H87" s="4" t="n"/>
      <c r="I87" s="4" t="n"/>
    </row>
    <row r="88">
      <c r="A88" s="5" t="n"/>
      <c r="B88" s="7" t="n"/>
      <c r="C88" s="7">
        <f>SUMIFS(Repayment_Ledger!$E$2:$E$801,Repayment_Ledger!$G$2:$G$801,$A88)</f>
        <v/>
      </c>
      <c r="D88" s="7" t="n"/>
      <c r="E88" s="7">
        <f>SUMIFS(Expense_Tracking!$F$2:$F$401,Expense_Tracking!$A$2:$A$401,$A88)</f>
        <v/>
      </c>
      <c r="F88" s="7" t="n"/>
      <c r="G88" s="7">
        <f>IF($A88="","", $B88+IF($C88="",0,$C88)+IF($D88="",0,$D88)-IF($E88="",0,$E88)-IF($F88="",0,$F88))</f>
        <v/>
      </c>
      <c r="H88" s="4" t="n"/>
      <c r="I88" s="4" t="n"/>
    </row>
    <row r="89">
      <c r="A89" s="5" t="n"/>
      <c r="B89" s="7" t="n"/>
      <c r="C89" s="7">
        <f>SUMIFS(Repayment_Ledger!$E$2:$E$801,Repayment_Ledger!$G$2:$G$801,$A89)</f>
        <v/>
      </c>
      <c r="D89" s="7" t="n"/>
      <c r="E89" s="7">
        <f>SUMIFS(Expense_Tracking!$F$2:$F$401,Expense_Tracking!$A$2:$A$401,$A89)</f>
        <v/>
      </c>
      <c r="F89" s="7" t="n"/>
      <c r="G89" s="7">
        <f>IF($A89="","", $B89+IF($C89="",0,$C89)+IF($D89="",0,$D89)-IF($E89="",0,$E89)-IF($F89="",0,$F89))</f>
        <v/>
      </c>
      <c r="H89" s="4" t="n"/>
      <c r="I89" s="4" t="n"/>
    </row>
    <row r="90">
      <c r="A90" s="5" t="n"/>
      <c r="B90" s="7" t="n"/>
      <c r="C90" s="7">
        <f>SUMIFS(Repayment_Ledger!$E$2:$E$801,Repayment_Ledger!$G$2:$G$801,$A90)</f>
        <v/>
      </c>
      <c r="D90" s="7" t="n"/>
      <c r="E90" s="7">
        <f>SUMIFS(Expense_Tracking!$F$2:$F$401,Expense_Tracking!$A$2:$A$401,$A90)</f>
        <v/>
      </c>
      <c r="F90" s="7" t="n"/>
      <c r="G90" s="7">
        <f>IF($A90="","", $B90+IF($C90="",0,$C90)+IF($D90="",0,$D90)-IF($E90="",0,$E90)-IF($F90="",0,$F90))</f>
        <v/>
      </c>
      <c r="H90" s="4" t="n"/>
      <c r="I90" s="4" t="n"/>
    </row>
    <row r="91">
      <c r="A91" s="5" t="n"/>
      <c r="B91" s="7" t="n"/>
      <c r="C91" s="7">
        <f>SUMIFS(Repayment_Ledger!$E$2:$E$801,Repayment_Ledger!$G$2:$G$801,$A91)</f>
        <v/>
      </c>
      <c r="D91" s="7" t="n"/>
      <c r="E91" s="7">
        <f>SUMIFS(Expense_Tracking!$F$2:$F$401,Expense_Tracking!$A$2:$A$401,$A91)</f>
        <v/>
      </c>
      <c r="F91" s="7" t="n"/>
      <c r="G91" s="7">
        <f>IF($A91="","", $B91+IF($C91="",0,$C91)+IF($D91="",0,$D91)-IF($E91="",0,$E91)-IF($F91="",0,$F91))</f>
        <v/>
      </c>
      <c r="H91" s="4" t="n"/>
      <c r="I91" s="4" t="n"/>
    </row>
    <row r="92">
      <c r="A92" s="5" t="n"/>
      <c r="B92" s="7" t="n"/>
      <c r="C92" s="7">
        <f>SUMIFS(Repayment_Ledger!$E$2:$E$801,Repayment_Ledger!$G$2:$G$801,$A92)</f>
        <v/>
      </c>
      <c r="D92" s="7" t="n"/>
      <c r="E92" s="7">
        <f>SUMIFS(Expense_Tracking!$F$2:$F$401,Expense_Tracking!$A$2:$A$401,$A92)</f>
        <v/>
      </c>
      <c r="F92" s="7" t="n"/>
      <c r="G92" s="7">
        <f>IF($A92="","", $B92+IF($C92="",0,$C92)+IF($D92="",0,$D92)-IF($E92="",0,$E92)-IF($F92="",0,$F92))</f>
        <v/>
      </c>
      <c r="H92" s="4" t="n"/>
      <c r="I92" s="4" t="n"/>
    </row>
    <row r="93">
      <c r="A93" s="5" t="n"/>
      <c r="B93" s="7" t="n"/>
      <c r="C93" s="7">
        <f>SUMIFS(Repayment_Ledger!$E$2:$E$801,Repayment_Ledger!$G$2:$G$801,$A93)</f>
        <v/>
      </c>
      <c r="D93" s="7" t="n"/>
      <c r="E93" s="7">
        <f>SUMIFS(Expense_Tracking!$F$2:$F$401,Expense_Tracking!$A$2:$A$401,$A93)</f>
        <v/>
      </c>
      <c r="F93" s="7" t="n"/>
      <c r="G93" s="7">
        <f>IF($A93="","", $B93+IF($C93="",0,$C93)+IF($D93="",0,$D93)-IF($E93="",0,$E93)-IF($F93="",0,$F93))</f>
        <v/>
      </c>
      <c r="H93" s="4" t="n"/>
      <c r="I93" s="4" t="n"/>
    </row>
    <row r="94">
      <c r="A94" s="5" t="n"/>
      <c r="B94" s="7" t="n"/>
      <c r="C94" s="7">
        <f>SUMIFS(Repayment_Ledger!$E$2:$E$801,Repayment_Ledger!$G$2:$G$801,$A94)</f>
        <v/>
      </c>
      <c r="D94" s="7" t="n"/>
      <c r="E94" s="7">
        <f>SUMIFS(Expense_Tracking!$F$2:$F$401,Expense_Tracking!$A$2:$A$401,$A94)</f>
        <v/>
      </c>
      <c r="F94" s="7" t="n"/>
      <c r="G94" s="7">
        <f>IF($A94="","", $B94+IF($C94="",0,$C94)+IF($D94="",0,$D94)-IF($E94="",0,$E94)-IF($F94="",0,$F94))</f>
        <v/>
      </c>
      <c r="H94" s="4" t="n"/>
      <c r="I94" s="4" t="n"/>
    </row>
    <row r="95">
      <c r="A95" s="5" t="n"/>
      <c r="B95" s="7" t="n"/>
      <c r="C95" s="7">
        <f>SUMIFS(Repayment_Ledger!$E$2:$E$801,Repayment_Ledger!$G$2:$G$801,$A95)</f>
        <v/>
      </c>
      <c r="D95" s="7" t="n"/>
      <c r="E95" s="7">
        <f>SUMIFS(Expense_Tracking!$F$2:$F$401,Expense_Tracking!$A$2:$A$401,$A95)</f>
        <v/>
      </c>
      <c r="F95" s="7" t="n"/>
      <c r="G95" s="7">
        <f>IF($A95="","", $B95+IF($C95="",0,$C95)+IF($D95="",0,$D95)-IF($E95="",0,$E95)-IF($F95="",0,$F95))</f>
        <v/>
      </c>
      <c r="H95" s="4" t="n"/>
      <c r="I95" s="4" t="n"/>
    </row>
    <row r="96">
      <c r="A96" s="5" t="n"/>
      <c r="B96" s="7" t="n"/>
      <c r="C96" s="7">
        <f>SUMIFS(Repayment_Ledger!$E$2:$E$801,Repayment_Ledger!$G$2:$G$801,$A96)</f>
        <v/>
      </c>
      <c r="D96" s="7" t="n"/>
      <c r="E96" s="7">
        <f>SUMIFS(Expense_Tracking!$F$2:$F$401,Expense_Tracking!$A$2:$A$401,$A96)</f>
        <v/>
      </c>
      <c r="F96" s="7" t="n"/>
      <c r="G96" s="7">
        <f>IF($A96="","", $B96+IF($C96="",0,$C96)+IF($D96="",0,$D96)-IF($E96="",0,$E96)-IF($F96="",0,$F96))</f>
        <v/>
      </c>
      <c r="H96" s="4" t="n"/>
      <c r="I96" s="4" t="n"/>
    </row>
    <row r="97">
      <c r="A97" s="5" t="n"/>
      <c r="B97" s="7" t="n"/>
      <c r="C97" s="7">
        <f>SUMIFS(Repayment_Ledger!$E$2:$E$801,Repayment_Ledger!$G$2:$G$801,$A97)</f>
        <v/>
      </c>
      <c r="D97" s="7" t="n"/>
      <c r="E97" s="7">
        <f>SUMIFS(Expense_Tracking!$F$2:$F$401,Expense_Tracking!$A$2:$A$401,$A97)</f>
        <v/>
      </c>
      <c r="F97" s="7" t="n"/>
      <c r="G97" s="7">
        <f>IF($A97="","", $B97+IF($C97="",0,$C97)+IF($D97="",0,$D97)-IF($E97="",0,$E97)-IF($F97="",0,$F97))</f>
        <v/>
      </c>
      <c r="H97" s="4" t="n"/>
      <c r="I97" s="4" t="n"/>
    </row>
    <row r="98">
      <c r="A98" s="5" t="n"/>
      <c r="B98" s="7" t="n"/>
      <c r="C98" s="7">
        <f>SUMIFS(Repayment_Ledger!$E$2:$E$801,Repayment_Ledger!$G$2:$G$801,$A98)</f>
        <v/>
      </c>
      <c r="D98" s="7" t="n"/>
      <c r="E98" s="7">
        <f>SUMIFS(Expense_Tracking!$F$2:$F$401,Expense_Tracking!$A$2:$A$401,$A98)</f>
        <v/>
      </c>
      <c r="F98" s="7" t="n"/>
      <c r="G98" s="7">
        <f>IF($A98="","", $B98+IF($C98="",0,$C98)+IF($D98="",0,$D98)-IF($E98="",0,$E98)-IF($F98="",0,$F98))</f>
        <v/>
      </c>
      <c r="H98" s="4" t="n"/>
      <c r="I98" s="4" t="n"/>
    </row>
    <row r="99">
      <c r="A99" s="5" t="n"/>
      <c r="B99" s="7" t="n"/>
      <c r="C99" s="7">
        <f>SUMIFS(Repayment_Ledger!$E$2:$E$801,Repayment_Ledger!$G$2:$G$801,$A99)</f>
        <v/>
      </c>
      <c r="D99" s="7" t="n"/>
      <c r="E99" s="7">
        <f>SUMIFS(Expense_Tracking!$F$2:$F$401,Expense_Tracking!$A$2:$A$401,$A99)</f>
        <v/>
      </c>
      <c r="F99" s="7" t="n"/>
      <c r="G99" s="7">
        <f>IF($A99="","", $B99+IF($C99="",0,$C99)+IF($D99="",0,$D99)-IF($E99="",0,$E99)-IF($F99="",0,$F99))</f>
        <v/>
      </c>
      <c r="H99" s="4" t="n"/>
      <c r="I99" s="4" t="n"/>
    </row>
    <row r="100">
      <c r="A100" s="5" t="n"/>
      <c r="B100" s="7" t="n"/>
      <c r="C100" s="7">
        <f>SUMIFS(Repayment_Ledger!$E$2:$E$801,Repayment_Ledger!$G$2:$G$801,$A100)</f>
        <v/>
      </c>
      <c r="D100" s="7" t="n"/>
      <c r="E100" s="7">
        <f>SUMIFS(Expense_Tracking!$F$2:$F$401,Expense_Tracking!$A$2:$A$401,$A100)</f>
        <v/>
      </c>
      <c r="F100" s="7" t="n"/>
      <c r="G100" s="7">
        <f>IF($A100="","", $B100+IF($C100="",0,$C100)+IF($D100="",0,$D100)-IF($E100="",0,$E100)-IF($F100="",0,$F100))</f>
        <v/>
      </c>
      <c r="H100" s="4" t="n"/>
      <c r="I100" s="4" t="n"/>
    </row>
    <row r="101">
      <c r="A101" s="6" t="n"/>
      <c r="B101" s="8" t="n"/>
      <c r="C101" s="8">
        <f>SUMIFS(Repayment_Ledger!$E$2:$E$801,Repayment_Ledger!$G$2:$G$801,$A101)</f>
        <v/>
      </c>
      <c r="D101" s="8" t="n"/>
      <c r="E101" s="8">
        <f>SUMIFS(Expense_Tracking!$F$2:$F$401,Expense_Tracking!$A$2:$A$401,$A101)</f>
        <v/>
      </c>
      <c r="F101" s="8" t="n"/>
      <c r="G101" s="8">
        <f>IF($A101="","", $B101+IF($C101="",0,$C101)+IF($D101="",0,$D101)-IF($E101="",0,$E101)-IF($F101="",0,$F101))</f>
        <v/>
      </c>
    </row>
    <row r="102">
      <c r="A102" s="6" t="n"/>
      <c r="B102" s="8" t="n"/>
      <c r="C102" s="8">
        <f>SUMIFS(Repayment_Ledger!$E$2:$E$801,Repayment_Ledger!$G$2:$G$801,$A102)</f>
        <v/>
      </c>
      <c r="D102" s="8" t="n"/>
      <c r="E102" s="8">
        <f>SUMIFS(Expense_Tracking!$F$2:$F$401,Expense_Tracking!$A$2:$A$401,$A102)</f>
        <v/>
      </c>
      <c r="F102" s="8" t="n"/>
      <c r="G102" s="8">
        <f>IF($A102="","", $B102+IF($C102="",0,$C102)+IF($D102="",0,$D102)-IF($E102="",0,$E102)-IF($F102="",0,$F102))</f>
        <v/>
      </c>
    </row>
    <row r="103">
      <c r="A103" s="6" t="n"/>
      <c r="B103" s="8" t="n"/>
      <c r="C103" s="8">
        <f>SUMIFS(Repayment_Ledger!$E$2:$E$801,Repayment_Ledger!$G$2:$G$801,$A103)</f>
        <v/>
      </c>
      <c r="D103" s="8" t="n"/>
      <c r="E103" s="8">
        <f>SUMIFS(Expense_Tracking!$F$2:$F$401,Expense_Tracking!$A$2:$A$401,$A103)</f>
        <v/>
      </c>
      <c r="F103" s="8" t="n"/>
      <c r="G103" s="8">
        <f>IF($A103="","", $B103+IF($C103="",0,$C103)+IF($D103="",0,$D103)-IF($E103="",0,$E103)-IF($F103="",0,$F103))</f>
        <v/>
      </c>
    </row>
    <row r="104">
      <c r="A104" s="6" t="n"/>
      <c r="B104" s="8" t="n"/>
      <c r="C104" s="8">
        <f>SUMIFS(Repayment_Ledger!$E$2:$E$801,Repayment_Ledger!$G$2:$G$801,$A104)</f>
        <v/>
      </c>
      <c r="D104" s="8" t="n"/>
      <c r="E104" s="8">
        <f>SUMIFS(Expense_Tracking!$F$2:$F$401,Expense_Tracking!$A$2:$A$401,$A104)</f>
        <v/>
      </c>
      <c r="F104" s="8" t="n"/>
      <c r="G104" s="8">
        <f>IF($A104="","", $B104+IF($C104="",0,$C104)+IF($D104="",0,$D104)-IF($E104="",0,$E104)-IF($F104="",0,$F104))</f>
        <v/>
      </c>
    </row>
    <row r="105">
      <c r="A105" s="6" t="n"/>
      <c r="B105" s="8" t="n"/>
      <c r="C105" s="8">
        <f>SUMIFS(Repayment_Ledger!$E$2:$E$801,Repayment_Ledger!$G$2:$G$801,$A105)</f>
        <v/>
      </c>
      <c r="D105" s="8" t="n"/>
      <c r="E105" s="8">
        <f>SUMIFS(Expense_Tracking!$F$2:$F$401,Expense_Tracking!$A$2:$A$401,$A105)</f>
        <v/>
      </c>
      <c r="F105" s="8" t="n"/>
      <c r="G105" s="8">
        <f>IF($A105="","", $B105+IF($C105="",0,$C105)+IF($D105="",0,$D105)-IF($E105="",0,$E105)-IF($F105="",0,$F105))</f>
        <v/>
      </c>
    </row>
    <row r="106">
      <c r="A106" s="6" t="n"/>
      <c r="B106" s="8" t="n"/>
      <c r="C106" s="8">
        <f>SUMIFS(Repayment_Ledger!$E$2:$E$801,Repayment_Ledger!$G$2:$G$801,$A106)</f>
        <v/>
      </c>
      <c r="D106" s="8" t="n"/>
      <c r="E106" s="8">
        <f>SUMIFS(Expense_Tracking!$F$2:$F$401,Expense_Tracking!$A$2:$A$401,$A106)</f>
        <v/>
      </c>
      <c r="F106" s="8" t="n"/>
      <c r="G106" s="8">
        <f>IF($A106="","", $B106+IF($C106="",0,$C106)+IF($D106="",0,$D106)-IF($E106="",0,$E106)-IF($F106="",0,$F106))</f>
        <v/>
      </c>
    </row>
    <row r="107">
      <c r="A107" s="6" t="n"/>
      <c r="B107" s="8" t="n"/>
      <c r="C107" s="8">
        <f>SUMIFS(Repayment_Ledger!$E$2:$E$801,Repayment_Ledger!$G$2:$G$801,$A107)</f>
        <v/>
      </c>
      <c r="D107" s="8" t="n"/>
      <c r="E107" s="8">
        <f>SUMIFS(Expense_Tracking!$F$2:$F$401,Expense_Tracking!$A$2:$A$401,$A107)</f>
        <v/>
      </c>
      <c r="F107" s="8" t="n"/>
      <c r="G107" s="8">
        <f>IF($A107="","", $B107+IF($C107="",0,$C107)+IF($D107="",0,$D107)-IF($E107="",0,$E107)-IF($F107="",0,$F107))</f>
        <v/>
      </c>
    </row>
    <row r="108">
      <c r="A108" s="6" t="n"/>
      <c r="B108" s="8" t="n"/>
      <c r="C108" s="8">
        <f>SUMIFS(Repayment_Ledger!$E$2:$E$801,Repayment_Ledger!$G$2:$G$801,$A108)</f>
        <v/>
      </c>
      <c r="D108" s="8" t="n"/>
      <c r="E108" s="8">
        <f>SUMIFS(Expense_Tracking!$F$2:$F$401,Expense_Tracking!$A$2:$A$401,$A108)</f>
        <v/>
      </c>
      <c r="F108" s="8" t="n"/>
      <c r="G108" s="8">
        <f>IF($A108="","", $B108+IF($C108="",0,$C108)+IF($D108="",0,$D108)-IF($E108="",0,$E108)-IF($F108="",0,$F108))</f>
        <v/>
      </c>
    </row>
    <row r="109">
      <c r="A109" s="6" t="n"/>
      <c r="B109" s="8" t="n"/>
      <c r="C109" s="8">
        <f>SUMIFS(Repayment_Ledger!$E$2:$E$801,Repayment_Ledger!$G$2:$G$801,$A109)</f>
        <v/>
      </c>
      <c r="D109" s="8" t="n"/>
      <c r="E109" s="8">
        <f>SUMIFS(Expense_Tracking!$F$2:$F$401,Expense_Tracking!$A$2:$A$401,$A109)</f>
        <v/>
      </c>
      <c r="F109" s="8" t="n"/>
      <c r="G109" s="8">
        <f>IF($A109="","", $B109+IF($C109="",0,$C109)+IF($D109="",0,$D109)-IF($E109="",0,$E109)-IF($F109="",0,$F109))</f>
        <v/>
      </c>
    </row>
    <row r="110">
      <c r="A110" s="6" t="n"/>
      <c r="B110" s="8" t="n"/>
      <c r="C110" s="8">
        <f>SUMIFS(Repayment_Ledger!$E$2:$E$801,Repayment_Ledger!$G$2:$G$801,$A110)</f>
        <v/>
      </c>
      <c r="D110" s="8" t="n"/>
      <c r="E110" s="8">
        <f>SUMIFS(Expense_Tracking!$F$2:$F$401,Expense_Tracking!$A$2:$A$401,$A110)</f>
        <v/>
      </c>
      <c r="F110" s="8" t="n"/>
      <c r="G110" s="8">
        <f>IF($A110="","", $B110+IF($C110="",0,$C110)+IF($D110="",0,$D110)-IF($E110="",0,$E110)-IF($F110="",0,$F110))</f>
        <v/>
      </c>
    </row>
    <row r="111">
      <c r="A111" s="6" t="n"/>
      <c r="B111" s="8" t="n"/>
      <c r="C111" s="8">
        <f>SUMIFS(Repayment_Ledger!$E$2:$E$801,Repayment_Ledger!$G$2:$G$801,$A111)</f>
        <v/>
      </c>
      <c r="D111" s="8" t="n"/>
      <c r="E111" s="8">
        <f>SUMIFS(Expense_Tracking!$F$2:$F$401,Expense_Tracking!$A$2:$A$401,$A111)</f>
        <v/>
      </c>
      <c r="F111" s="8" t="n"/>
      <c r="G111" s="8">
        <f>IF($A111="","", $B111+IF($C111="",0,$C111)+IF($D111="",0,$D111)-IF($E111="",0,$E111)-IF($F111="",0,$F111))</f>
        <v/>
      </c>
    </row>
    <row r="112">
      <c r="A112" s="6" t="n"/>
      <c r="B112" s="8" t="n"/>
      <c r="C112" s="8">
        <f>SUMIFS(Repayment_Ledger!$E$2:$E$801,Repayment_Ledger!$G$2:$G$801,$A112)</f>
        <v/>
      </c>
      <c r="D112" s="8" t="n"/>
      <c r="E112" s="8">
        <f>SUMIFS(Expense_Tracking!$F$2:$F$401,Expense_Tracking!$A$2:$A$401,$A112)</f>
        <v/>
      </c>
      <c r="F112" s="8" t="n"/>
      <c r="G112" s="8">
        <f>IF($A112="","", $B112+IF($C112="",0,$C112)+IF($D112="",0,$D112)-IF($E112="",0,$E112)-IF($F112="",0,$F112))</f>
        <v/>
      </c>
    </row>
    <row r="113">
      <c r="A113" s="6" t="n"/>
      <c r="B113" s="8" t="n"/>
      <c r="C113" s="8">
        <f>SUMIFS(Repayment_Ledger!$E$2:$E$801,Repayment_Ledger!$G$2:$G$801,$A113)</f>
        <v/>
      </c>
      <c r="D113" s="8" t="n"/>
      <c r="E113" s="8">
        <f>SUMIFS(Expense_Tracking!$F$2:$F$401,Expense_Tracking!$A$2:$A$401,$A113)</f>
        <v/>
      </c>
      <c r="F113" s="8" t="n"/>
      <c r="G113" s="8">
        <f>IF($A113="","", $B113+IF($C113="",0,$C113)+IF($D113="",0,$D113)-IF($E113="",0,$E113)-IF($F113="",0,$F113))</f>
        <v/>
      </c>
    </row>
    <row r="114">
      <c r="A114" s="6" t="n"/>
      <c r="B114" s="8" t="n"/>
      <c r="C114" s="8">
        <f>SUMIFS(Repayment_Ledger!$E$2:$E$801,Repayment_Ledger!$G$2:$G$801,$A114)</f>
        <v/>
      </c>
      <c r="D114" s="8" t="n"/>
      <c r="E114" s="8">
        <f>SUMIFS(Expense_Tracking!$F$2:$F$401,Expense_Tracking!$A$2:$A$401,$A114)</f>
        <v/>
      </c>
      <c r="F114" s="8" t="n"/>
      <c r="G114" s="8">
        <f>IF($A114="","", $B114+IF($C114="",0,$C114)+IF($D114="",0,$D114)-IF($E114="",0,$E114)-IF($F114="",0,$F114))</f>
        <v/>
      </c>
    </row>
    <row r="115">
      <c r="A115" s="6" t="n"/>
      <c r="B115" s="8" t="n"/>
      <c r="C115" s="8">
        <f>SUMIFS(Repayment_Ledger!$E$2:$E$801,Repayment_Ledger!$G$2:$G$801,$A115)</f>
        <v/>
      </c>
      <c r="D115" s="8" t="n"/>
      <c r="E115" s="8">
        <f>SUMIFS(Expense_Tracking!$F$2:$F$401,Expense_Tracking!$A$2:$A$401,$A115)</f>
        <v/>
      </c>
      <c r="F115" s="8" t="n"/>
      <c r="G115" s="8">
        <f>IF($A115="","", $B115+IF($C115="",0,$C115)+IF($D115="",0,$D115)-IF($E115="",0,$E115)-IF($F115="",0,$F115))</f>
        <v/>
      </c>
    </row>
    <row r="116">
      <c r="A116" s="6" t="n"/>
      <c r="B116" s="8" t="n"/>
      <c r="C116" s="8">
        <f>SUMIFS(Repayment_Ledger!$E$2:$E$801,Repayment_Ledger!$G$2:$G$801,$A116)</f>
        <v/>
      </c>
      <c r="D116" s="8" t="n"/>
      <c r="E116" s="8">
        <f>SUMIFS(Expense_Tracking!$F$2:$F$401,Expense_Tracking!$A$2:$A$401,$A116)</f>
        <v/>
      </c>
      <c r="F116" s="8" t="n"/>
      <c r="G116" s="8">
        <f>IF($A116="","", $B116+IF($C116="",0,$C116)+IF($D116="",0,$D116)-IF($E116="",0,$E116)-IF($F116="",0,$F116))</f>
        <v/>
      </c>
    </row>
    <row r="117">
      <c r="A117" s="6" t="n"/>
      <c r="B117" s="8" t="n"/>
      <c r="C117" s="8">
        <f>SUMIFS(Repayment_Ledger!$E$2:$E$801,Repayment_Ledger!$G$2:$G$801,$A117)</f>
        <v/>
      </c>
      <c r="D117" s="8" t="n"/>
      <c r="E117" s="8">
        <f>SUMIFS(Expense_Tracking!$F$2:$F$401,Expense_Tracking!$A$2:$A$401,$A117)</f>
        <v/>
      </c>
      <c r="F117" s="8" t="n"/>
      <c r="G117" s="8">
        <f>IF($A117="","", $B117+IF($C117="",0,$C117)+IF($D117="",0,$D117)-IF($E117="",0,$E117)-IF($F117="",0,$F117))</f>
        <v/>
      </c>
    </row>
    <row r="118">
      <c r="A118" s="6" t="n"/>
      <c r="B118" s="8" t="n"/>
      <c r="C118" s="8">
        <f>SUMIFS(Repayment_Ledger!$E$2:$E$801,Repayment_Ledger!$G$2:$G$801,$A118)</f>
        <v/>
      </c>
      <c r="D118" s="8" t="n"/>
      <c r="E118" s="8">
        <f>SUMIFS(Expense_Tracking!$F$2:$F$401,Expense_Tracking!$A$2:$A$401,$A118)</f>
        <v/>
      </c>
      <c r="F118" s="8" t="n"/>
      <c r="G118" s="8">
        <f>IF($A118="","", $B118+IF($C118="",0,$C118)+IF($D118="",0,$D118)-IF($E118="",0,$E118)-IF($F118="",0,$F118))</f>
        <v/>
      </c>
    </row>
    <row r="119">
      <c r="A119" s="6" t="n"/>
      <c r="B119" s="8" t="n"/>
      <c r="C119" s="8">
        <f>SUMIFS(Repayment_Ledger!$E$2:$E$801,Repayment_Ledger!$G$2:$G$801,$A119)</f>
        <v/>
      </c>
      <c r="D119" s="8" t="n"/>
      <c r="E119" s="8">
        <f>SUMIFS(Expense_Tracking!$F$2:$F$401,Expense_Tracking!$A$2:$A$401,$A119)</f>
        <v/>
      </c>
      <c r="F119" s="8" t="n"/>
      <c r="G119" s="8">
        <f>IF($A119="","", $B119+IF($C119="",0,$C119)+IF($D119="",0,$D119)-IF($E119="",0,$E119)-IF($F119="",0,$F119))</f>
        <v/>
      </c>
    </row>
    <row r="120">
      <c r="A120" s="6" t="n"/>
      <c r="B120" s="8" t="n"/>
      <c r="C120" s="8">
        <f>SUMIFS(Repayment_Ledger!$E$2:$E$801,Repayment_Ledger!$G$2:$G$801,$A120)</f>
        <v/>
      </c>
      <c r="D120" s="8" t="n"/>
      <c r="E120" s="8">
        <f>SUMIFS(Expense_Tracking!$F$2:$F$401,Expense_Tracking!$A$2:$A$401,$A120)</f>
        <v/>
      </c>
      <c r="F120" s="8" t="n"/>
      <c r="G120" s="8">
        <f>IF($A120="","", $B120+IF($C120="",0,$C120)+IF($D120="",0,$D120)-IF($E120="",0,$E120)-IF($F120="",0,$F120))</f>
        <v/>
      </c>
    </row>
    <row r="121">
      <c r="A121" s="6" t="n"/>
      <c r="B121" s="8" t="n"/>
      <c r="C121" s="8">
        <f>SUMIFS(Repayment_Ledger!$E$2:$E$801,Repayment_Ledger!$G$2:$G$801,$A121)</f>
        <v/>
      </c>
      <c r="D121" s="8" t="n"/>
      <c r="E121" s="8">
        <f>SUMIFS(Expense_Tracking!$F$2:$F$401,Expense_Tracking!$A$2:$A$401,$A121)</f>
        <v/>
      </c>
      <c r="F121" s="8" t="n"/>
      <c r="G121" s="8">
        <f>IF($A121="","", $B121+IF($C121="",0,$C121)+IF($D121="",0,$D121)-IF($E121="",0,$E121)-IF($F121="",0,$F121))</f>
        <v/>
      </c>
    </row>
    <row r="122">
      <c r="A122" s="6" t="n"/>
      <c r="B122" s="8" t="n"/>
      <c r="C122" s="8">
        <f>SUMIFS(Repayment_Ledger!$E$2:$E$801,Repayment_Ledger!$G$2:$G$801,$A122)</f>
        <v/>
      </c>
      <c r="D122" s="8" t="n"/>
      <c r="E122" s="8">
        <f>SUMIFS(Expense_Tracking!$F$2:$F$401,Expense_Tracking!$A$2:$A$401,$A122)</f>
        <v/>
      </c>
      <c r="F122" s="8" t="n"/>
      <c r="G122" s="8">
        <f>IF($A122="","", $B122+IF($C122="",0,$C122)+IF($D122="",0,$D122)-IF($E122="",0,$E122)-IF($F122="",0,$F122))</f>
        <v/>
      </c>
    </row>
    <row r="123">
      <c r="A123" s="6" t="n"/>
      <c r="B123" s="8" t="n"/>
      <c r="C123" s="8">
        <f>SUMIFS(Repayment_Ledger!$E$2:$E$801,Repayment_Ledger!$G$2:$G$801,$A123)</f>
        <v/>
      </c>
      <c r="D123" s="8" t="n"/>
      <c r="E123" s="8">
        <f>SUMIFS(Expense_Tracking!$F$2:$F$401,Expense_Tracking!$A$2:$A$401,$A123)</f>
        <v/>
      </c>
      <c r="F123" s="8" t="n"/>
      <c r="G123" s="8">
        <f>IF($A123="","", $B123+IF($C123="",0,$C123)+IF($D123="",0,$D123)-IF($E123="",0,$E123)-IF($F123="",0,$F123))</f>
        <v/>
      </c>
    </row>
    <row r="124">
      <c r="A124" s="6" t="n"/>
      <c r="B124" s="8" t="n"/>
      <c r="C124" s="8">
        <f>SUMIFS(Repayment_Ledger!$E$2:$E$801,Repayment_Ledger!$G$2:$G$801,$A124)</f>
        <v/>
      </c>
      <c r="D124" s="8" t="n"/>
      <c r="E124" s="8">
        <f>SUMIFS(Expense_Tracking!$F$2:$F$401,Expense_Tracking!$A$2:$A$401,$A124)</f>
        <v/>
      </c>
      <c r="F124" s="8" t="n"/>
      <c r="G124" s="8">
        <f>IF($A124="","", $B124+IF($C124="",0,$C124)+IF($D124="",0,$D124)-IF($E124="",0,$E124)-IF($F124="",0,$F124))</f>
        <v/>
      </c>
    </row>
    <row r="125">
      <c r="A125" s="6" t="n"/>
      <c r="B125" s="8" t="n"/>
      <c r="C125" s="8">
        <f>SUMIFS(Repayment_Ledger!$E$2:$E$801,Repayment_Ledger!$G$2:$G$801,$A125)</f>
        <v/>
      </c>
      <c r="D125" s="8" t="n"/>
      <c r="E125" s="8">
        <f>SUMIFS(Expense_Tracking!$F$2:$F$401,Expense_Tracking!$A$2:$A$401,$A125)</f>
        <v/>
      </c>
      <c r="F125" s="8" t="n"/>
      <c r="G125" s="8">
        <f>IF($A125="","", $B125+IF($C125="",0,$C125)+IF($D125="",0,$D125)-IF($E125="",0,$E125)-IF($F125="",0,$F125))</f>
        <v/>
      </c>
    </row>
    <row r="126">
      <c r="A126" s="6" t="n"/>
      <c r="B126" s="8" t="n"/>
      <c r="C126" s="8">
        <f>SUMIFS(Repayment_Ledger!$E$2:$E$801,Repayment_Ledger!$G$2:$G$801,$A126)</f>
        <v/>
      </c>
      <c r="D126" s="8" t="n"/>
      <c r="E126" s="8">
        <f>SUMIFS(Expense_Tracking!$F$2:$F$401,Expense_Tracking!$A$2:$A$401,$A126)</f>
        <v/>
      </c>
      <c r="F126" s="8" t="n"/>
      <c r="G126" s="8">
        <f>IF($A126="","", $B126+IF($C126="",0,$C126)+IF($D126="",0,$D126)-IF($E126="",0,$E126)-IF($F126="",0,$F126))</f>
        <v/>
      </c>
    </row>
    <row r="127">
      <c r="A127" s="6" t="n"/>
      <c r="B127" s="8" t="n"/>
      <c r="C127" s="8">
        <f>SUMIFS(Repayment_Ledger!$E$2:$E$801,Repayment_Ledger!$G$2:$G$801,$A127)</f>
        <v/>
      </c>
      <c r="D127" s="8" t="n"/>
      <c r="E127" s="8">
        <f>SUMIFS(Expense_Tracking!$F$2:$F$401,Expense_Tracking!$A$2:$A$401,$A127)</f>
        <v/>
      </c>
      <c r="F127" s="8" t="n"/>
      <c r="G127" s="8">
        <f>IF($A127="","", $B127+IF($C127="",0,$C127)+IF($D127="",0,$D127)-IF($E127="",0,$E127)-IF($F127="",0,$F127))</f>
        <v/>
      </c>
    </row>
    <row r="128">
      <c r="A128" s="6" t="n"/>
      <c r="B128" s="8" t="n"/>
      <c r="C128" s="8">
        <f>SUMIFS(Repayment_Ledger!$E$2:$E$801,Repayment_Ledger!$G$2:$G$801,$A128)</f>
        <v/>
      </c>
      <c r="D128" s="8" t="n"/>
      <c r="E128" s="8">
        <f>SUMIFS(Expense_Tracking!$F$2:$F$401,Expense_Tracking!$A$2:$A$401,$A128)</f>
        <v/>
      </c>
      <c r="F128" s="8" t="n"/>
      <c r="G128" s="8">
        <f>IF($A128="","", $B128+IF($C128="",0,$C128)+IF($D128="",0,$D128)-IF($E128="",0,$E128)-IF($F128="",0,$F128))</f>
        <v/>
      </c>
    </row>
    <row r="129">
      <c r="A129" s="6" t="n"/>
      <c r="B129" s="8" t="n"/>
      <c r="C129" s="8">
        <f>SUMIFS(Repayment_Ledger!$E$2:$E$801,Repayment_Ledger!$G$2:$G$801,$A129)</f>
        <v/>
      </c>
      <c r="D129" s="8" t="n"/>
      <c r="E129" s="8">
        <f>SUMIFS(Expense_Tracking!$F$2:$F$401,Expense_Tracking!$A$2:$A$401,$A129)</f>
        <v/>
      </c>
      <c r="F129" s="8" t="n"/>
      <c r="G129" s="8">
        <f>IF($A129="","", $B129+IF($C129="",0,$C129)+IF($D129="",0,$D129)-IF($E129="",0,$E129)-IF($F129="",0,$F129))</f>
        <v/>
      </c>
    </row>
    <row r="130">
      <c r="A130" s="6" t="n"/>
      <c r="B130" s="8" t="n"/>
      <c r="C130" s="8">
        <f>SUMIFS(Repayment_Ledger!$E$2:$E$801,Repayment_Ledger!$G$2:$G$801,$A130)</f>
        <v/>
      </c>
      <c r="D130" s="8" t="n"/>
      <c r="E130" s="8">
        <f>SUMIFS(Expense_Tracking!$F$2:$F$401,Expense_Tracking!$A$2:$A$401,$A130)</f>
        <v/>
      </c>
      <c r="F130" s="8" t="n"/>
      <c r="G130" s="8">
        <f>IF($A130="","", $B130+IF($C130="",0,$C130)+IF($D130="",0,$D130)-IF($E130="",0,$E130)-IF($F130="",0,$F130))</f>
        <v/>
      </c>
    </row>
    <row r="131">
      <c r="A131" s="6" t="n"/>
      <c r="B131" s="8" t="n"/>
      <c r="C131" s="8">
        <f>SUMIFS(Repayment_Ledger!$E$2:$E$801,Repayment_Ledger!$G$2:$G$801,$A131)</f>
        <v/>
      </c>
      <c r="D131" s="8" t="n"/>
      <c r="E131" s="8">
        <f>SUMIFS(Expense_Tracking!$F$2:$F$401,Expense_Tracking!$A$2:$A$401,$A131)</f>
        <v/>
      </c>
      <c r="F131" s="8" t="n"/>
      <c r="G131" s="8">
        <f>IF($A131="","", $B131+IF($C131="",0,$C131)+IF($D131="",0,$D131)-IF($E131="",0,$E131)-IF($F131="",0,$F131))</f>
        <v/>
      </c>
    </row>
    <row r="132">
      <c r="A132" s="6" t="n"/>
      <c r="B132" s="8" t="n"/>
      <c r="C132" s="8">
        <f>SUMIFS(Repayment_Ledger!$E$2:$E$801,Repayment_Ledger!$G$2:$G$801,$A132)</f>
        <v/>
      </c>
      <c r="D132" s="8" t="n"/>
      <c r="E132" s="8">
        <f>SUMIFS(Expense_Tracking!$F$2:$F$401,Expense_Tracking!$A$2:$A$401,$A132)</f>
        <v/>
      </c>
      <c r="F132" s="8" t="n"/>
      <c r="G132" s="8">
        <f>IF($A132="","", $B132+IF($C132="",0,$C132)+IF($D132="",0,$D132)-IF($E132="",0,$E132)-IF($F132="",0,$F132))</f>
        <v/>
      </c>
    </row>
    <row r="133">
      <c r="A133" s="6" t="n"/>
      <c r="B133" s="8" t="n"/>
      <c r="C133" s="8">
        <f>SUMIFS(Repayment_Ledger!$E$2:$E$801,Repayment_Ledger!$G$2:$G$801,$A133)</f>
        <v/>
      </c>
      <c r="D133" s="8" t="n"/>
      <c r="E133" s="8">
        <f>SUMIFS(Expense_Tracking!$F$2:$F$401,Expense_Tracking!$A$2:$A$401,$A133)</f>
        <v/>
      </c>
      <c r="F133" s="8" t="n"/>
      <c r="G133" s="8">
        <f>IF($A133="","", $B133+IF($C133="",0,$C133)+IF($D133="",0,$D133)-IF($E133="",0,$E133)-IF($F133="",0,$F133))</f>
        <v/>
      </c>
    </row>
    <row r="134">
      <c r="A134" s="6" t="n"/>
      <c r="B134" s="8" t="n"/>
      <c r="C134" s="8">
        <f>SUMIFS(Repayment_Ledger!$E$2:$E$801,Repayment_Ledger!$G$2:$G$801,$A134)</f>
        <v/>
      </c>
      <c r="D134" s="8" t="n"/>
      <c r="E134" s="8">
        <f>SUMIFS(Expense_Tracking!$F$2:$F$401,Expense_Tracking!$A$2:$A$401,$A134)</f>
        <v/>
      </c>
      <c r="F134" s="8" t="n"/>
      <c r="G134" s="8">
        <f>IF($A134="","", $B134+IF($C134="",0,$C134)+IF($D134="",0,$D134)-IF($E134="",0,$E134)-IF($F134="",0,$F134))</f>
        <v/>
      </c>
    </row>
    <row r="135">
      <c r="A135" s="6" t="n"/>
      <c r="B135" s="8" t="n"/>
      <c r="C135" s="8">
        <f>SUMIFS(Repayment_Ledger!$E$2:$E$801,Repayment_Ledger!$G$2:$G$801,$A135)</f>
        <v/>
      </c>
      <c r="D135" s="8" t="n"/>
      <c r="E135" s="8">
        <f>SUMIFS(Expense_Tracking!$F$2:$F$401,Expense_Tracking!$A$2:$A$401,$A135)</f>
        <v/>
      </c>
      <c r="F135" s="8" t="n"/>
      <c r="G135" s="8">
        <f>IF($A135="","", $B135+IF($C135="",0,$C135)+IF($D135="",0,$D135)-IF($E135="",0,$E135)-IF($F135="",0,$F135))</f>
        <v/>
      </c>
    </row>
    <row r="136">
      <c r="A136" s="6" t="n"/>
      <c r="B136" s="8" t="n"/>
      <c r="C136" s="8">
        <f>SUMIFS(Repayment_Ledger!$E$2:$E$801,Repayment_Ledger!$G$2:$G$801,$A136)</f>
        <v/>
      </c>
      <c r="D136" s="8" t="n"/>
      <c r="E136" s="8">
        <f>SUMIFS(Expense_Tracking!$F$2:$F$401,Expense_Tracking!$A$2:$A$401,$A136)</f>
        <v/>
      </c>
      <c r="F136" s="8" t="n"/>
      <c r="G136" s="8">
        <f>IF($A136="","", $B136+IF($C136="",0,$C136)+IF($D136="",0,$D136)-IF($E136="",0,$E136)-IF($F136="",0,$F136))</f>
        <v/>
      </c>
    </row>
    <row r="137">
      <c r="A137" s="6" t="n"/>
      <c r="B137" s="8" t="n"/>
      <c r="C137" s="8">
        <f>SUMIFS(Repayment_Ledger!$E$2:$E$801,Repayment_Ledger!$G$2:$G$801,$A137)</f>
        <v/>
      </c>
      <c r="D137" s="8" t="n"/>
      <c r="E137" s="8">
        <f>SUMIFS(Expense_Tracking!$F$2:$F$401,Expense_Tracking!$A$2:$A$401,$A137)</f>
        <v/>
      </c>
      <c r="F137" s="8" t="n"/>
      <c r="G137" s="8">
        <f>IF($A137="","", $B137+IF($C137="",0,$C137)+IF($D137="",0,$D137)-IF($E137="",0,$E137)-IF($F137="",0,$F137))</f>
        <v/>
      </c>
    </row>
    <row r="138">
      <c r="A138" s="6" t="n"/>
      <c r="B138" s="8" t="n"/>
      <c r="C138" s="8">
        <f>SUMIFS(Repayment_Ledger!$E$2:$E$801,Repayment_Ledger!$G$2:$G$801,$A138)</f>
        <v/>
      </c>
      <c r="D138" s="8" t="n"/>
      <c r="E138" s="8">
        <f>SUMIFS(Expense_Tracking!$F$2:$F$401,Expense_Tracking!$A$2:$A$401,$A138)</f>
        <v/>
      </c>
      <c r="F138" s="8" t="n"/>
      <c r="G138" s="8">
        <f>IF($A138="","", $B138+IF($C138="",0,$C138)+IF($D138="",0,$D138)-IF($E138="",0,$E138)-IF($F138="",0,$F138))</f>
        <v/>
      </c>
    </row>
    <row r="139">
      <c r="A139" s="6" t="n"/>
      <c r="B139" s="8" t="n"/>
      <c r="C139" s="8">
        <f>SUMIFS(Repayment_Ledger!$E$2:$E$801,Repayment_Ledger!$G$2:$G$801,$A139)</f>
        <v/>
      </c>
      <c r="D139" s="8" t="n"/>
      <c r="E139" s="8">
        <f>SUMIFS(Expense_Tracking!$F$2:$F$401,Expense_Tracking!$A$2:$A$401,$A139)</f>
        <v/>
      </c>
      <c r="F139" s="8" t="n"/>
      <c r="G139" s="8">
        <f>IF($A139="","", $B139+IF($C139="",0,$C139)+IF($D139="",0,$D139)-IF($E139="",0,$E139)-IF($F139="",0,$F139))</f>
        <v/>
      </c>
    </row>
    <row r="140">
      <c r="A140" s="6" t="n"/>
      <c r="B140" s="8" t="n"/>
      <c r="C140" s="8">
        <f>SUMIFS(Repayment_Ledger!$E$2:$E$801,Repayment_Ledger!$G$2:$G$801,$A140)</f>
        <v/>
      </c>
      <c r="D140" s="8" t="n"/>
      <c r="E140" s="8">
        <f>SUMIFS(Expense_Tracking!$F$2:$F$401,Expense_Tracking!$A$2:$A$401,$A140)</f>
        <v/>
      </c>
      <c r="F140" s="8" t="n"/>
      <c r="G140" s="8">
        <f>IF($A140="","", $B140+IF($C140="",0,$C140)+IF($D140="",0,$D140)-IF($E140="",0,$E140)-IF($F140="",0,$F140))</f>
        <v/>
      </c>
    </row>
    <row r="141">
      <c r="A141" s="6" t="n"/>
      <c r="B141" s="8" t="n"/>
      <c r="C141" s="8">
        <f>SUMIFS(Repayment_Ledger!$E$2:$E$801,Repayment_Ledger!$G$2:$G$801,$A141)</f>
        <v/>
      </c>
      <c r="D141" s="8" t="n"/>
      <c r="E141" s="8">
        <f>SUMIFS(Expense_Tracking!$F$2:$F$401,Expense_Tracking!$A$2:$A$401,$A141)</f>
        <v/>
      </c>
      <c r="F141" s="8" t="n"/>
      <c r="G141" s="8">
        <f>IF($A141="","", $B141+IF($C141="",0,$C141)+IF($D141="",0,$D141)-IF($E141="",0,$E141)-IF($F141="",0,$F141))</f>
        <v/>
      </c>
    </row>
    <row r="142">
      <c r="A142" s="6" t="n"/>
      <c r="B142" s="8" t="n"/>
      <c r="C142" s="8">
        <f>SUMIFS(Repayment_Ledger!$E$2:$E$801,Repayment_Ledger!$G$2:$G$801,$A142)</f>
        <v/>
      </c>
      <c r="D142" s="8" t="n"/>
      <c r="E142" s="8">
        <f>SUMIFS(Expense_Tracking!$F$2:$F$401,Expense_Tracking!$A$2:$A$401,$A142)</f>
        <v/>
      </c>
      <c r="F142" s="8" t="n"/>
      <c r="G142" s="8">
        <f>IF($A142="","", $B142+IF($C142="",0,$C142)+IF($D142="",0,$D142)-IF($E142="",0,$E142)-IF($F142="",0,$F142))</f>
        <v/>
      </c>
    </row>
    <row r="143">
      <c r="A143" s="6" t="n"/>
      <c r="B143" s="8" t="n"/>
      <c r="C143" s="8">
        <f>SUMIFS(Repayment_Ledger!$E$2:$E$801,Repayment_Ledger!$G$2:$G$801,$A143)</f>
        <v/>
      </c>
      <c r="D143" s="8" t="n"/>
      <c r="E143" s="8">
        <f>SUMIFS(Expense_Tracking!$F$2:$F$401,Expense_Tracking!$A$2:$A$401,$A143)</f>
        <v/>
      </c>
      <c r="F143" s="8" t="n"/>
      <c r="G143" s="8">
        <f>IF($A143="","", $B143+IF($C143="",0,$C143)+IF($D143="",0,$D143)-IF($E143="",0,$E143)-IF($F143="",0,$F143))</f>
        <v/>
      </c>
    </row>
    <row r="144">
      <c r="A144" s="6" t="n"/>
      <c r="B144" s="8" t="n"/>
      <c r="C144" s="8">
        <f>SUMIFS(Repayment_Ledger!$E$2:$E$801,Repayment_Ledger!$G$2:$G$801,$A144)</f>
        <v/>
      </c>
      <c r="D144" s="8" t="n"/>
      <c r="E144" s="8">
        <f>SUMIFS(Expense_Tracking!$F$2:$F$401,Expense_Tracking!$A$2:$A$401,$A144)</f>
        <v/>
      </c>
      <c r="F144" s="8" t="n"/>
      <c r="G144" s="8">
        <f>IF($A144="","", $B144+IF($C144="",0,$C144)+IF($D144="",0,$D144)-IF($E144="",0,$E144)-IF($F144="",0,$F144))</f>
        <v/>
      </c>
    </row>
    <row r="145">
      <c r="A145" s="6" t="n"/>
      <c r="B145" s="8" t="n"/>
      <c r="C145" s="8">
        <f>SUMIFS(Repayment_Ledger!$E$2:$E$801,Repayment_Ledger!$G$2:$G$801,$A145)</f>
        <v/>
      </c>
      <c r="D145" s="8" t="n"/>
      <c r="E145" s="8">
        <f>SUMIFS(Expense_Tracking!$F$2:$F$401,Expense_Tracking!$A$2:$A$401,$A145)</f>
        <v/>
      </c>
      <c r="F145" s="8" t="n"/>
      <c r="G145" s="8">
        <f>IF($A145="","", $B145+IF($C145="",0,$C145)+IF($D145="",0,$D145)-IF($E145="",0,$E145)-IF($F145="",0,$F145))</f>
        <v/>
      </c>
    </row>
    <row r="146">
      <c r="A146" s="6" t="n"/>
      <c r="B146" s="8" t="n"/>
      <c r="C146" s="8">
        <f>SUMIFS(Repayment_Ledger!$E$2:$E$801,Repayment_Ledger!$G$2:$G$801,$A146)</f>
        <v/>
      </c>
      <c r="D146" s="8" t="n"/>
      <c r="E146" s="8">
        <f>SUMIFS(Expense_Tracking!$F$2:$F$401,Expense_Tracking!$A$2:$A$401,$A146)</f>
        <v/>
      </c>
      <c r="F146" s="8" t="n"/>
      <c r="G146" s="8">
        <f>IF($A146="","", $B146+IF($C146="",0,$C146)+IF($D146="",0,$D146)-IF($E146="",0,$E146)-IF($F146="",0,$F146))</f>
        <v/>
      </c>
    </row>
    <row r="147">
      <c r="A147" s="6" t="n"/>
      <c r="B147" s="8" t="n"/>
      <c r="C147" s="8">
        <f>SUMIFS(Repayment_Ledger!$E$2:$E$801,Repayment_Ledger!$G$2:$G$801,$A147)</f>
        <v/>
      </c>
      <c r="D147" s="8" t="n"/>
      <c r="E147" s="8">
        <f>SUMIFS(Expense_Tracking!$F$2:$F$401,Expense_Tracking!$A$2:$A$401,$A147)</f>
        <v/>
      </c>
      <c r="F147" s="8" t="n"/>
      <c r="G147" s="8">
        <f>IF($A147="","", $B147+IF($C147="",0,$C147)+IF($D147="",0,$D147)-IF($E147="",0,$E147)-IF($F147="",0,$F147))</f>
        <v/>
      </c>
    </row>
    <row r="148">
      <c r="A148" s="6" t="n"/>
      <c r="B148" s="8" t="n"/>
      <c r="C148" s="8">
        <f>SUMIFS(Repayment_Ledger!$E$2:$E$801,Repayment_Ledger!$G$2:$G$801,$A148)</f>
        <v/>
      </c>
      <c r="D148" s="8" t="n"/>
      <c r="E148" s="8">
        <f>SUMIFS(Expense_Tracking!$F$2:$F$401,Expense_Tracking!$A$2:$A$401,$A148)</f>
        <v/>
      </c>
      <c r="F148" s="8" t="n"/>
      <c r="G148" s="8">
        <f>IF($A148="","", $B148+IF($C148="",0,$C148)+IF($D148="",0,$D148)-IF($E148="",0,$E148)-IF($F148="",0,$F148))</f>
        <v/>
      </c>
    </row>
    <row r="149">
      <c r="A149" s="6" t="n"/>
      <c r="B149" s="8" t="n"/>
      <c r="C149" s="8">
        <f>SUMIFS(Repayment_Ledger!$E$2:$E$801,Repayment_Ledger!$G$2:$G$801,$A149)</f>
        <v/>
      </c>
      <c r="D149" s="8" t="n"/>
      <c r="E149" s="8">
        <f>SUMIFS(Expense_Tracking!$F$2:$F$401,Expense_Tracking!$A$2:$A$401,$A149)</f>
        <v/>
      </c>
      <c r="F149" s="8" t="n"/>
      <c r="G149" s="8">
        <f>IF($A149="","", $B149+IF($C149="",0,$C149)+IF($D149="",0,$D149)-IF($E149="",0,$E149)-IF($F149="",0,$F149))</f>
        <v/>
      </c>
    </row>
    <row r="150">
      <c r="A150" s="6" t="n"/>
      <c r="B150" s="8" t="n"/>
      <c r="C150" s="8">
        <f>SUMIFS(Repayment_Ledger!$E$2:$E$801,Repayment_Ledger!$G$2:$G$801,$A150)</f>
        <v/>
      </c>
      <c r="D150" s="8" t="n"/>
      <c r="E150" s="8">
        <f>SUMIFS(Expense_Tracking!$F$2:$F$401,Expense_Tracking!$A$2:$A$401,$A150)</f>
        <v/>
      </c>
      <c r="F150" s="8" t="n"/>
      <c r="G150" s="8">
        <f>IF($A150="","", $B150+IF($C150="",0,$C150)+IF($D150="",0,$D150)-IF($E150="",0,$E150)-IF($F150="",0,$F150))</f>
        <v/>
      </c>
    </row>
    <row r="151">
      <c r="A151" s="6" t="n"/>
      <c r="B151" s="8" t="n"/>
      <c r="C151" s="8">
        <f>SUMIFS(Repayment_Ledger!$E$2:$E$801,Repayment_Ledger!$G$2:$G$801,$A151)</f>
        <v/>
      </c>
      <c r="D151" s="8" t="n"/>
      <c r="E151" s="8">
        <f>SUMIFS(Expense_Tracking!$F$2:$F$401,Expense_Tracking!$A$2:$A$401,$A151)</f>
        <v/>
      </c>
      <c r="F151" s="8" t="n"/>
      <c r="G151" s="8">
        <f>IF($A151="","", $B151+IF($C151="",0,$C151)+IF($D151="",0,$D151)-IF($E151="",0,$E151)-IF($F151="",0,$F151))</f>
        <v/>
      </c>
    </row>
    <row r="152">
      <c r="A152" s="6" t="n"/>
      <c r="B152" s="8" t="n"/>
      <c r="C152" s="8">
        <f>SUMIFS(Repayment_Ledger!$E$2:$E$801,Repayment_Ledger!$G$2:$G$801,$A152)</f>
        <v/>
      </c>
      <c r="D152" s="8" t="n"/>
      <c r="E152" s="8">
        <f>SUMIFS(Expense_Tracking!$F$2:$F$401,Expense_Tracking!$A$2:$A$401,$A152)</f>
        <v/>
      </c>
      <c r="F152" s="8" t="n"/>
      <c r="G152" s="8">
        <f>IF($A152="","", $B152+IF($C152="",0,$C152)+IF($D152="",0,$D152)-IF($E152="",0,$E152)-IF($F152="",0,$F152))</f>
        <v/>
      </c>
    </row>
    <row r="153">
      <c r="A153" s="6" t="n"/>
      <c r="B153" s="8" t="n"/>
      <c r="C153" s="8">
        <f>SUMIFS(Repayment_Ledger!$E$2:$E$801,Repayment_Ledger!$G$2:$G$801,$A153)</f>
        <v/>
      </c>
      <c r="D153" s="8" t="n"/>
      <c r="E153" s="8">
        <f>SUMIFS(Expense_Tracking!$F$2:$F$401,Expense_Tracking!$A$2:$A$401,$A153)</f>
        <v/>
      </c>
      <c r="F153" s="8" t="n"/>
      <c r="G153" s="8">
        <f>IF($A153="","", $B153+IF($C153="",0,$C153)+IF($D153="",0,$D153)-IF($E153="",0,$E153)-IF($F153="",0,$F153))</f>
        <v/>
      </c>
    </row>
    <row r="154">
      <c r="A154" s="6" t="n"/>
      <c r="B154" s="8" t="n"/>
      <c r="C154" s="8">
        <f>SUMIFS(Repayment_Ledger!$E$2:$E$801,Repayment_Ledger!$G$2:$G$801,$A154)</f>
        <v/>
      </c>
      <c r="D154" s="8" t="n"/>
      <c r="E154" s="8">
        <f>SUMIFS(Expense_Tracking!$F$2:$F$401,Expense_Tracking!$A$2:$A$401,$A154)</f>
        <v/>
      </c>
      <c r="F154" s="8" t="n"/>
      <c r="G154" s="8">
        <f>IF($A154="","", $B154+IF($C154="",0,$C154)+IF($D154="",0,$D154)-IF($E154="",0,$E154)-IF($F154="",0,$F154))</f>
        <v/>
      </c>
    </row>
    <row r="155">
      <c r="A155" s="6" t="n"/>
      <c r="B155" s="8" t="n"/>
      <c r="C155" s="8">
        <f>SUMIFS(Repayment_Ledger!$E$2:$E$801,Repayment_Ledger!$G$2:$G$801,$A155)</f>
        <v/>
      </c>
      <c r="D155" s="8" t="n"/>
      <c r="E155" s="8">
        <f>SUMIFS(Expense_Tracking!$F$2:$F$401,Expense_Tracking!$A$2:$A$401,$A155)</f>
        <v/>
      </c>
      <c r="F155" s="8" t="n"/>
      <c r="G155" s="8">
        <f>IF($A155="","", $B155+IF($C155="",0,$C155)+IF($D155="",0,$D155)-IF($E155="",0,$E155)-IF($F155="",0,$F155))</f>
        <v/>
      </c>
    </row>
    <row r="156">
      <c r="A156" s="6" t="n"/>
      <c r="B156" s="8" t="n"/>
      <c r="C156" s="8">
        <f>SUMIFS(Repayment_Ledger!$E$2:$E$801,Repayment_Ledger!$G$2:$G$801,$A156)</f>
        <v/>
      </c>
      <c r="D156" s="8" t="n"/>
      <c r="E156" s="8">
        <f>SUMIFS(Expense_Tracking!$F$2:$F$401,Expense_Tracking!$A$2:$A$401,$A156)</f>
        <v/>
      </c>
      <c r="F156" s="8" t="n"/>
      <c r="G156" s="8">
        <f>IF($A156="","", $B156+IF($C156="",0,$C156)+IF($D156="",0,$D156)-IF($E156="",0,$E156)-IF($F156="",0,$F156))</f>
        <v/>
      </c>
    </row>
    <row r="157">
      <c r="A157" s="6" t="n"/>
      <c r="B157" s="8" t="n"/>
      <c r="C157" s="8">
        <f>SUMIFS(Repayment_Ledger!$E$2:$E$801,Repayment_Ledger!$G$2:$G$801,$A157)</f>
        <v/>
      </c>
      <c r="D157" s="8" t="n"/>
      <c r="E157" s="8">
        <f>SUMIFS(Expense_Tracking!$F$2:$F$401,Expense_Tracking!$A$2:$A$401,$A157)</f>
        <v/>
      </c>
      <c r="F157" s="8" t="n"/>
      <c r="G157" s="8">
        <f>IF($A157="","", $B157+IF($C157="",0,$C157)+IF($D157="",0,$D157)-IF($E157="",0,$E157)-IF($F157="",0,$F157))</f>
        <v/>
      </c>
    </row>
    <row r="158">
      <c r="A158" s="6" t="n"/>
      <c r="B158" s="8" t="n"/>
      <c r="C158" s="8">
        <f>SUMIFS(Repayment_Ledger!$E$2:$E$801,Repayment_Ledger!$G$2:$G$801,$A158)</f>
        <v/>
      </c>
      <c r="D158" s="8" t="n"/>
      <c r="E158" s="8">
        <f>SUMIFS(Expense_Tracking!$F$2:$F$401,Expense_Tracking!$A$2:$A$401,$A158)</f>
        <v/>
      </c>
      <c r="F158" s="8" t="n"/>
      <c r="G158" s="8">
        <f>IF($A158="","", $B158+IF($C158="",0,$C158)+IF($D158="",0,$D158)-IF($E158="",0,$E158)-IF($F158="",0,$F158))</f>
        <v/>
      </c>
    </row>
    <row r="159">
      <c r="A159" s="6" t="n"/>
      <c r="B159" s="8" t="n"/>
      <c r="C159" s="8">
        <f>SUMIFS(Repayment_Ledger!$E$2:$E$801,Repayment_Ledger!$G$2:$G$801,$A159)</f>
        <v/>
      </c>
      <c r="D159" s="8" t="n"/>
      <c r="E159" s="8">
        <f>SUMIFS(Expense_Tracking!$F$2:$F$401,Expense_Tracking!$A$2:$A$401,$A159)</f>
        <v/>
      </c>
      <c r="F159" s="8" t="n"/>
      <c r="G159" s="8">
        <f>IF($A159="","", $B159+IF($C159="",0,$C159)+IF($D159="",0,$D159)-IF($E159="",0,$E159)-IF($F159="",0,$F159))</f>
        <v/>
      </c>
    </row>
    <row r="160">
      <c r="A160" s="6" t="n"/>
      <c r="B160" s="8" t="n"/>
      <c r="C160" s="8">
        <f>SUMIFS(Repayment_Ledger!$E$2:$E$801,Repayment_Ledger!$G$2:$G$801,$A160)</f>
        <v/>
      </c>
      <c r="D160" s="8" t="n"/>
      <c r="E160" s="8">
        <f>SUMIFS(Expense_Tracking!$F$2:$F$401,Expense_Tracking!$A$2:$A$401,$A160)</f>
        <v/>
      </c>
      <c r="F160" s="8" t="n"/>
      <c r="G160" s="8">
        <f>IF($A160="","", $B160+IF($C160="",0,$C160)+IF($D160="",0,$D160)-IF($E160="",0,$E160)-IF($F160="",0,$F160))</f>
        <v/>
      </c>
    </row>
    <row r="161">
      <c r="A161" s="6" t="n"/>
      <c r="B161" s="8" t="n"/>
      <c r="C161" s="8">
        <f>SUMIFS(Repayment_Ledger!$E$2:$E$801,Repayment_Ledger!$G$2:$G$801,$A161)</f>
        <v/>
      </c>
      <c r="D161" s="8" t="n"/>
      <c r="E161" s="8">
        <f>SUMIFS(Expense_Tracking!$F$2:$F$401,Expense_Tracking!$A$2:$A$401,$A161)</f>
        <v/>
      </c>
      <c r="F161" s="8" t="n"/>
      <c r="G161" s="8">
        <f>IF($A161="","", $B161+IF($C161="",0,$C161)+IF($D161="",0,$D161)-IF($E161="",0,$E161)-IF($F161="",0,$F161))</f>
        <v/>
      </c>
    </row>
    <row r="162">
      <c r="A162" s="6" t="n"/>
      <c r="B162" s="8" t="n"/>
      <c r="C162" s="8">
        <f>SUMIFS(Repayment_Ledger!$E$2:$E$801,Repayment_Ledger!$G$2:$G$801,$A162)</f>
        <v/>
      </c>
      <c r="D162" s="8" t="n"/>
      <c r="E162" s="8">
        <f>SUMIFS(Expense_Tracking!$F$2:$F$401,Expense_Tracking!$A$2:$A$401,$A162)</f>
        <v/>
      </c>
      <c r="F162" s="8" t="n"/>
      <c r="G162" s="8">
        <f>IF($A162="","", $B162+IF($C162="",0,$C162)+IF($D162="",0,$D162)-IF($E162="",0,$E162)-IF($F162="",0,$F162))</f>
        <v/>
      </c>
    </row>
    <row r="163">
      <c r="A163" s="6" t="n"/>
      <c r="B163" s="8" t="n"/>
      <c r="C163" s="8">
        <f>SUMIFS(Repayment_Ledger!$E$2:$E$801,Repayment_Ledger!$G$2:$G$801,$A163)</f>
        <v/>
      </c>
      <c r="D163" s="8" t="n"/>
      <c r="E163" s="8">
        <f>SUMIFS(Expense_Tracking!$F$2:$F$401,Expense_Tracking!$A$2:$A$401,$A163)</f>
        <v/>
      </c>
      <c r="F163" s="8" t="n"/>
      <c r="G163" s="8">
        <f>IF($A163="","", $B163+IF($C163="",0,$C163)+IF($D163="",0,$D163)-IF($E163="",0,$E163)-IF($F163="",0,$F163))</f>
        <v/>
      </c>
    </row>
    <row r="164">
      <c r="A164" s="6" t="n"/>
      <c r="B164" s="8" t="n"/>
      <c r="C164" s="8">
        <f>SUMIFS(Repayment_Ledger!$E$2:$E$801,Repayment_Ledger!$G$2:$G$801,$A164)</f>
        <v/>
      </c>
      <c r="D164" s="8" t="n"/>
      <c r="E164" s="8">
        <f>SUMIFS(Expense_Tracking!$F$2:$F$401,Expense_Tracking!$A$2:$A$401,$A164)</f>
        <v/>
      </c>
      <c r="F164" s="8" t="n"/>
      <c r="G164" s="8">
        <f>IF($A164="","", $B164+IF($C164="",0,$C164)+IF($D164="",0,$D164)-IF($E164="",0,$E164)-IF($F164="",0,$F164))</f>
        <v/>
      </c>
    </row>
    <row r="165">
      <c r="A165" s="6" t="n"/>
      <c r="B165" s="8" t="n"/>
      <c r="C165" s="8">
        <f>SUMIFS(Repayment_Ledger!$E$2:$E$801,Repayment_Ledger!$G$2:$G$801,$A165)</f>
        <v/>
      </c>
      <c r="D165" s="8" t="n"/>
      <c r="E165" s="8">
        <f>SUMIFS(Expense_Tracking!$F$2:$F$401,Expense_Tracking!$A$2:$A$401,$A165)</f>
        <v/>
      </c>
      <c r="F165" s="8" t="n"/>
      <c r="G165" s="8">
        <f>IF($A165="","", $B165+IF($C165="",0,$C165)+IF($D165="",0,$D165)-IF($E165="",0,$E165)-IF($F165="",0,$F165))</f>
        <v/>
      </c>
    </row>
    <row r="166">
      <c r="A166" s="6" t="n"/>
      <c r="B166" s="8" t="n"/>
      <c r="C166" s="8">
        <f>SUMIFS(Repayment_Ledger!$E$2:$E$801,Repayment_Ledger!$G$2:$G$801,$A166)</f>
        <v/>
      </c>
      <c r="D166" s="8" t="n"/>
      <c r="E166" s="8">
        <f>SUMIFS(Expense_Tracking!$F$2:$F$401,Expense_Tracking!$A$2:$A$401,$A166)</f>
        <v/>
      </c>
      <c r="F166" s="8" t="n"/>
      <c r="G166" s="8">
        <f>IF($A166="","", $B166+IF($C166="",0,$C166)+IF($D166="",0,$D166)-IF($E166="",0,$E166)-IF($F166="",0,$F166))</f>
        <v/>
      </c>
    </row>
    <row r="167">
      <c r="A167" s="6" t="n"/>
      <c r="B167" s="8" t="n"/>
      <c r="C167" s="8">
        <f>SUMIFS(Repayment_Ledger!$E$2:$E$801,Repayment_Ledger!$G$2:$G$801,$A167)</f>
        <v/>
      </c>
      <c r="D167" s="8" t="n"/>
      <c r="E167" s="8">
        <f>SUMIFS(Expense_Tracking!$F$2:$F$401,Expense_Tracking!$A$2:$A$401,$A167)</f>
        <v/>
      </c>
      <c r="F167" s="8" t="n"/>
      <c r="G167" s="8">
        <f>IF($A167="","", $B167+IF($C167="",0,$C167)+IF($D167="",0,$D167)-IF($E167="",0,$E167)-IF($F167="",0,$F167))</f>
        <v/>
      </c>
    </row>
    <row r="168">
      <c r="A168" s="6" t="n"/>
      <c r="B168" s="8" t="n"/>
      <c r="C168" s="8">
        <f>SUMIFS(Repayment_Ledger!$E$2:$E$801,Repayment_Ledger!$G$2:$G$801,$A168)</f>
        <v/>
      </c>
      <c r="D168" s="8" t="n"/>
      <c r="E168" s="8">
        <f>SUMIFS(Expense_Tracking!$F$2:$F$401,Expense_Tracking!$A$2:$A$401,$A168)</f>
        <v/>
      </c>
      <c r="F168" s="8" t="n"/>
      <c r="G168" s="8">
        <f>IF($A168="","", $B168+IF($C168="",0,$C168)+IF($D168="",0,$D168)-IF($E168="",0,$E168)-IF($F168="",0,$F168))</f>
        <v/>
      </c>
    </row>
    <row r="169">
      <c r="A169" s="6" t="n"/>
      <c r="B169" s="8" t="n"/>
      <c r="C169" s="8">
        <f>SUMIFS(Repayment_Ledger!$E$2:$E$801,Repayment_Ledger!$G$2:$G$801,$A169)</f>
        <v/>
      </c>
      <c r="D169" s="8" t="n"/>
      <c r="E169" s="8">
        <f>SUMIFS(Expense_Tracking!$F$2:$F$401,Expense_Tracking!$A$2:$A$401,$A169)</f>
        <v/>
      </c>
      <c r="F169" s="8" t="n"/>
      <c r="G169" s="8">
        <f>IF($A169="","", $B169+IF($C169="",0,$C169)+IF($D169="",0,$D169)-IF($E169="",0,$E169)-IF($F169="",0,$F169))</f>
        <v/>
      </c>
    </row>
    <row r="170">
      <c r="A170" s="6" t="n"/>
      <c r="B170" s="8" t="n"/>
      <c r="C170" s="8">
        <f>SUMIFS(Repayment_Ledger!$E$2:$E$801,Repayment_Ledger!$G$2:$G$801,$A170)</f>
        <v/>
      </c>
      <c r="D170" s="8" t="n"/>
      <c r="E170" s="8">
        <f>SUMIFS(Expense_Tracking!$F$2:$F$401,Expense_Tracking!$A$2:$A$401,$A170)</f>
        <v/>
      </c>
      <c r="F170" s="8" t="n"/>
      <c r="G170" s="8">
        <f>IF($A170="","", $B170+IF($C170="",0,$C170)+IF($D170="",0,$D170)-IF($E170="",0,$E170)-IF($F170="",0,$F170))</f>
        <v/>
      </c>
    </row>
    <row r="171">
      <c r="A171" s="6" t="n"/>
      <c r="B171" s="8" t="n"/>
      <c r="C171" s="8">
        <f>SUMIFS(Repayment_Ledger!$E$2:$E$801,Repayment_Ledger!$G$2:$G$801,$A171)</f>
        <v/>
      </c>
      <c r="D171" s="8" t="n"/>
      <c r="E171" s="8">
        <f>SUMIFS(Expense_Tracking!$F$2:$F$401,Expense_Tracking!$A$2:$A$401,$A171)</f>
        <v/>
      </c>
      <c r="F171" s="8" t="n"/>
      <c r="G171" s="8">
        <f>IF($A171="","", $B171+IF($C171="",0,$C171)+IF($D171="",0,$D171)-IF($E171="",0,$E171)-IF($F171="",0,$F171))</f>
        <v/>
      </c>
    </row>
    <row r="172">
      <c r="A172" s="6" t="n"/>
      <c r="B172" s="8" t="n"/>
      <c r="C172" s="8">
        <f>SUMIFS(Repayment_Ledger!$E$2:$E$801,Repayment_Ledger!$G$2:$G$801,$A172)</f>
        <v/>
      </c>
      <c r="D172" s="8" t="n"/>
      <c r="E172" s="8">
        <f>SUMIFS(Expense_Tracking!$F$2:$F$401,Expense_Tracking!$A$2:$A$401,$A172)</f>
        <v/>
      </c>
      <c r="F172" s="8" t="n"/>
      <c r="G172" s="8">
        <f>IF($A172="","", $B172+IF($C172="",0,$C172)+IF($D172="",0,$D172)-IF($E172="",0,$E172)-IF($F172="",0,$F172))</f>
        <v/>
      </c>
    </row>
    <row r="173">
      <c r="A173" s="6" t="n"/>
      <c r="B173" s="8" t="n"/>
      <c r="C173" s="8">
        <f>SUMIFS(Repayment_Ledger!$E$2:$E$801,Repayment_Ledger!$G$2:$G$801,$A173)</f>
        <v/>
      </c>
      <c r="D173" s="8" t="n"/>
      <c r="E173" s="8">
        <f>SUMIFS(Expense_Tracking!$F$2:$F$401,Expense_Tracking!$A$2:$A$401,$A173)</f>
        <v/>
      </c>
      <c r="F173" s="8" t="n"/>
      <c r="G173" s="8">
        <f>IF($A173="","", $B173+IF($C173="",0,$C173)+IF($D173="",0,$D173)-IF($E173="",0,$E173)-IF($F173="",0,$F173))</f>
        <v/>
      </c>
    </row>
    <row r="174">
      <c r="A174" s="6" t="n"/>
      <c r="B174" s="8" t="n"/>
      <c r="C174" s="8">
        <f>SUMIFS(Repayment_Ledger!$E$2:$E$801,Repayment_Ledger!$G$2:$G$801,$A174)</f>
        <v/>
      </c>
      <c r="D174" s="8" t="n"/>
      <c r="E174" s="8">
        <f>SUMIFS(Expense_Tracking!$F$2:$F$401,Expense_Tracking!$A$2:$A$401,$A174)</f>
        <v/>
      </c>
      <c r="F174" s="8" t="n"/>
      <c r="G174" s="8">
        <f>IF($A174="","", $B174+IF($C174="",0,$C174)+IF($D174="",0,$D174)-IF($E174="",0,$E174)-IF($F174="",0,$F174))</f>
        <v/>
      </c>
    </row>
    <row r="175">
      <c r="A175" s="6" t="n"/>
      <c r="B175" s="8" t="n"/>
      <c r="C175" s="8">
        <f>SUMIFS(Repayment_Ledger!$E$2:$E$801,Repayment_Ledger!$G$2:$G$801,$A175)</f>
        <v/>
      </c>
      <c r="D175" s="8" t="n"/>
      <c r="E175" s="8">
        <f>SUMIFS(Expense_Tracking!$F$2:$F$401,Expense_Tracking!$A$2:$A$401,$A175)</f>
        <v/>
      </c>
      <c r="F175" s="8" t="n"/>
      <c r="G175" s="8">
        <f>IF($A175="","", $B175+IF($C175="",0,$C175)+IF($D175="",0,$D175)-IF($E175="",0,$E175)-IF($F175="",0,$F175))</f>
        <v/>
      </c>
    </row>
    <row r="176">
      <c r="A176" s="6" t="n"/>
      <c r="B176" s="8" t="n"/>
      <c r="C176" s="8">
        <f>SUMIFS(Repayment_Ledger!$E$2:$E$801,Repayment_Ledger!$G$2:$G$801,$A176)</f>
        <v/>
      </c>
      <c r="D176" s="8" t="n"/>
      <c r="E176" s="8">
        <f>SUMIFS(Expense_Tracking!$F$2:$F$401,Expense_Tracking!$A$2:$A$401,$A176)</f>
        <v/>
      </c>
      <c r="F176" s="8" t="n"/>
      <c r="G176" s="8">
        <f>IF($A176="","", $B176+IF($C176="",0,$C176)+IF($D176="",0,$D176)-IF($E176="",0,$E176)-IF($F176="",0,$F176))</f>
        <v/>
      </c>
    </row>
    <row r="177">
      <c r="A177" s="6" t="n"/>
      <c r="B177" s="8" t="n"/>
      <c r="C177" s="8">
        <f>SUMIFS(Repayment_Ledger!$E$2:$E$801,Repayment_Ledger!$G$2:$G$801,$A177)</f>
        <v/>
      </c>
      <c r="D177" s="8" t="n"/>
      <c r="E177" s="8">
        <f>SUMIFS(Expense_Tracking!$F$2:$F$401,Expense_Tracking!$A$2:$A$401,$A177)</f>
        <v/>
      </c>
      <c r="F177" s="8" t="n"/>
      <c r="G177" s="8">
        <f>IF($A177="","", $B177+IF($C177="",0,$C177)+IF($D177="",0,$D177)-IF($E177="",0,$E177)-IF($F177="",0,$F177))</f>
        <v/>
      </c>
    </row>
    <row r="178">
      <c r="A178" s="6" t="n"/>
      <c r="B178" s="8" t="n"/>
      <c r="C178" s="8">
        <f>SUMIFS(Repayment_Ledger!$E$2:$E$801,Repayment_Ledger!$G$2:$G$801,$A178)</f>
        <v/>
      </c>
      <c r="D178" s="8" t="n"/>
      <c r="E178" s="8">
        <f>SUMIFS(Expense_Tracking!$F$2:$F$401,Expense_Tracking!$A$2:$A$401,$A178)</f>
        <v/>
      </c>
      <c r="F178" s="8" t="n"/>
      <c r="G178" s="8">
        <f>IF($A178="","", $B178+IF($C178="",0,$C178)+IF($D178="",0,$D178)-IF($E178="",0,$E178)-IF($F178="",0,$F178))</f>
        <v/>
      </c>
    </row>
    <row r="179">
      <c r="A179" s="6" t="n"/>
      <c r="B179" s="8" t="n"/>
      <c r="C179" s="8">
        <f>SUMIFS(Repayment_Ledger!$E$2:$E$801,Repayment_Ledger!$G$2:$G$801,$A179)</f>
        <v/>
      </c>
      <c r="D179" s="8" t="n"/>
      <c r="E179" s="8">
        <f>SUMIFS(Expense_Tracking!$F$2:$F$401,Expense_Tracking!$A$2:$A$401,$A179)</f>
        <v/>
      </c>
      <c r="F179" s="8" t="n"/>
      <c r="G179" s="8">
        <f>IF($A179="","", $B179+IF($C179="",0,$C179)+IF($D179="",0,$D179)-IF($E179="",0,$E179)-IF($F179="",0,$F179))</f>
        <v/>
      </c>
    </row>
    <row r="180">
      <c r="A180" s="6" t="n"/>
      <c r="B180" s="8" t="n"/>
      <c r="C180" s="8">
        <f>SUMIFS(Repayment_Ledger!$E$2:$E$801,Repayment_Ledger!$G$2:$G$801,$A180)</f>
        <v/>
      </c>
      <c r="D180" s="8" t="n"/>
      <c r="E180" s="8">
        <f>SUMIFS(Expense_Tracking!$F$2:$F$401,Expense_Tracking!$A$2:$A$401,$A180)</f>
        <v/>
      </c>
      <c r="F180" s="8" t="n"/>
      <c r="G180" s="8">
        <f>IF($A180="","", $B180+IF($C180="",0,$C180)+IF($D180="",0,$D180)-IF($E180="",0,$E180)-IF($F180="",0,$F180))</f>
        <v/>
      </c>
    </row>
    <row r="181">
      <c r="A181" s="6" t="n"/>
      <c r="B181" s="8" t="n"/>
      <c r="C181" s="8">
        <f>SUMIFS(Repayment_Ledger!$E$2:$E$801,Repayment_Ledger!$G$2:$G$801,$A181)</f>
        <v/>
      </c>
      <c r="D181" s="8" t="n"/>
      <c r="E181" s="8">
        <f>SUMIFS(Expense_Tracking!$F$2:$F$401,Expense_Tracking!$A$2:$A$401,$A181)</f>
        <v/>
      </c>
      <c r="F181" s="8" t="n"/>
      <c r="G181" s="8">
        <f>IF($A181="","", $B181+IF($C181="",0,$C181)+IF($D181="",0,$D181)-IF($E181="",0,$E181)-IF($F181="",0,$F181))</f>
        <v/>
      </c>
    </row>
    <row r="182">
      <c r="A182" s="6" t="n"/>
      <c r="B182" s="8" t="n"/>
      <c r="C182" s="8">
        <f>SUMIFS(Repayment_Ledger!$E$2:$E$801,Repayment_Ledger!$G$2:$G$801,$A182)</f>
        <v/>
      </c>
      <c r="D182" s="8" t="n"/>
      <c r="E182" s="8">
        <f>SUMIFS(Expense_Tracking!$F$2:$F$401,Expense_Tracking!$A$2:$A$401,$A182)</f>
        <v/>
      </c>
      <c r="F182" s="8" t="n"/>
      <c r="G182" s="8">
        <f>IF($A182="","", $B182+IF($C182="",0,$C182)+IF($D182="",0,$D182)-IF($E182="",0,$E182)-IF($F182="",0,$F182))</f>
        <v/>
      </c>
    </row>
    <row r="183">
      <c r="A183" s="6" t="n"/>
      <c r="B183" s="8" t="n"/>
      <c r="C183" s="8">
        <f>SUMIFS(Repayment_Ledger!$E$2:$E$801,Repayment_Ledger!$G$2:$G$801,$A183)</f>
        <v/>
      </c>
      <c r="D183" s="8" t="n"/>
      <c r="E183" s="8">
        <f>SUMIFS(Expense_Tracking!$F$2:$F$401,Expense_Tracking!$A$2:$A$401,$A183)</f>
        <v/>
      </c>
      <c r="F183" s="8" t="n"/>
      <c r="G183" s="8">
        <f>IF($A183="","", $B183+IF($C183="",0,$C183)+IF($D183="",0,$D183)-IF($E183="",0,$E183)-IF($F183="",0,$F183))</f>
        <v/>
      </c>
    </row>
    <row r="184">
      <c r="A184" s="6" t="n"/>
      <c r="B184" s="8" t="n"/>
      <c r="C184" s="8">
        <f>SUMIFS(Repayment_Ledger!$E$2:$E$801,Repayment_Ledger!$G$2:$G$801,$A184)</f>
        <v/>
      </c>
      <c r="D184" s="8" t="n"/>
      <c r="E184" s="8">
        <f>SUMIFS(Expense_Tracking!$F$2:$F$401,Expense_Tracking!$A$2:$A$401,$A184)</f>
        <v/>
      </c>
      <c r="F184" s="8" t="n"/>
      <c r="G184" s="8">
        <f>IF($A184="","", $B184+IF($C184="",0,$C184)+IF($D184="",0,$D184)-IF($E184="",0,$E184)-IF($F184="",0,$F184))</f>
        <v/>
      </c>
    </row>
    <row r="185">
      <c r="A185" s="6" t="n"/>
      <c r="B185" s="8" t="n"/>
      <c r="C185" s="8">
        <f>SUMIFS(Repayment_Ledger!$E$2:$E$801,Repayment_Ledger!$G$2:$G$801,$A185)</f>
        <v/>
      </c>
      <c r="D185" s="8" t="n"/>
      <c r="E185" s="8">
        <f>SUMIFS(Expense_Tracking!$F$2:$F$401,Expense_Tracking!$A$2:$A$401,$A185)</f>
        <v/>
      </c>
      <c r="F185" s="8" t="n"/>
      <c r="G185" s="8">
        <f>IF($A185="","", $B185+IF($C185="",0,$C185)+IF($D185="",0,$D185)-IF($E185="",0,$E185)-IF($F185="",0,$F185))</f>
        <v/>
      </c>
    </row>
    <row r="186">
      <c r="A186" s="6" t="n"/>
      <c r="B186" s="8" t="n"/>
      <c r="C186" s="8">
        <f>SUMIFS(Repayment_Ledger!$E$2:$E$801,Repayment_Ledger!$G$2:$G$801,$A186)</f>
        <v/>
      </c>
      <c r="D186" s="8" t="n"/>
      <c r="E186" s="8">
        <f>SUMIFS(Expense_Tracking!$F$2:$F$401,Expense_Tracking!$A$2:$A$401,$A186)</f>
        <v/>
      </c>
      <c r="F186" s="8" t="n"/>
      <c r="G186" s="8">
        <f>IF($A186="","", $B186+IF($C186="",0,$C186)+IF($D186="",0,$D186)-IF($E186="",0,$E186)-IF($F186="",0,$F186))</f>
        <v/>
      </c>
    </row>
    <row r="187">
      <c r="A187" s="6" t="n"/>
      <c r="B187" s="8" t="n"/>
      <c r="C187" s="8">
        <f>SUMIFS(Repayment_Ledger!$E$2:$E$801,Repayment_Ledger!$G$2:$G$801,$A187)</f>
        <v/>
      </c>
      <c r="D187" s="8" t="n"/>
      <c r="E187" s="8">
        <f>SUMIFS(Expense_Tracking!$F$2:$F$401,Expense_Tracking!$A$2:$A$401,$A187)</f>
        <v/>
      </c>
      <c r="F187" s="8" t="n"/>
      <c r="G187" s="8">
        <f>IF($A187="","", $B187+IF($C187="",0,$C187)+IF($D187="",0,$D187)-IF($E187="",0,$E187)-IF($F187="",0,$F187))</f>
        <v/>
      </c>
    </row>
    <row r="188">
      <c r="A188" s="6" t="n"/>
      <c r="B188" s="8" t="n"/>
      <c r="C188" s="8">
        <f>SUMIFS(Repayment_Ledger!$E$2:$E$801,Repayment_Ledger!$G$2:$G$801,$A188)</f>
        <v/>
      </c>
      <c r="D188" s="8" t="n"/>
      <c r="E188" s="8">
        <f>SUMIFS(Expense_Tracking!$F$2:$F$401,Expense_Tracking!$A$2:$A$401,$A188)</f>
        <v/>
      </c>
      <c r="F188" s="8" t="n"/>
      <c r="G188" s="8">
        <f>IF($A188="","", $B188+IF($C188="",0,$C188)+IF($D188="",0,$D188)-IF($E188="",0,$E188)-IF($F188="",0,$F188))</f>
        <v/>
      </c>
    </row>
    <row r="189">
      <c r="A189" s="6" t="n"/>
      <c r="B189" s="8" t="n"/>
      <c r="C189" s="8">
        <f>SUMIFS(Repayment_Ledger!$E$2:$E$801,Repayment_Ledger!$G$2:$G$801,$A189)</f>
        <v/>
      </c>
      <c r="D189" s="8" t="n"/>
      <c r="E189" s="8">
        <f>SUMIFS(Expense_Tracking!$F$2:$F$401,Expense_Tracking!$A$2:$A$401,$A189)</f>
        <v/>
      </c>
      <c r="F189" s="8" t="n"/>
      <c r="G189" s="8">
        <f>IF($A189="","", $B189+IF($C189="",0,$C189)+IF($D189="",0,$D189)-IF($E189="",0,$E189)-IF($F189="",0,$F189))</f>
        <v/>
      </c>
    </row>
    <row r="190">
      <c r="A190" s="6" t="n"/>
      <c r="B190" s="8" t="n"/>
      <c r="C190" s="8">
        <f>SUMIFS(Repayment_Ledger!$E$2:$E$801,Repayment_Ledger!$G$2:$G$801,$A190)</f>
        <v/>
      </c>
      <c r="D190" s="8" t="n"/>
      <c r="E190" s="8">
        <f>SUMIFS(Expense_Tracking!$F$2:$F$401,Expense_Tracking!$A$2:$A$401,$A190)</f>
        <v/>
      </c>
      <c r="F190" s="8" t="n"/>
      <c r="G190" s="8">
        <f>IF($A190="","", $B190+IF($C190="",0,$C190)+IF($D190="",0,$D190)-IF($E190="",0,$E190)-IF($F190="",0,$F190))</f>
        <v/>
      </c>
    </row>
    <row r="191">
      <c r="A191" s="6" t="n"/>
      <c r="B191" s="8" t="n"/>
      <c r="C191" s="8">
        <f>SUMIFS(Repayment_Ledger!$E$2:$E$801,Repayment_Ledger!$G$2:$G$801,$A191)</f>
        <v/>
      </c>
      <c r="D191" s="8" t="n"/>
      <c r="E191" s="8">
        <f>SUMIFS(Expense_Tracking!$F$2:$F$401,Expense_Tracking!$A$2:$A$401,$A191)</f>
        <v/>
      </c>
      <c r="F191" s="8" t="n"/>
      <c r="G191" s="8">
        <f>IF($A191="","", $B191+IF($C191="",0,$C191)+IF($D191="",0,$D191)-IF($E191="",0,$E191)-IF($F191="",0,$F191))</f>
        <v/>
      </c>
    </row>
    <row r="192">
      <c r="A192" s="6" t="n"/>
      <c r="B192" s="8" t="n"/>
      <c r="C192" s="8">
        <f>SUMIFS(Repayment_Ledger!$E$2:$E$801,Repayment_Ledger!$G$2:$G$801,$A192)</f>
        <v/>
      </c>
      <c r="D192" s="8" t="n"/>
      <c r="E192" s="8">
        <f>SUMIFS(Expense_Tracking!$F$2:$F$401,Expense_Tracking!$A$2:$A$401,$A192)</f>
        <v/>
      </c>
      <c r="F192" s="8" t="n"/>
      <c r="G192" s="8">
        <f>IF($A192="","", $B192+IF($C192="",0,$C192)+IF($D192="",0,$D192)-IF($E192="",0,$E192)-IF($F192="",0,$F192))</f>
        <v/>
      </c>
    </row>
    <row r="193">
      <c r="A193" s="6" t="n"/>
      <c r="B193" s="8" t="n"/>
      <c r="C193" s="8">
        <f>SUMIFS(Repayment_Ledger!$E$2:$E$801,Repayment_Ledger!$G$2:$G$801,$A193)</f>
        <v/>
      </c>
      <c r="D193" s="8" t="n"/>
      <c r="E193" s="8">
        <f>SUMIFS(Expense_Tracking!$F$2:$F$401,Expense_Tracking!$A$2:$A$401,$A193)</f>
        <v/>
      </c>
      <c r="F193" s="8" t="n"/>
      <c r="G193" s="8">
        <f>IF($A193="","", $B193+IF($C193="",0,$C193)+IF($D193="",0,$D193)-IF($E193="",0,$E193)-IF($F193="",0,$F193))</f>
        <v/>
      </c>
    </row>
    <row r="194">
      <c r="A194" s="6" t="n"/>
      <c r="B194" s="8" t="n"/>
      <c r="C194" s="8">
        <f>SUMIFS(Repayment_Ledger!$E$2:$E$801,Repayment_Ledger!$G$2:$G$801,$A194)</f>
        <v/>
      </c>
      <c r="D194" s="8" t="n"/>
      <c r="E194" s="8">
        <f>SUMIFS(Expense_Tracking!$F$2:$F$401,Expense_Tracking!$A$2:$A$401,$A194)</f>
        <v/>
      </c>
      <c r="F194" s="8" t="n"/>
      <c r="G194" s="8">
        <f>IF($A194="","", $B194+IF($C194="",0,$C194)+IF($D194="",0,$D194)-IF($E194="",0,$E194)-IF($F194="",0,$F194))</f>
        <v/>
      </c>
    </row>
    <row r="195">
      <c r="A195" s="6" t="n"/>
      <c r="B195" s="8" t="n"/>
      <c r="C195" s="8">
        <f>SUMIFS(Repayment_Ledger!$E$2:$E$801,Repayment_Ledger!$G$2:$G$801,$A195)</f>
        <v/>
      </c>
      <c r="D195" s="8" t="n"/>
      <c r="E195" s="8">
        <f>SUMIFS(Expense_Tracking!$F$2:$F$401,Expense_Tracking!$A$2:$A$401,$A195)</f>
        <v/>
      </c>
      <c r="F195" s="8" t="n"/>
      <c r="G195" s="8">
        <f>IF($A195="","", $B195+IF($C195="",0,$C195)+IF($D195="",0,$D195)-IF($E195="",0,$E195)-IF($F195="",0,$F195))</f>
        <v/>
      </c>
    </row>
    <row r="196">
      <c r="A196" s="6" t="n"/>
      <c r="B196" s="8" t="n"/>
      <c r="C196" s="8">
        <f>SUMIFS(Repayment_Ledger!$E$2:$E$801,Repayment_Ledger!$G$2:$G$801,$A196)</f>
        <v/>
      </c>
      <c r="D196" s="8" t="n"/>
      <c r="E196" s="8">
        <f>SUMIFS(Expense_Tracking!$F$2:$F$401,Expense_Tracking!$A$2:$A$401,$A196)</f>
        <v/>
      </c>
      <c r="F196" s="8" t="n"/>
      <c r="G196" s="8">
        <f>IF($A196="","", $B196+IF($C196="",0,$C196)+IF($D196="",0,$D196)-IF($E196="",0,$E196)-IF($F196="",0,$F196))</f>
        <v/>
      </c>
    </row>
    <row r="197">
      <c r="A197" s="6" t="n"/>
      <c r="B197" s="8" t="n"/>
      <c r="C197" s="8">
        <f>SUMIFS(Repayment_Ledger!$E$2:$E$801,Repayment_Ledger!$G$2:$G$801,$A197)</f>
        <v/>
      </c>
      <c r="D197" s="8" t="n"/>
      <c r="E197" s="8">
        <f>SUMIFS(Expense_Tracking!$F$2:$F$401,Expense_Tracking!$A$2:$A$401,$A197)</f>
        <v/>
      </c>
      <c r="F197" s="8" t="n"/>
      <c r="G197" s="8">
        <f>IF($A197="","", $B197+IF($C197="",0,$C197)+IF($D197="",0,$D197)-IF($E197="",0,$E197)-IF($F197="",0,$F197))</f>
        <v/>
      </c>
    </row>
    <row r="198">
      <c r="A198" s="6" t="n"/>
      <c r="B198" s="8" t="n"/>
      <c r="C198" s="8">
        <f>SUMIFS(Repayment_Ledger!$E$2:$E$801,Repayment_Ledger!$G$2:$G$801,$A198)</f>
        <v/>
      </c>
      <c r="D198" s="8" t="n"/>
      <c r="E198" s="8">
        <f>SUMIFS(Expense_Tracking!$F$2:$F$401,Expense_Tracking!$A$2:$A$401,$A198)</f>
        <v/>
      </c>
      <c r="F198" s="8" t="n"/>
      <c r="G198" s="8">
        <f>IF($A198="","", $B198+IF($C198="",0,$C198)+IF($D198="",0,$D198)-IF($E198="",0,$E198)-IF($F198="",0,$F198))</f>
        <v/>
      </c>
    </row>
    <row r="199">
      <c r="A199" s="6" t="n"/>
      <c r="B199" s="8" t="n"/>
      <c r="C199" s="8">
        <f>SUMIFS(Repayment_Ledger!$E$2:$E$801,Repayment_Ledger!$G$2:$G$801,$A199)</f>
        <v/>
      </c>
      <c r="D199" s="8" t="n"/>
      <c r="E199" s="8">
        <f>SUMIFS(Expense_Tracking!$F$2:$F$401,Expense_Tracking!$A$2:$A$401,$A199)</f>
        <v/>
      </c>
      <c r="F199" s="8" t="n"/>
      <c r="G199" s="8">
        <f>IF($A199="","", $B199+IF($C199="",0,$C199)+IF($D199="",0,$D199)-IF($E199="",0,$E199)-IF($F199="",0,$F199))</f>
        <v/>
      </c>
    </row>
    <row r="200">
      <c r="A200" s="6" t="n"/>
      <c r="B200" s="8" t="n"/>
      <c r="C200" s="8">
        <f>SUMIFS(Repayment_Ledger!$E$2:$E$801,Repayment_Ledger!$G$2:$G$801,$A200)</f>
        <v/>
      </c>
      <c r="D200" s="8" t="n"/>
      <c r="E200" s="8">
        <f>SUMIFS(Expense_Tracking!$F$2:$F$401,Expense_Tracking!$A$2:$A$401,$A200)</f>
        <v/>
      </c>
      <c r="F200" s="8" t="n"/>
      <c r="G200" s="8">
        <f>IF($A200="","", $B200+IF($C200="",0,$C200)+IF($D200="",0,$D200)-IF($E200="",0,$E200)-IF($F200="",0,$F200))</f>
        <v/>
      </c>
    </row>
    <row r="201">
      <c r="A201" s="6" t="n"/>
      <c r="B201" s="8" t="n"/>
      <c r="C201" s="8">
        <f>SUMIFS(Repayment_Ledger!$E$2:$E$801,Repayment_Ledger!$G$2:$G$801,$A201)</f>
        <v/>
      </c>
      <c r="D201" s="8" t="n"/>
      <c r="E201" s="8">
        <f>SUMIFS(Expense_Tracking!$F$2:$F$401,Expense_Tracking!$A$2:$A$401,$A201)</f>
        <v/>
      </c>
      <c r="F201" s="8" t="n"/>
      <c r="G201" s="8">
        <f>IF($A201="","", $B201+IF($C201="",0,$C201)+IF($D201="",0,$D201)-IF($E201="",0,$E201)-IF($F201="",0,$F201))</f>
        <v/>
      </c>
    </row>
  </sheetData>
  <dataValidations count="1">
    <dataValidation sqref="H2:H201" showDropDown="0" showInputMessage="0" showErrorMessage="0" allowBlank="1" type="list">
      <formula1>=StaffNames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6" customWidth="1" min="4" max="4"/>
    <col width="28" customWidth="1" min="5" max="5"/>
    <col width="14" customWidth="1" min="6" max="6"/>
    <col width="18" customWidth="1" min="7" max="7"/>
    <col width="18" customWidth="1" min="8" max="8"/>
    <col width="16" customWidth="1" min="9" max="9"/>
    <col width="24" customWidth="1" min="10" max="10"/>
  </cols>
  <sheetData>
    <row r="1" ht="28" customHeight="1">
      <c r="A1" s="3" t="inlineStr">
        <is>
          <t>Date</t>
        </is>
      </c>
      <c r="B1" s="3" t="inlineStr">
        <is>
          <t>Voucher No</t>
        </is>
      </c>
      <c r="C1" s="3" t="inlineStr">
        <is>
          <t>Paid To</t>
        </is>
      </c>
      <c r="D1" s="3" t="inlineStr">
        <is>
          <t>Category</t>
        </is>
      </c>
      <c r="E1" s="3" t="inlineStr">
        <is>
          <t>Description</t>
        </is>
      </c>
      <c r="F1" s="3" t="inlineStr">
        <is>
          <t>Amount</t>
        </is>
      </c>
      <c r="G1" s="3" t="inlineStr">
        <is>
          <t>Approved By</t>
        </is>
      </c>
      <c r="H1" s="3" t="inlineStr">
        <is>
          <t>Paid By</t>
        </is>
      </c>
      <c r="I1" s="3" t="inlineStr">
        <is>
          <t>Payment Method</t>
        </is>
      </c>
      <c r="J1" s="3" t="inlineStr">
        <is>
          <t>Notes</t>
        </is>
      </c>
    </row>
    <row r="2">
      <c r="A2" s="5" t="n"/>
      <c r="B2" s="4">
        <f>IF($A2="","", "PV"&amp;TEXT(ROW()-1,"0000"))</f>
        <v/>
      </c>
      <c r="C2" s="4" t="n"/>
      <c r="D2" s="4" t="n"/>
      <c r="E2" s="4" t="n"/>
      <c r="F2" s="7" t="n"/>
      <c r="G2" s="4" t="n"/>
      <c r="H2" s="4" t="n"/>
      <c r="I2" s="4" t="n"/>
      <c r="J2" s="4" t="n"/>
    </row>
    <row r="3">
      <c r="A3" s="5" t="n"/>
      <c r="B3" s="4">
        <f>IF($A3="","", "PV"&amp;TEXT(ROW()-1,"0000"))</f>
        <v/>
      </c>
      <c r="C3" s="4" t="n"/>
      <c r="D3" s="4" t="n"/>
      <c r="E3" s="4" t="n"/>
      <c r="F3" s="7" t="n"/>
      <c r="G3" s="4" t="n"/>
      <c r="H3" s="4" t="n"/>
      <c r="I3" s="4" t="n"/>
      <c r="J3" s="4" t="n"/>
    </row>
    <row r="4">
      <c r="A4" s="5" t="n"/>
      <c r="B4" s="4">
        <f>IF($A4="","", "PV"&amp;TEXT(ROW()-1,"0000"))</f>
        <v/>
      </c>
      <c r="C4" s="4" t="n"/>
      <c r="D4" s="4" t="n"/>
      <c r="E4" s="4" t="n"/>
      <c r="F4" s="7" t="n"/>
      <c r="G4" s="4" t="n"/>
      <c r="H4" s="4" t="n"/>
      <c r="I4" s="4" t="n"/>
      <c r="J4" s="4" t="n"/>
    </row>
    <row r="5">
      <c r="A5" s="5" t="n"/>
      <c r="B5" s="4">
        <f>IF($A5="","", "PV"&amp;TEXT(ROW()-1,"0000"))</f>
        <v/>
      </c>
      <c r="C5" s="4" t="n"/>
      <c r="D5" s="4" t="n"/>
      <c r="E5" s="4" t="n"/>
      <c r="F5" s="7" t="n"/>
      <c r="G5" s="4" t="n"/>
      <c r="H5" s="4" t="n"/>
      <c r="I5" s="4" t="n"/>
      <c r="J5" s="4" t="n"/>
    </row>
    <row r="6">
      <c r="A6" s="5" t="n"/>
      <c r="B6" s="4">
        <f>IF($A6="","", "PV"&amp;TEXT(ROW()-1,"0000"))</f>
        <v/>
      </c>
      <c r="C6" s="4" t="n"/>
      <c r="D6" s="4" t="n"/>
      <c r="E6" s="4" t="n"/>
      <c r="F6" s="7" t="n"/>
      <c r="G6" s="4" t="n"/>
      <c r="H6" s="4" t="n"/>
      <c r="I6" s="4" t="n"/>
      <c r="J6" s="4" t="n"/>
    </row>
    <row r="7">
      <c r="A7" s="5" t="n"/>
      <c r="B7" s="4">
        <f>IF($A7="","", "PV"&amp;TEXT(ROW()-1,"0000"))</f>
        <v/>
      </c>
      <c r="C7" s="4" t="n"/>
      <c r="D7" s="4" t="n"/>
      <c r="E7" s="4" t="n"/>
      <c r="F7" s="7" t="n"/>
      <c r="G7" s="4" t="n"/>
      <c r="H7" s="4" t="n"/>
      <c r="I7" s="4" t="n"/>
      <c r="J7" s="4" t="n"/>
    </row>
    <row r="8">
      <c r="A8" s="5" t="n"/>
      <c r="B8" s="4">
        <f>IF($A8="","", "PV"&amp;TEXT(ROW()-1,"0000"))</f>
        <v/>
      </c>
      <c r="C8" s="4" t="n"/>
      <c r="D8" s="4" t="n"/>
      <c r="E8" s="4" t="n"/>
      <c r="F8" s="7" t="n"/>
      <c r="G8" s="4" t="n"/>
      <c r="H8" s="4" t="n"/>
      <c r="I8" s="4" t="n"/>
      <c r="J8" s="4" t="n"/>
    </row>
    <row r="9">
      <c r="A9" s="5" t="n"/>
      <c r="B9" s="4">
        <f>IF($A9="","", "PV"&amp;TEXT(ROW()-1,"0000"))</f>
        <v/>
      </c>
      <c r="C9" s="4" t="n"/>
      <c r="D9" s="4" t="n"/>
      <c r="E9" s="4" t="n"/>
      <c r="F9" s="7" t="n"/>
      <c r="G9" s="4" t="n"/>
      <c r="H9" s="4" t="n"/>
      <c r="I9" s="4" t="n"/>
      <c r="J9" s="4" t="n"/>
    </row>
    <row r="10">
      <c r="A10" s="5" t="n"/>
      <c r="B10" s="4">
        <f>IF($A10="","", "PV"&amp;TEXT(ROW()-1,"0000"))</f>
        <v/>
      </c>
      <c r="C10" s="4" t="n"/>
      <c r="D10" s="4" t="n"/>
      <c r="E10" s="4" t="n"/>
      <c r="F10" s="7" t="n"/>
      <c r="G10" s="4" t="n"/>
      <c r="H10" s="4" t="n"/>
      <c r="I10" s="4" t="n"/>
      <c r="J10" s="4" t="n"/>
    </row>
    <row r="11">
      <c r="A11" s="5" t="n"/>
      <c r="B11" s="4">
        <f>IF($A11="","", "PV"&amp;TEXT(ROW()-1,"0000"))</f>
        <v/>
      </c>
      <c r="C11" s="4" t="n"/>
      <c r="D11" s="4" t="n"/>
      <c r="E11" s="4" t="n"/>
      <c r="F11" s="7" t="n"/>
      <c r="G11" s="4" t="n"/>
      <c r="H11" s="4" t="n"/>
      <c r="I11" s="4" t="n"/>
      <c r="J11" s="4" t="n"/>
    </row>
    <row r="12">
      <c r="A12" s="5" t="n"/>
      <c r="B12" s="4">
        <f>IF($A12="","", "PV"&amp;TEXT(ROW()-1,"0000"))</f>
        <v/>
      </c>
      <c r="C12" s="4" t="n"/>
      <c r="D12" s="4" t="n"/>
      <c r="E12" s="4" t="n"/>
      <c r="F12" s="7" t="n"/>
      <c r="G12" s="4" t="n"/>
      <c r="H12" s="4" t="n"/>
      <c r="I12" s="4" t="n"/>
      <c r="J12" s="4" t="n"/>
    </row>
    <row r="13">
      <c r="A13" s="5" t="n"/>
      <c r="B13" s="4">
        <f>IF($A13="","", "PV"&amp;TEXT(ROW()-1,"0000"))</f>
        <v/>
      </c>
      <c r="C13" s="4" t="n"/>
      <c r="D13" s="4" t="n"/>
      <c r="E13" s="4" t="n"/>
      <c r="F13" s="7" t="n"/>
      <c r="G13" s="4" t="n"/>
      <c r="H13" s="4" t="n"/>
      <c r="I13" s="4" t="n"/>
      <c r="J13" s="4" t="n"/>
    </row>
    <row r="14">
      <c r="A14" s="5" t="n"/>
      <c r="B14" s="4">
        <f>IF($A14="","", "PV"&amp;TEXT(ROW()-1,"0000"))</f>
        <v/>
      </c>
      <c r="C14" s="4" t="n"/>
      <c r="D14" s="4" t="n"/>
      <c r="E14" s="4" t="n"/>
      <c r="F14" s="7" t="n"/>
      <c r="G14" s="4" t="n"/>
      <c r="H14" s="4" t="n"/>
      <c r="I14" s="4" t="n"/>
      <c r="J14" s="4" t="n"/>
    </row>
    <row r="15">
      <c r="A15" s="5" t="n"/>
      <c r="B15" s="4">
        <f>IF($A15="","", "PV"&amp;TEXT(ROW()-1,"0000"))</f>
        <v/>
      </c>
      <c r="C15" s="4" t="n"/>
      <c r="D15" s="4" t="n"/>
      <c r="E15" s="4" t="n"/>
      <c r="F15" s="7" t="n"/>
      <c r="G15" s="4" t="n"/>
      <c r="H15" s="4" t="n"/>
      <c r="I15" s="4" t="n"/>
      <c r="J15" s="4" t="n"/>
    </row>
    <row r="16">
      <c r="A16" s="5" t="n"/>
      <c r="B16" s="4">
        <f>IF($A16="","", "PV"&amp;TEXT(ROW()-1,"0000"))</f>
        <v/>
      </c>
      <c r="C16" s="4" t="n"/>
      <c r="D16" s="4" t="n"/>
      <c r="E16" s="4" t="n"/>
      <c r="F16" s="7" t="n"/>
      <c r="G16" s="4" t="n"/>
      <c r="H16" s="4" t="n"/>
      <c r="I16" s="4" t="n"/>
      <c r="J16" s="4" t="n"/>
    </row>
    <row r="17">
      <c r="A17" s="5" t="n"/>
      <c r="B17" s="4">
        <f>IF($A17="","", "PV"&amp;TEXT(ROW()-1,"0000"))</f>
        <v/>
      </c>
      <c r="C17" s="4" t="n"/>
      <c r="D17" s="4" t="n"/>
      <c r="E17" s="4" t="n"/>
      <c r="F17" s="7" t="n"/>
      <c r="G17" s="4" t="n"/>
      <c r="H17" s="4" t="n"/>
      <c r="I17" s="4" t="n"/>
      <c r="J17" s="4" t="n"/>
    </row>
    <row r="18">
      <c r="A18" s="5" t="n"/>
      <c r="B18" s="4">
        <f>IF($A18="","", "PV"&amp;TEXT(ROW()-1,"0000"))</f>
        <v/>
      </c>
      <c r="C18" s="4" t="n"/>
      <c r="D18" s="4" t="n"/>
      <c r="E18" s="4" t="n"/>
      <c r="F18" s="7" t="n"/>
      <c r="G18" s="4" t="n"/>
      <c r="H18" s="4" t="n"/>
      <c r="I18" s="4" t="n"/>
      <c r="J18" s="4" t="n"/>
    </row>
    <row r="19">
      <c r="A19" s="5" t="n"/>
      <c r="B19" s="4">
        <f>IF($A19="","", "PV"&amp;TEXT(ROW()-1,"0000"))</f>
        <v/>
      </c>
      <c r="C19" s="4" t="n"/>
      <c r="D19" s="4" t="n"/>
      <c r="E19" s="4" t="n"/>
      <c r="F19" s="7" t="n"/>
      <c r="G19" s="4" t="n"/>
      <c r="H19" s="4" t="n"/>
      <c r="I19" s="4" t="n"/>
      <c r="J19" s="4" t="n"/>
    </row>
    <row r="20">
      <c r="A20" s="5" t="n"/>
      <c r="B20" s="4">
        <f>IF($A20="","", "PV"&amp;TEXT(ROW()-1,"0000"))</f>
        <v/>
      </c>
      <c r="C20" s="4" t="n"/>
      <c r="D20" s="4" t="n"/>
      <c r="E20" s="4" t="n"/>
      <c r="F20" s="7" t="n"/>
      <c r="G20" s="4" t="n"/>
      <c r="H20" s="4" t="n"/>
      <c r="I20" s="4" t="n"/>
      <c r="J20" s="4" t="n"/>
    </row>
    <row r="21">
      <c r="A21" s="5" t="n"/>
      <c r="B21" s="4">
        <f>IF($A21="","", "PV"&amp;TEXT(ROW()-1,"0000"))</f>
        <v/>
      </c>
      <c r="C21" s="4" t="n"/>
      <c r="D21" s="4" t="n"/>
      <c r="E21" s="4" t="n"/>
      <c r="F21" s="7" t="n"/>
      <c r="G21" s="4" t="n"/>
      <c r="H21" s="4" t="n"/>
      <c r="I21" s="4" t="n"/>
      <c r="J21" s="4" t="n"/>
    </row>
    <row r="22">
      <c r="A22" s="5" t="n"/>
      <c r="B22" s="4">
        <f>IF($A22="","", "PV"&amp;TEXT(ROW()-1,"0000"))</f>
        <v/>
      </c>
      <c r="C22" s="4" t="n"/>
      <c r="D22" s="4" t="n"/>
      <c r="E22" s="4" t="n"/>
      <c r="F22" s="7" t="n"/>
      <c r="G22" s="4" t="n"/>
      <c r="H22" s="4" t="n"/>
      <c r="I22" s="4" t="n"/>
      <c r="J22" s="4" t="n"/>
    </row>
    <row r="23">
      <c r="A23" s="5" t="n"/>
      <c r="B23" s="4">
        <f>IF($A23="","", "PV"&amp;TEXT(ROW()-1,"0000"))</f>
        <v/>
      </c>
      <c r="C23" s="4" t="n"/>
      <c r="D23" s="4" t="n"/>
      <c r="E23" s="4" t="n"/>
      <c r="F23" s="7" t="n"/>
      <c r="G23" s="4" t="n"/>
      <c r="H23" s="4" t="n"/>
      <c r="I23" s="4" t="n"/>
      <c r="J23" s="4" t="n"/>
    </row>
    <row r="24">
      <c r="A24" s="5" t="n"/>
      <c r="B24" s="4">
        <f>IF($A24="","", "PV"&amp;TEXT(ROW()-1,"0000"))</f>
        <v/>
      </c>
      <c r="C24" s="4" t="n"/>
      <c r="D24" s="4" t="n"/>
      <c r="E24" s="4" t="n"/>
      <c r="F24" s="7" t="n"/>
      <c r="G24" s="4" t="n"/>
      <c r="H24" s="4" t="n"/>
      <c r="I24" s="4" t="n"/>
      <c r="J24" s="4" t="n"/>
    </row>
    <row r="25">
      <c r="A25" s="5" t="n"/>
      <c r="B25" s="4">
        <f>IF($A25="","", "PV"&amp;TEXT(ROW()-1,"0000"))</f>
        <v/>
      </c>
      <c r="C25" s="4" t="n"/>
      <c r="D25" s="4" t="n"/>
      <c r="E25" s="4" t="n"/>
      <c r="F25" s="7" t="n"/>
      <c r="G25" s="4" t="n"/>
      <c r="H25" s="4" t="n"/>
      <c r="I25" s="4" t="n"/>
      <c r="J25" s="4" t="n"/>
    </row>
    <row r="26">
      <c r="A26" s="5" t="n"/>
      <c r="B26" s="4">
        <f>IF($A26="","", "PV"&amp;TEXT(ROW()-1,"0000"))</f>
        <v/>
      </c>
      <c r="C26" s="4" t="n"/>
      <c r="D26" s="4" t="n"/>
      <c r="E26" s="4" t="n"/>
      <c r="F26" s="7" t="n"/>
      <c r="G26" s="4" t="n"/>
      <c r="H26" s="4" t="n"/>
      <c r="I26" s="4" t="n"/>
      <c r="J26" s="4" t="n"/>
    </row>
    <row r="27">
      <c r="A27" s="5" t="n"/>
      <c r="B27" s="4">
        <f>IF($A27="","", "PV"&amp;TEXT(ROW()-1,"0000"))</f>
        <v/>
      </c>
      <c r="C27" s="4" t="n"/>
      <c r="D27" s="4" t="n"/>
      <c r="E27" s="4" t="n"/>
      <c r="F27" s="7" t="n"/>
      <c r="G27" s="4" t="n"/>
      <c r="H27" s="4" t="n"/>
      <c r="I27" s="4" t="n"/>
      <c r="J27" s="4" t="n"/>
    </row>
    <row r="28">
      <c r="A28" s="5" t="n"/>
      <c r="B28" s="4">
        <f>IF($A28="","", "PV"&amp;TEXT(ROW()-1,"0000"))</f>
        <v/>
      </c>
      <c r="C28" s="4" t="n"/>
      <c r="D28" s="4" t="n"/>
      <c r="E28" s="4" t="n"/>
      <c r="F28" s="7" t="n"/>
      <c r="G28" s="4" t="n"/>
      <c r="H28" s="4" t="n"/>
      <c r="I28" s="4" t="n"/>
      <c r="J28" s="4" t="n"/>
    </row>
    <row r="29">
      <c r="A29" s="5" t="n"/>
      <c r="B29" s="4">
        <f>IF($A29="","", "PV"&amp;TEXT(ROW()-1,"0000"))</f>
        <v/>
      </c>
      <c r="C29" s="4" t="n"/>
      <c r="D29" s="4" t="n"/>
      <c r="E29" s="4" t="n"/>
      <c r="F29" s="7" t="n"/>
      <c r="G29" s="4" t="n"/>
      <c r="H29" s="4" t="n"/>
      <c r="I29" s="4" t="n"/>
      <c r="J29" s="4" t="n"/>
    </row>
    <row r="30">
      <c r="A30" s="5" t="n"/>
      <c r="B30" s="4">
        <f>IF($A30="","", "PV"&amp;TEXT(ROW()-1,"0000"))</f>
        <v/>
      </c>
      <c r="C30" s="4" t="n"/>
      <c r="D30" s="4" t="n"/>
      <c r="E30" s="4" t="n"/>
      <c r="F30" s="7" t="n"/>
      <c r="G30" s="4" t="n"/>
      <c r="H30" s="4" t="n"/>
      <c r="I30" s="4" t="n"/>
      <c r="J30" s="4" t="n"/>
    </row>
    <row r="31">
      <c r="A31" s="5" t="n"/>
      <c r="B31" s="4">
        <f>IF($A31="","", "PV"&amp;TEXT(ROW()-1,"0000"))</f>
        <v/>
      </c>
      <c r="C31" s="4" t="n"/>
      <c r="D31" s="4" t="n"/>
      <c r="E31" s="4" t="n"/>
      <c r="F31" s="7" t="n"/>
      <c r="G31" s="4" t="n"/>
      <c r="H31" s="4" t="n"/>
      <c r="I31" s="4" t="n"/>
      <c r="J31" s="4" t="n"/>
    </row>
    <row r="32">
      <c r="A32" s="5" t="n"/>
      <c r="B32" s="4">
        <f>IF($A32="","", "PV"&amp;TEXT(ROW()-1,"0000"))</f>
        <v/>
      </c>
      <c r="C32" s="4" t="n"/>
      <c r="D32" s="4" t="n"/>
      <c r="E32" s="4" t="n"/>
      <c r="F32" s="7" t="n"/>
      <c r="G32" s="4" t="n"/>
      <c r="H32" s="4" t="n"/>
      <c r="I32" s="4" t="n"/>
      <c r="J32" s="4" t="n"/>
    </row>
    <row r="33">
      <c r="A33" s="5" t="n"/>
      <c r="B33" s="4">
        <f>IF($A33="","", "PV"&amp;TEXT(ROW()-1,"0000"))</f>
        <v/>
      </c>
      <c r="C33" s="4" t="n"/>
      <c r="D33" s="4" t="n"/>
      <c r="E33" s="4" t="n"/>
      <c r="F33" s="7" t="n"/>
      <c r="G33" s="4" t="n"/>
      <c r="H33" s="4" t="n"/>
      <c r="I33" s="4" t="n"/>
      <c r="J33" s="4" t="n"/>
    </row>
    <row r="34">
      <c r="A34" s="5" t="n"/>
      <c r="B34" s="4">
        <f>IF($A34="","", "PV"&amp;TEXT(ROW()-1,"0000"))</f>
        <v/>
      </c>
      <c r="C34" s="4" t="n"/>
      <c r="D34" s="4" t="n"/>
      <c r="E34" s="4" t="n"/>
      <c r="F34" s="7" t="n"/>
      <c r="G34" s="4" t="n"/>
      <c r="H34" s="4" t="n"/>
      <c r="I34" s="4" t="n"/>
      <c r="J34" s="4" t="n"/>
    </row>
    <row r="35">
      <c r="A35" s="5" t="n"/>
      <c r="B35" s="4">
        <f>IF($A35="","", "PV"&amp;TEXT(ROW()-1,"0000"))</f>
        <v/>
      </c>
      <c r="C35" s="4" t="n"/>
      <c r="D35" s="4" t="n"/>
      <c r="E35" s="4" t="n"/>
      <c r="F35" s="7" t="n"/>
      <c r="G35" s="4" t="n"/>
      <c r="H35" s="4" t="n"/>
      <c r="I35" s="4" t="n"/>
      <c r="J35" s="4" t="n"/>
    </row>
    <row r="36">
      <c r="A36" s="5" t="n"/>
      <c r="B36" s="4">
        <f>IF($A36="","", "PV"&amp;TEXT(ROW()-1,"0000"))</f>
        <v/>
      </c>
      <c r="C36" s="4" t="n"/>
      <c r="D36" s="4" t="n"/>
      <c r="E36" s="4" t="n"/>
      <c r="F36" s="7" t="n"/>
      <c r="G36" s="4" t="n"/>
      <c r="H36" s="4" t="n"/>
      <c r="I36" s="4" t="n"/>
      <c r="J36" s="4" t="n"/>
    </row>
    <row r="37">
      <c r="A37" s="5" t="n"/>
      <c r="B37" s="4">
        <f>IF($A37="","", "PV"&amp;TEXT(ROW()-1,"0000"))</f>
        <v/>
      </c>
      <c r="C37" s="4" t="n"/>
      <c r="D37" s="4" t="n"/>
      <c r="E37" s="4" t="n"/>
      <c r="F37" s="7" t="n"/>
      <c r="G37" s="4" t="n"/>
      <c r="H37" s="4" t="n"/>
      <c r="I37" s="4" t="n"/>
      <c r="J37" s="4" t="n"/>
    </row>
    <row r="38">
      <c r="A38" s="5" t="n"/>
      <c r="B38" s="4">
        <f>IF($A38="","", "PV"&amp;TEXT(ROW()-1,"0000"))</f>
        <v/>
      </c>
      <c r="C38" s="4" t="n"/>
      <c r="D38" s="4" t="n"/>
      <c r="E38" s="4" t="n"/>
      <c r="F38" s="7" t="n"/>
      <c r="G38" s="4" t="n"/>
      <c r="H38" s="4" t="n"/>
      <c r="I38" s="4" t="n"/>
      <c r="J38" s="4" t="n"/>
    </row>
    <row r="39">
      <c r="A39" s="5" t="n"/>
      <c r="B39" s="4">
        <f>IF($A39="","", "PV"&amp;TEXT(ROW()-1,"0000"))</f>
        <v/>
      </c>
      <c r="C39" s="4" t="n"/>
      <c r="D39" s="4" t="n"/>
      <c r="E39" s="4" t="n"/>
      <c r="F39" s="7" t="n"/>
      <c r="G39" s="4" t="n"/>
      <c r="H39" s="4" t="n"/>
      <c r="I39" s="4" t="n"/>
      <c r="J39" s="4" t="n"/>
    </row>
    <row r="40">
      <c r="A40" s="5" t="n"/>
      <c r="B40" s="4">
        <f>IF($A40="","", "PV"&amp;TEXT(ROW()-1,"0000"))</f>
        <v/>
      </c>
      <c r="C40" s="4" t="n"/>
      <c r="D40" s="4" t="n"/>
      <c r="E40" s="4" t="n"/>
      <c r="F40" s="7" t="n"/>
      <c r="G40" s="4" t="n"/>
      <c r="H40" s="4" t="n"/>
      <c r="I40" s="4" t="n"/>
      <c r="J40" s="4" t="n"/>
    </row>
    <row r="41">
      <c r="A41" s="5" t="n"/>
      <c r="B41" s="4">
        <f>IF($A41="","", "PV"&amp;TEXT(ROW()-1,"0000"))</f>
        <v/>
      </c>
      <c r="C41" s="4" t="n"/>
      <c r="D41" s="4" t="n"/>
      <c r="E41" s="4" t="n"/>
      <c r="F41" s="7" t="n"/>
      <c r="G41" s="4" t="n"/>
      <c r="H41" s="4" t="n"/>
      <c r="I41" s="4" t="n"/>
      <c r="J41" s="4" t="n"/>
    </row>
    <row r="42">
      <c r="A42" s="5" t="n"/>
      <c r="B42" s="4">
        <f>IF($A42="","", "PV"&amp;TEXT(ROW()-1,"0000"))</f>
        <v/>
      </c>
      <c r="C42" s="4" t="n"/>
      <c r="D42" s="4" t="n"/>
      <c r="E42" s="4" t="n"/>
      <c r="F42" s="7" t="n"/>
      <c r="G42" s="4" t="n"/>
      <c r="H42" s="4" t="n"/>
      <c r="I42" s="4" t="n"/>
      <c r="J42" s="4" t="n"/>
    </row>
    <row r="43">
      <c r="A43" s="5" t="n"/>
      <c r="B43" s="4">
        <f>IF($A43="","", "PV"&amp;TEXT(ROW()-1,"0000"))</f>
        <v/>
      </c>
      <c r="C43" s="4" t="n"/>
      <c r="D43" s="4" t="n"/>
      <c r="E43" s="4" t="n"/>
      <c r="F43" s="7" t="n"/>
      <c r="G43" s="4" t="n"/>
      <c r="H43" s="4" t="n"/>
      <c r="I43" s="4" t="n"/>
      <c r="J43" s="4" t="n"/>
    </row>
    <row r="44">
      <c r="A44" s="5" t="n"/>
      <c r="B44" s="4">
        <f>IF($A44="","", "PV"&amp;TEXT(ROW()-1,"0000"))</f>
        <v/>
      </c>
      <c r="C44" s="4" t="n"/>
      <c r="D44" s="4" t="n"/>
      <c r="E44" s="4" t="n"/>
      <c r="F44" s="7" t="n"/>
      <c r="G44" s="4" t="n"/>
      <c r="H44" s="4" t="n"/>
      <c r="I44" s="4" t="n"/>
      <c r="J44" s="4" t="n"/>
    </row>
    <row r="45">
      <c r="A45" s="5" t="n"/>
      <c r="B45" s="4">
        <f>IF($A45="","", "PV"&amp;TEXT(ROW()-1,"0000"))</f>
        <v/>
      </c>
      <c r="C45" s="4" t="n"/>
      <c r="D45" s="4" t="n"/>
      <c r="E45" s="4" t="n"/>
      <c r="F45" s="7" t="n"/>
      <c r="G45" s="4" t="n"/>
      <c r="H45" s="4" t="n"/>
      <c r="I45" s="4" t="n"/>
      <c r="J45" s="4" t="n"/>
    </row>
    <row r="46">
      <c r="A46" s="5" t="n"/>
      <c r="B46" s="4">
        <f>IF($A46="","", "PV"&amp;TEXT(ROW()-1,"0000"))</f>
        <v/>
      </c>
      <c r="C46" s="4" t="n"/>
      <c r="D46" s="4" t="n"/>
      <c r="E46" s="4" t="n"/>
      <c r="F46" s="7" t="n"/>
      <c r="G46" s="4" t="n"/>
      <c r="H46" s="4" t="n"/>
      <c r="I46" s="4" t="n"/>
      <c r="J46" s="4" t="n"/>
    </row>
    <row r="47">
      <c r="A47" s="5" t="n"/>
      <c r="B47" s="4">
        <f>IF($A47="","", "PV"&amp;TEXT(ROW()-1,"0000"))</f>
        <v/>
      </c>
      <c r="C47" s="4" t="n"/>
      <c r="D47" s="4" t="n"/>
      <c r="E47" s="4" t="n"/>
      <c r="F47" s="7" t="n"/>
      <c r="G47" s="4" t="n"/>
      <c r="H47" s="4" t="n"/>
      <c r="I47" s="4" t="n"/>
      <c r="J47" s="4" t="n"/>
    </row>
    <row r="48">
      <c r="A48" s="5" t="n"/>
      <c r="B48" s="4">
        <f>IF($A48="","", "PV"&amp;TEXT(ROW()-1,"0000"))</f>
        <v/>
      </c>
      <c r="C48" s="4" t="n"/>
      <c r="D48" s="4" t="n"/>
      <c r="E48" s="4" t="n"/>
      <c r="F48" s="7" t="n"/>
      <c r="G48" s="4" t="n"/>
      <c r="H48" s="4" t="n"/>
      <c r="I48" s="4" t="n"/>
      <c r="J48" s="4" t="n"/>
    </row>
    <row r="49">
      <c r="A49" s="5" t="n"/>
      <c r="B49" s="4">
        <f>IF($A49="","", "PV"&amp;TEXT(ROW()-1,"0000"))</f>
        <v/>
      </c>
      <c r="C49" s="4" t="n"/>
      <c r="D49" s="4" t="n"/>
      <c r="E49" s="4" t="n"/>
      <c r="F49" s="7" t="n"/>
      <c r="G49" s="4" t="n"/>
      <c r="H49" s="4" t="n"/>
      <c r="I49" s="4" t="n"/>
      <c r="J49" s="4" t="n"/>
    </row>
    <row r="50">
      <c r="A50" s="5" t="n"/>
      <c r="B50" s="4">
        <f>IF($A50="","", "PV"&amp;TEXT(ROW()-1,"0000"))</f>
        <v/>
      </c>
      <c r="C50" s="4" t="n"/>
      <c r="D50" s="4" t="n"/>
      <c r="E50" s="4" t="n"/>
      <c r="F50" s="7" t="n"/>
      <c r="G50" s="4" t="n"/>
      <c r="H50" s="4" t="n"/>
      <c r="I50" s="4" t="n"/>
      <c r="J50" s="4" t="n"/>
    </row>
    <row r="51">
      <c r="A51" s="5" t="n"/>
      <c r="B51" s="4">
        <f>IF($A51="","", "PV"&amp;TEXT(ROW()-1,"0000"))</f>
        <v/>
      </c>
      <c r="C51" s="4" t="n"/>
      <c r="D51" s="4" t="n"/>
      <c r="E51" s="4" t="n"/>
      <c r="F51" s="7" t="n"/>
      <c r="G51" s="4" t="n"/>
      <c r="H51" s="4" t="n"/>
      <c r="I51" s="4" t="n"/>
      <c r="J51" s="4" t="n"/>
    </row>
    <row r="52">
      <c r="A52" s="5" t="n"/>
      <c r="B52" s="4">
        <f>IF($A52="","", "PV"&amp;TEXT(ROW()-1,"0000"))</f>
        <v/>
      </c>
      <c r="C52" s="4" t="n"/>
      <c r="D52" s="4" t="n"/>
      <c r="E52" s="4" t="n"/>
      <c r="F52" s="7" t="n"/>
      <c r="G52" s="4" t="n"/>
      <c r="H52" s="4" t="n"/>
      <c r="I52" s="4" t="n"/>
      <c r="J52" s="4" t="n"/>
    </row>
    <row r="53">
      <c r="A53" s="5" t="n"/>
      <c r="B53" s="4">
        <f>IF($A53="","", "PV"&amp;TEXT(ROW()-1,"0000"))</f>
        <v/>
      </c>
      <c r="C53" s="4" t="n"/>
      <c r="D53" s="4" t="n"/>
      <c r="E53" s="4" t="n"/>
      <c r="F53" s="7" t="n"/>
      <c r="G53" s="4" t="n"/>
      <c r="H53" s="4" t="n"/>
      <c r="I53" s="4" t="n"/>
      <c r="J53" s="4" t="n"/>
    </row>
    <row r="54">
      <c r="A54" s="5" t="n"/>
      <c r="B54" s="4">
        <f>IF($A54="","", "PV"&amp;TEXT(ROW()-1,"0000"))</f>
        <v/>
      </c>
      <c r="C54" s="4" t="n"/>
      <c r="D54" s="4" t="n"/>
      <c r="E54" s="4" t="n"/>
      <c r="F54" s="7" t="n"/>
      <c r="G54" s="4" t="n"/>
      <c r="H54" s="4" t="n"/>
      <c r="I54" s="4" t="n"/>
      <c r="J54" s="4" t="n"/>
    </row>
    <row r="55">
      <c r="A55" s="5" t="n"/>
      <c r="B55" s="4">
        <f>IF($A55="","", "PV"&amp;TEXT(ROW()-1,"0000"))</f>
        <v/>
      </c>
      <c r="C55" s="4" t="n"/>
      <c r="D55" s="4" t="n"/>
      <c r="E55" s="4" t="n"/>
      <c r="F55" s="7" t="n"/>
      <c r="G55" s="4" t="n"/>
      <c r="H55" s="4" t="n"/>
      <c r="I55" s="4" t="n"/>
      <c r="J55" s="4" t="n"/>
    </row>
    <row r="56">
      <c r="A56" s="5" t="n"/>
      <c r="B56" s="4">
        <f>IF($A56="","", "PV"&amp;TEXT(ROW()-1,"0000"))</f>
        <v/>
      </c>
      <c r="C56" s="4" t="n"/>
      <c r="D56" s="4" t="n"/>
      <c r="E56" s="4" t="n"/>
      <c r="F56" s="7" t="n"/>
      <c r="G56" s="4" t="n"/>
      <c r="H56" s="4" t="n"/>
      <c r="I56" s="4" t="n"/>
      <c r="J56" s="4" t="n"/>
    </row>
    <row r="57">
      <c r="A57" s="5" t="n"/>
      <c r="B57" s="4">
        <f>IF($A57="","", "PV"&amp;TEXT(ROW()-1,"0000"))</f>
        <v/>
      </c>
      <c r="C57" s="4" t="n"/>
      <c r="D57" s="4" t="n"/>
      <c r="E57" s="4" t="n"/>
      <c r="F57" s="7" t="n"/>
      <c r="G57" s="4" t="n"/>
      <c r="H57" s="4" t="n"/>
      <c r="I57" s="4" t="n"/>
      <c r="J57" s="4" t="n"/>
    </row>
    <row r="58">
      <c r="A58" s="5" t="n"/>
      <c r="B58" s="4">
        <f>IF($A58="","", "PV"&amp;TEXT(ROW()-1,"0000"))</f>
        <v/>
      </c>
      <c r="C58" s="4" t="n"/>
      <c r="D58" s="4" t="n"/>
      <c r="E58" s="4" t="n"/>
      <c r="F58" s="7" t="n"/>
      <c r="G58" s="4" t="n"/>
      <c r="H58" s="4" t="n"/>
      <c r="I58" s="4" t="n"/>
      <c r="J58" s="4" t="n"/>
    </row>
    <row r="59">
      <c r="A59" s="5" t="n"/>
      <c r="B59" s="4">
        <f>IF($A59="","", "PV"&amp;TEXT(ROW()-1,"0000"))</f>
        <v/>
      </c>
      <c r="C59" s="4" t="n"/>
      <c r="D59" s="4" t="n"/>
      <c r="E59" s="4" t="n"/>
      <c r="F59" s="7" t="n"/>
      <c r="G59" s="4" t="n"/>
      <c r="H59" s="4" t="n"/>
      <c r="I59" s="4" t="n"/>
      <c r="J59" s="4" t="n"/>
    </row>
    <row r="60">
      <c r="A60" s="5" t="n"/>
      <c r="B60" s="4">
        <f>IF($A60="","", "PV"&amp;TEXT(ROW()-1,"0000"))</f>
        <v/>
      </c>
      <c r="C60" s="4" t="n"/>
      <c r="D60" s="4" t="n"/>
      <c r="E60" s="4" t="n"/>
      <c r="F60" s="7" t="n"/>
      <c r="G60" s="4" t="n"/>
      <c r="H60" s="4" t="n"/>
      <c r="I60" s="4" t="n"/>
      <c r="J60" s="4" t="n"/>
    </row>
    <row r="61">
      <c r="A61" s="5" t="n"/>
      <c r="B61" s="4">
        <f>IF($A61="","", "PV"&amp;TEXT(ROW()-1,"0000"))</f>
        <v/>
      </c>
      <c r="C61" s="4" t="n"/>
      <c r="D61" s="4" t="n"/>
      <c r="E61" s="4" t="n"/>
      <c r="F61" s="7" t="n"/>
      <c r="G61" s="4" t="n"/>
      <c r="H61" s="4" t="n"/>
      <c r="I61" s="4" t="n"/>
      <c r="J61" s="4" t="n"/>
    </row>
    <row r="62">
      <c r="A62" s="5" t="n"/>
      <c r="B62" s="4">
        <f>IF($A62="","", "PV"&amp;TEXT(ROW()-1,"0000"))</f>
        <v/>
      </c>
      <c r="C62" s="4" t="n"/>
      <c r="D62" s="4" t="n"/>
      <c r="E62" s="4" t="n"/>
      <c r="F62" s="7" t="n"/>
      <c r="G62" s="4" t="n"/>
      <c r="H62" s="4" t="n"/>
      <c r="I62" s="4" t="n"/>
      <c r="J62" s="4" t="n"/>
    </row>
    <row r="63">
      <c r="A63" s="5" t="n"/>
      <c r="B63" s="4">
        <f>IF($A63="","", "PV"&amp;TEXT(ROW()-1,"0000"))</f>
        <v/>
      </c>
      <c r="C63" s="4" t="n"/>
      <c r="D63" s="4" t="n"/>
      <c r="E63" s="4" t="n"/>
      <c r="F63" s="7" t="n"/>
      <c r="G63" s="4" t="n"/>
      <c r="H63" s="4" t="n"/>
      <c r="I63" s="4" t="n"/>
      <c r="J63" s="4" t="n"/>
    </row>
    <row r="64">
      <c r="A64" s="5" t="n"/>
      <c r="B64" s="4">
        <f>IF($A64="","", "PV"&amp;TEXT(ROW()-1,"0000"))</f>
        <v/>
      </c>
      <c r="C64" s="4" t="n"/>
      <c r="D64" s="4" t="n"/>
      <c r="E64" s="4" t="n"/>
      <c r="F64" s="7" t="n"/>
      <c r="G64" s="4" t="n"/>
      <c r="H64" s="4" t="n"/>
      <c r="I64" s="4" t="n"/>
      <c r="J64" s="4" t="n"/>
    </row>
    <row r="65">
      <c r="A65" s="5" t="n"/>
      <c r="B65" s="4">
        <f>IF($A65="","", "PV"&amp;TEXT(ROW()-1,"0000"))</f>
        <v/>
      </c>
      <c r="C65" s="4" t="n"/>
      <c r="D65" s="4" t="n"/>
      <c r="E65" s="4" t="n"/>
      <c r="F65" s="7" t="n"/>
      <c r="G65" s="4" t="n"/>
      <c r="H65" s="4" t="n"/>
      <c r="I65" s="4" t="n"/>
      <c r="J65" s="4" t="n"/>
    </row>
    <row r="66">
      <c r="A66" s="5" t="n"/>
      <c r="B66" s="4">
        <f>IF($A66="","", "PV"&amp;TEXT(ROW()-1,"0000"))</f>
        <v/>
      </c>
      <c r="C66" s="4" t="n"/>
      <c r="D66" s="4" t="n"/>
      <c r="E66" s="4" t="n"/>
      <c r="F66" s="7" t="n"/>
      <c r="G66" s="4" t="n"/>
      <c r="H66" s="4" t="n"/>
      <c r="I66" s="4" t="n"/>
      <c r="J66" s="4" t="n"/>
    </row>
    <row r="67">
      <c r="A67" s="5" t="n"/>
      <c r="B67" s="4">
        <f>IF($A67="","", "PV"&amp;TEXT(ROW()-1,"0000"))</f>
        <v/>
      </c>
      <c r="C67" s="4" t="n"/>
      <c r="D67" s="4" t="n"/>
      <c r="E67" s="4" t="n"/>
      <c r="F67" s="7" t="n"/>
      <c r="G67" s="4" t="n"/>
      <c r="H67" s="4" t="n"/>
      <c r="I67" s="4" t="n"/>
      <c r="J67" s="4" t="n"/>
    </row>
    <row r="68">
      <c r="A68" s="5" t="n"/>
      <c r="B68" s="4">
        <f>IF($A68="","", "PV"&amp;TEXT(ROW()-1,"0000"))</f>
        <v/>
      </c>
      <c r="C68" s="4" t="n"/>
      <c r="D68" s="4" t="n"/>
      <c r="E68" s="4" t="n"/>
      <c r="F68" s="7" t="n"/>
      <c r="G68" s="4" t="n"/>
      <c r="H68" s="4" t="n"/>
      <c r="I68" s="4" t="n"/>
      <c r="J68" s="4" t="n"/>
    </row>
    <row r="69">
      <c r="A69" s="5" t="n"/>
      <c r="B69" s="4">
        <f>IF($A69="","", "PV"&amp;TEXT(ROW()-1,"0000"))</f>
        <v/>
      </c>
      <c r="C69" s="4" t="n"/>
      <c r="D69" s="4" t="n"/>
      <c r="E69" s="4" t="n"/>
      <c r="F69" s="7" t="n"/>
      <c r="G69" s="4" t="n"/>
      <c r="H69" s="4" t="n"/>
      <c r="I69" s="4" t="n"/>
      <c r="J69" s="4" t="n"/>
    </row>
    <row r="70">
      <c r="A70" s="5" t="n"/>
      <c r="B70" s="4">
        <f>IF($A70="","", "PV"&amp;TEXT(ROW()-1,"0000"))</f>
        <v/>
      </c>
      <c r="C70" s="4" t="n"/>
      <c r="D70" s="4" t="n"/>
      <c r="E70" s="4" t="n"/>
      <c r="F70" s="7" t="n"/>
      <c r="G70" s="4" t="n"/>
      <c r="H70" s="4" t="n"/>
      <c r="I70" s="4" t="n"/>
      <c r="J70" s="4" t="n"/>
    </row>
    <row r="71">
      <c r="A71" s="5" t="n"/>
      <c r="B71" s="4">
        <f>IF($A71="","", "PV"&amp;TEXT(ROW()-1,"0000"))</f>
        <v/>
      </c>
      <c r="C71" s="4" t="n"/>
      <c r="D71" s="4" t="n"/>
      <c r="E71" s="4" t="n"/>
      <c r="F71" s="7" t="n"/>
      <c r="G71" s="4" t="n"/>
      <c r="H71" s="4" t="n"/>
      <c r="I71" s="4" t="n"/>
      <c r="J71" s="4" t="n"/>
    </row>
    <row r="72">
      <c r="A72" s="5" t="n"/>
      <c r="B72" s="4">
        <f>IF($A72="","", "PV"&amp;TEXT(ROW()-1,"0000"))</f>
        <v/>
      </c>
      <c r="C72" s="4" t="n"/>
      <c r="D72" s="4" t="n"/>
      <c r="E72" s="4" t="n"/>
      <c r="F72" s="7" t="n"/>
      <c r="G72" s="4" t="n"/>
      <c r="H72" s="4" t="n"/>
      <c r="I72" s="4" t="n"/>
      <c r="J72" s="4" t="n"/>
    </row>
    <row r="73">
      <c r="A73" s="5" t="n"/>
      <c r="B73" s="4">
        <f>IF($A73="","", "PV"&amp;TEXT(ROW()-1,"0000"))</f>
        <v/>
      </c>
      <c r="C73" s="4" t="n"/>
      <c r="D73" s="4" t="n"/>
      <c r="E73" s="4" t="n"/>
      <c r="F73" s="7" t="n"/>
      <c r="G73" s="4" t="n"/>
      <c r="H73" s="4" t="n"/>
      <c r="I73" s="4" t="n"/>
      <c r="J73" s="4" t="n"/>
    </row>
    <row r="74">
      <c r="A74" s="5" t="n"/>
      <c r="B74" s="4">
        <f>IF($A74="","", "PV"&amp;TEXT(ROW()-1,"0000"))</f>
        <v/>
      </c>
      <c r="C74" s="4" t="n"/>
      <c r="D74" s="4" t="n"/>
      <c r="E74" s="4" t="n"/>
      <c r="F74" s="7" t="n"/>
      <c r="G74" s="4" t="n"/>
      <c r="H74" s="4" t="n"/>
      <c r="I74" s="4" t="n"/>
      <c r="J74" s="4" t="n"/>
    </row>
    <row r="75">
      <c r="A75" s="5" t="n"/>
      <c r="B75" s="4">
        <f>IF($A75="","", "PV"&amp;TEXT(ROW()-1,"0000"))</f>
        <v/>
      </c>
      <c r="C75" s="4" t="n"/>
      <c r="D75" s="4" t="n"/>
      <c r="E75" s="4" t="n"/>
      <c r="F75" s="7" t="n"/>
      <c r="G75" s="4" t="n"/>
      <c r="H75" s="4" t="n"/>
      <c r="I75" s="4" t="n"/>
      <c r="J75" s="4" t="n"/>
    </row>
    <row r="76">
      <c r="A76" s="5" t="n"/>
      <c r="B76" s="4">
        <f>IF($A76="","", "PV"&amp;TEXT(ROW()-1,"0000"))</f>
        <v/>
      </c>
      <c r="C76" s="4" t="n"/>
      <c r="D76" s="4" t="n"/>
      <c r="E76" s="4" t="n"/>
      <c r="F76" s="7" t="n"/>
      <c r="G76" s="4" t="n"/>
      <c r="H76" s="4" t="n"/>
      <c r="I76" s="4" t="n"/>
      <c r="J76" s="4" t="n"/>
    </row>
    <row r="77">
      <c r="A77" s="5" t="n"/>
      <c r="B77" s="4">
        <f>IF($A77="","", "PV"&amp;TEXT(ROW()-1,"0000"))</f>
        <v/>
      </c>
      <c r="C77" s="4" t="n"/>
      <c r="D77" s="4" t="n"/>
      <c r="E77" s="4" t="n"/>
      <c r="F77" s="7" t="n"/>
      <c r="G77" s="4" t="n"/>
      <c r="H77" s="4" t="n"/>
      <c r="I77" s="4" t="n"/>
      <c r="J77" s="4" t="n"/>
    </row>
    <row r="78">
      <c r="A78" s="5" t="n"/>
      <c r="B78" s="4">
        <f>IF($A78="","", "PV"&amp;TEXT(ROW()-1,"0000"))</f>
        <v/>
      </c>
      <c r="C78" s="4" t="n"/>
      <c r="D78" s="4" t="n"/>
      <c r="E78" s="4" t="n"/>
      <c r="F78" s="7" t="n"/>
      <c r="G78" s="4" t="n"/>
      <c r="H78" s="4" t="n"/>
      <c r="I78" s="4" t="n"/>
      <c r="J78" s="4" t="n"/>
    </row>
    <row r="79">
      <c r="A79" s="5" t="n"/>
      <c r="B79" s="4">
        <f>IF($A79="","", "PV"&amp;TEXT(ROW()-1,"0000"))</f>
        <v/>
      </c>
      <c r="C79" s="4" t="n"/>
      <c r="D79" s="4" t="n"/>
      <c r="E79" s="4" t="n"/>
      <c r="F79" s="7" t="n"/>
      <c r="G79" s="4" t="n"/>
      <c r="H79" s="4" t="n"/>
      <c r="I79" s="4" t="n"/>
      <c r="J79" s="4" t="n"/>
    </row>
    <row r="80">
      <c r="A80" s="5" t="n"/>
      <c r="B80" s="4">
        <f>IF($A80="","", "PV"&amp;TEXT(ROW()-1,"0000"))</f>
        <v/>
      </c>
      <c r="C80" s="4" t="n"/>
      <c r="D80" s="4" t="n"/>
      <c r="E80" s="4" t="n"/>
      <c r="F80" s="7" t="n"/>
      <c r="G80" s="4" t="n"/>
      <c r="H80" s="4" t="n"/>
      <c r="I80" s="4" t="n"/>
      <c r="J80" s="4" t="n"/>
    </row>
    <row r="81">
      <c r="A81" s="5" t="n"/>
      <c r="B81" s="4">
        <f>IF($A81="","", "PV"&amp;TEXT(ROW()-1,"0000"))</f>
        <v/>
      </c>
      <c r="C81" s="4" t="n"/>
      <c r="D81" s="4" t="n"/>
      <c r="E81" s="4" t="n"/>
      <c r="F81" s="7" t="n"/>
      <c r="G81" s="4" t="n"/>
      <c r="H81" s="4" t="n"/>
      <c r="I81" s="4" t="n"/>
      <c r="J81" s="4" t="n"/>
    </row>
    <row r="82">
      <c r="A82" s="5" t="n"/>
      <c r="B82" s="4">
        <f>IF($A82="","", "PV"&amp;TEXT(ROW()-1,"0000"))</f>
        <v/>
      </c>
      <c r="C82" s="4" t="n"/>
      <c r="D82" s="4" t="n"/>
      <c r="E82" s="4" t="n"/>
      <c r="F82" s="7" t="n"/>
      <c r="G82" s="4" t="n"/>
      <c r="H82" s="4" t="n"/>
      <c r="I82" s="4" t="n"/>
      <c r="J82" s="4" t="n"/>
    </row>
    <row r="83">
      <c r="A83" s="5" t="n"/>
      <c r="B83" s="4">
        <f>IF($A83="","", "PV"&amp;TEXT(ROW()-1,"0000"))</f>
        <v/>
      </c>
      <c r="C83" s="4" t="n"/>
      <c r="D83" s="4" t="n"/>
      <c r="E83" s="4" t="n"/>
      <c r="F83" s="7" t="n"/>
      <c r="G83" s="4" t="n"/>
      <c r="H83" s="4" t="n"/>
      <c r="I83" s="4" t="n"/>
      <c r="J83" s="4" t="n"/>
    </row>
    <row r="84">
      <c r="A84" s="5" t="n"/>
      <c r="B84" s="4">
        <f>IF($A84="","", "PV"&amp;TEXT(ROW()-1,"0000"))</f>
        <v/>
      </c>
      <c r="C84" s="4" t="n"/>
      <c r="D84" s="4" t="n"/>
      <c r="E84" s="4" t="n"/>
      <c r="F84" s="7" t="n"/>
      <c r="G84" s="4" t="n"/>
      <c r="H84" s="4" t="n"/>
      <c r="I84" s="4" t="n"/>
      <c r="J84" s="4" t="n"/>
    </row>
    <row r="85">
      <c r="A85" s="5" t="n"/>
      <c r="B85" s="4">
        <f>IF($A85="","", "PV"&amp;TEXT(ROW()-1,"0000"))</f>
        <v/>
      </c>
      <c r="C85" s="4" t="n"/>
      <c r="D85" s="4" t="n"/>
      <c r="E85" s="4" t="n"/>
      <c r="F85" s="7" t="n"/>
      <c r="G85" s="4" t="n"/>
      <c r="H85" s="4" t="n"/>
      <c r="I85" s="4" t="n"/>
      <c r="J85" s="4" t="n"/>
    </row>
    <row r="86">
      <c r="A86" s="5" t="n"/>
      <c r="B86" s="4">
        <f>IF($A86="","", "PV"&amp;TEXT(ROW()-1,"0000"))</f>
        <v/>
      </c>
      <c r="C86" s="4" t="n"/>
      <c r="D86" s="4" t="n"/>
      <c r="E86" s="4" t="n"/>
      <c r="F86" s="7" t="n"/>
      <c r="G86" s="4" t="n"/>
      <c r="H86" s="4" t="n"/>
      <c r="I86" s="4" t="n"/>
      <c r="J86" s="4" t="n"/>
    </row>
    <row r="87">
      <c r="A87" s="5" t="n"/>
      <c r="B87" s="4">
        <f>IF($A87="","", "PV"&amp;TEXT(ROW()-1,"0000"))</f>
        <v/>
      </c>
      <c r="C87" s="4" t="n"/>
      <c r="D87" s="4" t="n"/>
      <c r="E87" s="4" t="n"/>
      <c r="F87" s="7" t="n"/>
      <c r="G87" s="4" t="n"/>
      <c r="H87" s="4" t="n"/>
      <c r="I87" s="4" t="n"/>
      <c r="J87" s="4" t="n"/>
    </row>
    <row r="88">
      <c r="A88" s="5" t="n"/>
      <c r="B88" s="4">
        <f>IF($A88="","", "PV"&amp;TEXT(ROW()-1,"0000"))</f>
        <v/>
      </c>
      <c r="C88" s="4" t="n"/>
      <c r="D88" s="4" t="n"/>
      <c r="E88" s="4" t="n"/>
      <c r="F88" s="7" t="n"/>
      <c r="G88" s="4" t="n"/>
      <c r="H88" s="4" t="n"/>
      <c r="I88" s="4" t="n"/>
      <c r="J88" s="4" t="n"/>
    </row>
    <row r="89">
      <c r="A89" s="5" t="n"/>
      <c r="B89" s="4">
        <f>IF($A89="","", "PV"&amp;TEXT(ROW()-1,"0000"))</f>
        <v/>
      </c>
      <c r="C89" s="4" t="n"/>
      <c r="D89" s="4" t="n"/>
      <c r="E89" s="4" t="n"/>
      <c r="F89" s="7" t="n"/>
      <c r="G89" s="4" t="n"/>
      <c r="H89" s="4" t="n"/>
      <c r="I89" s="4" t="n"/>
      <c r="J89" s="4" t="n"/>
    </row>
    <row r="90">
      <c r="A90" s="5" t="n"/>
      <c r="B90" s="4">
        <f>IF($A90="","", "PV"&amp;TEXT(ROW()-1,"0000"))</f>
        <v/>
      </c>
      <c r="C90" s="4" t="n"/>
      <c r="D90" s="4" t="n"/>
      <c r="E90" s="4" t="n"/>
      <c r="F90" s="7" t="n"/>
      <c r="G90" s="4" t="n"/>
      <c r="H90" s="4" t="n"/>
      <c r="I90" s="4" t="n"/>
      <c r="J90" s="4" t="n"/>
    </row>
    <row r="91">
      <c r="A91" s="5" t="n"/>
      <c r="B91" s="4">
        <f>IF($A91="","", "PV"&amp;TEXT(ROW()-1,"0000"))</f>
        <v/>
      </c>
      <c r="C91" s="4" t="n"/>
      <c r="D91" s="4" t="n"/>
      <c r="E91" s="4" t="n"/>
      <c r="F91" s="7" t="n"/>
      <c r="G91" s="4" t="n"/>
      <c r="H91" s="4" t="n"/>
      <c r="I91" s="4" t="n"/>
      <c r="J91" s="4" t="n"/>
    </row>
    <row r="92">
      <c r="A92" s="5" t="n"/>
      <c r="B92" s="4">
        <f>IF($A92="","", "PV"&amp;TEXT(ROW()-1,"0000"))</f>
        <v/>
      </c>
      <c r="C92" s="4" t="n"/>
      <c r="D92" s="4" t="n"/>
      <c r="E92" s="4" t="n"/>
      <c r="F92" s="7" t="n"/>
      <c r="G92" s="4" t="n"/>
      <c r="H92" s="4" t="n"/>
      <c r="I92" s="4" t="n"/>
      <c r="J92" s="4" t="n"/>
    </row>
    <row r="93">
      <c r="A93" s="5" t="n"/>
      <c r="B93" s="4">
        <f>IF($A93="","", "PV"&amp;TEXT(ROW()-1,"0000"))</f>
        <v/>
      </c>
      <c r="C93" s="4" t="n"/>
      <c r="D93" s="4" t="n"/>
      <c r="E93" s="4" t="n"/>
      <c r="F93" s="7" t="n"/>
      <c r="G93" s="4" t="n"/>
      <c r="H93" s="4" t="n"/>
      <c r="I93" s="4" t="n"/>
      <c r="J93" s="4" t="n"/>
    </row>
    <row r="94">
      <c r="A94" s="5" t="n"/>
      <c r="B94" s="4">
        <f>IF($A94="","", "PV"&amp;TEXT(ROW()-1,"0000"))</f>
        <v/>
      </c>
      <c r="C94" s="4" t="n"/>
      <c r="D94" s="4" t="n"/>
      <c r="E94" s="4" t="n"/>
      <c r="F94" s="7" t="n"/>
      <c r="G94" s="4" t="n"/>
      <c r="H94" s="4" t="n"/>
      <c r="I94" s="4" t="n"/>
      <c r="J94" s="4" t="n"/>
    </row>
    <row r="95">
      <c r="A95" s="5" t="n"/>
      <c r="B95" s="4">
        <f>IF($A95="","", "PV"&amp;TEXT(ROW()-1,"0000"))</f>
        <v/>
      </c>
      <c r="C95" s="4" t="n"/>
      <c r="D95" s="4" t="n"/>
      <c r="E95" s="4" t="n"/>
      <c r="F95" s="7" t="n"/>
      <c r="G95" s="4" t="n"/>
      <c r="H95" s="4" t="n"/>
      <c r="I95" s="4" t="n"/>
      <c r="J95" s="4" t="n"/>
    </row>
    <row r="96">
      <c r="A96" s="5" t="n"/>
      <c r="B96" s="4">
        <f>IF($A96="","", "PV"&amp;TEXT(ROW()-1,"0000"))</f>
        <v/>
      </c>
      <c r="C96" s="4" t="n"/>
      <c r="D96" s="4" t="n"/>
      <c r="E96" s="4" t="n"/>
      <c r="F96" s="7" t="n"/>
      <c r="G96" s="4" t="n"/>
      <c r="H96" s="4" t="n"/>
      <c r="I96" s="4" t="n"/>
      <c r="J96" s="4" t="n"/>
    </row>
    <row r="97">
      <c r="A97" s="5" t="n"/>
      <c r="B97" s="4">
        <f>IF($A97="","", "PV"&amp;TEXT(ROW()-1,"0000"))</f>
        <v/>
      </c>
      <c r="C97" s="4" t="n"/>
      <c r="D97" s="4" t="n"/>
      <c r="E97" s="4" t="n"/>
      <c r="F97" s="7" t="n"/>
      <c r="G97" s="4" t="n"/>
      <c r="H97" s="4" t="n"/>
      <c r="I97" s="4" t="n"/>
      <c r="J97" s="4" t="n"/>
    </row>
    <row r="98">
      <c r="A98" s="5" t="n"/>
      <c r="B98" s="4">
        <f>IF($A98="","", "PV"&amp;TEXT(ROW()-1,"0000"))</f>
        <v/>
      </c>
      <c r="C98" s="4" t="n"/>
      <c r="D98" s="4" t="n"/>
      <c r="E98" s="4" t="n"/>
      <c r="F98" s="7" t="n"/>
      <c r="G98" s="4" t="n"/>
      <c r="H98" s="4" t="n"/>
      <c r="I98" s="4" t="n"/>
      <c r="J98" s="4" t="n"/>
    </row>
    <row r="99">
      <c r="A99" s="5" t="n"/>
      <c r="B99" s="4">
        <f>IF($A99="","", "PV"&amp;TEXT(ROW()-1,"0000"))</f>
        <v/>
      </c>
      <c r="C99" s="4" t="n"/>
      <c r="D99" s="4" t="n"/>
      <c r="E99" s="4" t="n"/>
      <c r="F99" s="7" t="n"/>
      <c r="G99" s="4" t="n"/>
      <c r="H99" s="4" t="n"/>
      <c r="I99" s="4" t="n"/>
      <c r="J99" s="4" t="n"/>
    </row>
    <row r="100">
      <c r="A100" s="5" t="n"/>
      <c r="B100" s="4">
        <f>IF($A100="","", "PV"&amp;TEXT(ROW()-1,"0000"))</f>
        <v/>
      </c>
      <c r="C100" s="4" t="n"/>
      <c r="D100" s="4" t="n"/>
      <c r="E100" s="4" t="n"/>
      <c r="F100" s="7" t="n"/>
      <c r="G100" s="4" t="n"/>
      <c r="H100" s="4" t="n"/>
      <c r="I100" s="4" t="n"/>
      <c r="J100" s="4" t="n"/>
    </row>
    <row r="101">
      <c r="A101" s="6" t="n"/>
      <c r="B101">
        <f>IF($A101="","", "PV"&amp;TEXT(ROW()-1,"0000"))</f>
        <v/>
      </c>
      <c r="F101" s="8" t="n"/>
    </row>
    <row r="102">
      <c r="A102" s="6" t="n"/>
      <c r="B102">
        <f>IF($A102="","", "PV"&amp;TEXT(ROW()-1,"0000"))</f>
        <v/>
      </c>
      <c r="F102" s="8" t="n"/>
    </row>
    <row r="103">
      <c r="A103" s="6" t="n"/>
      <c r="B103">
        <f>IF($A103="","", "PV"&amp;TEXT(ROW()-1,"0000"))</f>
        <v/>
      </c>
      <c r="F103" s="8" t="n"/>
    </row>
    <row r="104">
      <c r="A104" s="6" t="n"/>
      <c r="B104">
        <f>IF($A104="","", "PV"&amp;TEXT(ROW()-1,"0000"))</f>
        <v/>
      </c>
      <c r="F104" s="8" t="n"/>
    </row>
    <row r="105">
      <c r="A105" s="6" t="n"/>
      <c r="B105">
        <f>IF($A105="","", "PV"&amp;TEXT(ROW()-1,"0000"))</f>
        <v/>
      </c>
      <c r="F105" s="8" t="n"/>
    </row>
    <row r="106">
      <c r="A106" s="6" t="n"/>
      <c r="B106">
        <f>IF($A106="","", "PV"&amp;TEXT(ROW()-1,"0000"))</f>
        <v/>
      </c>
      <c r="F106" s="8" t="n"/>
    </row>
    <row r="107">
      <c r="A107" s="6" t="n"/>
      <c r="B107">
        <f>IF($A107="","", "PV"&amp;TEXT(ROW()-1,"0000"))</f>
        <v/>
      </c>
      <c r="F107" s="8" t="n"/>
    </row>
    <row r="108">
      <c r="A108" s="6" t="n"/>
      <c r="B108">
        <f>IF($A108="","", "PV"&amp;TEXT(ROW()-1,"0000"))</f>
        <v/>
      </c>
      <c r="F108" s="8" t="n"/>
    </row>
    <row r="109">
      <c r="A109" s="6" t="n"/>
      <c r="B109">
        <f>IF($A109="","", "PV"&amp;TEXT(ROW()-1,"0000"))</f>
        <v/>
      </c>
      <c r="F109" s="8" t="n"/>
    </row>
    <row r="110">
      <c r="A110" s="6" t="n"/>
      <c r="B110">
        <f>IF($A110="","", "PV"&amp;TEXT(ROW()-1,"0000"))</f>
        <v/>
      </c>
      <c r="F110" s="8" t="n"/>
    </row>
    <row r="111">
      <c r="A111" s="6" t="n"/>
      <c r="B111">
        <f>IF($A111="","", "PV"&amp;TEXT(ROW()-1,"0000"))</f>
        <v/>
      </c>
      <c r="F111" s="8" t="n"/>
    </row>
    <row r="112">
      <c r="A112" s="6" t="n"/>
      <c r="B112">
        <f>IF($A112="","", "PV"&amp;TEXT(ROW()-1,"0000"))</f>
        <v/>
      </c>
      <c r="F112" s="8" t="n"/>
    </row>
    <row r="113">
      <c r="A113" s="6" t="n"/>
      <c r="B113">
        <f>IF($A113="","", "PV"&amp;TEXT(ROW()-1,"0000"))</f>
        <v/>
      </c>
      <c r="F113" s="8" t="n"/>
    </row>
    <row r="114">
      <c r="A114" s="6" t="n"/>
      <c r="B114">
        <f>IF($A114="","", "PV"&amp;TEXT(ROW()-1,"0000"))</f>
        <v/>
      </c>
      <c r="F114" s="8" t="n"/>
    </row>
    <row r="115">
      <c r="A115" s="6" t="n"/>
      <c r="B115">
        <f>IF($A115="","", "PV"&amp;TEXT(ROW()-1,"0000"))</f>
        <v/>
      </c>
      <c r="F115" s="8" t="n"/>
    </row>
    <row r="116">
      <c r="A116" s="6" t="n"/>
      <c r="B116">
        <f>IF($A116="","", "PV"&amp;TEXT(ROW()-1,"0000"))</f>
        <v/>
      </c>
      <c r="F116" s="8" t="n"/>
    </row>
    <row r="117">
      <c r="A117" s="6" t="n"/>
      <c r="B117">
        <f>IF($A117="","", "PV"&amp;TEXT(ROW()-1,"0000"))</f>
        <v/>
      </c>
      <c r="F117" s="8" t="n"/>
    </row>
    <row r="118">
      <c r="A118" s="6" t="n"/>
      <c r="B118">
        <f>IF($A118="","", "PV"&amp;TEXT(ROW()-1,"0000"))</f>
        <v/>
      </c>
      <c r="F118" s="8" t="n"/>
    </row>
    <row r="119">
      <c r="A119" s="6" t="n"/>
      <c r="B119">
        <f>IF($A119="","", "PV"&amp;TEXT(ROW()-1,"0000"))</f>
        <v/>
      </c>
      <c r="F119" s="8" t="n"/>
    </row>
    <row r="120">
      <c r="A120" s="6" t="n"/>
      <c r="B120">
        <f>IF($A120="","", "PV"&amp;TEXT(ROW()-1,"0000"))</f>
        <v/>
      </c>
      <c r="F120" s="8" t="n"/>
    </row>
    <row r="121">
      <c r="A121" s="6" t="n"/>
      <c r="B121">
        <f>IF($A121="","", "PV"&amp;TEXT(ROW()-1,"0000"))</f>
        <v/>
      </c>
      <c r="F121" s="8" t="n"/>
    </row>
    <row r="122">
      <c r="A122" s="6" t="n"/>
      <c r="B122">
        <f>IF($A122="","", "PV"&amp;TEXT(ROW()-1,"0000"))</f>
        <v/>
      </c>
      <c r="F122" s="8" t="n"/>
    </row>
    <row r="123">
      <c r="A123" s="6" t="n"/>
      <c r="B123">
        <f>IF($A123="","", "PV"&amp;TEXT(ROW()-1,"0000"))</f>
        <v/>
      </c>
      <c r="F123" s="8" t="n"/>
    </row>
    <row r="124">
      <c r="A124" s="6" t="n"/>
      <c r="B124">
        <f>IF($A124="","", "PV"&amp;TEXT(ROW()-1,"0000"))</f>
        <v/>
      </c>
      <c r="F124" s="8" t="n"/>
    </row>
    <row r="125">
      <c r="A125" s="6" t="n"/>
      <c r="B125">
        <f>IF($A125="","", "PV"&amp;TEXT(ROW()-1,"0000"))</f>
        <v/>
      </c>
      <c r="F125" s="8" t="n"/>
    </row>
    <row r="126">
      <c r="A126" s="6" t="n"/>
      <c r="B126">
        <f>IF($A126="","", "PV"&amp;TEXT(ROW()-1,"0000"))</f>
        <v/>
      </c>
      <c r="F126" s="8" t="n"/>
    </row>
    <row r="127">
      <c r="A127" s="6" t="n"/>
      <c r="B127">
        <f>IF($A127="","", "PV"&amp;TEXT(ROW()-1,"0000"))</f>
        <v/>
      </c>
      <c r="F127" s="8" t="n"/>
    </row>
    <row r="128">
      <c r="A128" s="6" t="n"/>
      <c r="B128">
        <f>IF($A128="","", "PV"&amp;TEXT(ROW()-1,"0000"))</f>
        <v/>
      </c>
      <c r="F128" s="8" t="n"/>
    </row>
    <row r="129">
      <c r="A129" s="6" t="n"/>
      <c r="B129">
        <f>IF($A129="","", "PV"&amp;TEXT(ROW()-1,"0000"))</f>
        <v/>
      </c>
      <c r="F129" s="8" t="n"/>
    </row>
    <row r="130">
      <c r="A130" s="6" t="n"/>
      <c r="B130">
        <f>IF($A130="","", "PV"&amp;TEXT(ROW()-1,"0000"))</f>
        <v/>
      </c>
      <c r="F130" s="8" t="n"/>
    </row>
    <row r="131">
      <c r="A131" s="6" t="n"/>
      <c r="B131">
        <f>IF($A131="","", "PV"&amp;TEXT(ROW()-1,"0000"))</f>
        <v/>
      </c>
      <c r="F131" s="8" t="n"/>
    </row>
    <row r="132">
      <c r="A132" s="6" t="n"/>
      <c r="B132">
        <f>IF($A132="","", "PV"&amp;TEXT(ROW()-1,"0000"))</f>
        <v/>
      </c>
      <c r="F132" s="8" t="n"/>
    </row>
    <row r="133">
      <c r="A133" s="6" t="n"/>
      <c r="B133">
        <f>IF($A133="","", "PV"&amp;TEXT(ROW()-1,"0000"))</f>
        <v/>
      </c>
      <c r="F133" s="8" t="n"/>
    </row>
    <row r="134">
      <c r="A134" s="6" t="n"/>
      <c r="B134">
        <f>IF($A134="","", "PV"&amp;TEXT(ROW()-1,"0000"))</f>
        <v/>
      </c>
      <c r="F134" s="8" t="n"/>
    </row>
    <row r="135">
      <c r="A135" s="6" t="n"/>
      <c r="B135">
        <f>IF($A135="","", "PV"&amp;TEXT(ROW()-1,"0000"))</f>
        <v/>
      </c>
      <c r="F135" s="8" t="n"/>
    </row>
    <row r="136">
      <c r="A136" s="6" t="n"/>
      <c r="B136">
        <f>IF($A136="","", "PV"&amp;TEXT(ROW()-1,"0000"))</f>
        <v/>
      </c>
      <c r="F136" s="8" t="n"/>
    </row>
    <row r="137">
      <c r="A137" s="6" t="n"/>
      <c r="B137">
        <f>IF($A137="","", "PV"&amp;TEXT(ROW()-1,"0000"))</f>
        <v/>
      </c>
      <c r="F137" s="8" t="n"/>
    </row>
    <row r="138">
      <c r="A138" s="6" t="n"/>
      <c r="B138">
        <f>IF($A138="","", "PV"&amp;TEXT(ROW()-1,"0000"))</f>
        <v/>
      </c>
      <c r="F138" s="8" t="n"/>
    </row>
    <row r="139">
      <c r="A139" s="6" t="n"/>
      <c r="B139">
        <f>IF($A139="","", "PV"&amp;TEXT(ROW()-1,"0000"))</f>
        <v/>
      </c>
      <c r="F139" s="8" t="n"/>
    </row>
    <row r="140">
      <c r="A140" s="6" t="n"/>
      <c r="B140">
        <f>IF($A140="","", "PV"&amp;TEXT(ROW()-1,"0000"))</f>
        <v/>
      </c>
      <c r="F140" s="8" t="n"/>
    </row>
    <row r="141">
      <c r="A141" s="6" t="n"/>
      <c r="B141">
        <f>IF($A141="","", "PV"&amp;TEXT(ROW()-1,"0000"))</f>
        <v/>
      </c>
      <c r="F141" s="8" t="n"/>
    </row>
    <row r="142">
      <c r="A142" s="6" t="n"/>
      <c r="B142">
        <f>IF($A142="","", "PV"&amp;TEXT(ROW()-1,"0000"))</f>
        <v/>
      </c>
      <c r="F142" s="8" t="n"/>
    </row>
    <row r="143">
      <c r="A143" s="6" t="n"/>
      <c r="B143">
        <f>IF($A143="","", "PV"&amp;TEXT(ROW()-1,"0000"))</f>
        <v/>
      </c>
      <c r="F143" s="8" t="n"/>
    </row>
    <row r="144">
      <c r="A144" s="6" t="n"/>
      <c r="B144">
        <f>IF($A144="","", "PV"&amp;TEXT(ROW()-1,"0000"))</f>
        <v/>
      </c>
      <c r="F144" s="8" t="n"/>
    </row>
    <row r="145">
      <c r="A145" s="6" t="n"/>
      <c r="B145">
        <f>IF($A145="","", "PV"&amp;TEXT(ROW()-1,"0000"))</f>
        <v/>
      </c>
      <c r="F145" s="8" t="n"/>
    </row>
    <row r="146">
      <c r="A146" s="6" t="n"/>
      <c r="B146">
        <f>IF($A146="","", "PV"&amp;TEXT(ROW()-1,"0000"))</f>
        <v/>
      </c>
      <c r="F146" s="8" t="n"/>
    </row>
    <row r="147">
      <c r="A147" s="6" t="n"/>
      <c r="B147">
        <f>IF($A147="","", "PV"&amp;TEXT(ROW()-1,"0000"))</f>
        <v/>
      </c>
      <c r="F147" s="8" t="n"/>
    </row>
    <row r="148">
      <c r="A148" s="6" t="n"/>
      <c r="B148">
        <f>IF($A148="","", "PV"&amp;TEXT(ROW()-1,"0000"))</f>
        <v/>
      </c>
      <c r="F148" s="8" t="n"/>
    </row>
    <row r="149">
      <c r="A149" s="6" t="n"/>
      <c r="B149">
        <f>IF($A149="","", "PV"&amp;TEXT(ROW()-1,"0000"))</f>
        <v/>
      </c>
      <c r="F149" s="8" t="n"/>
    </row>
    <row r="150">
      <c r="A150" s="6" t="n"/>
      <c r="B150">
        <f>IF($A150="","", "PV"&amp;TEXT(ROW()-1,"0000"))</f>
        <v/>
      </c>
      <c r="F150" s="8" t="n"/>
    </row>
    <row r="151">
      <c r="A151" s="6" t="n"/>
      <c r="B151">
        <f>IF($A151="","", "PV"&amp;TEXT(ROW()-1,"0000"))</f>
        <v/>
      </c>
      <c r="F151" s="8" t="n"/>
    </row>
    <row r="152">
      <c r="A152" s="6" t="n"/>
      <c r="B152">
        <f>IF($A152="","", "PV"&amp;TEXT(ROW()-1,"0000"))</f>
        <v/>
      </c>
      <c r="F152" s="8" t="n"/>
    </row>
    <row r="153">
      <c r="A153" s="6" t="n"/>
      <c r="B153">
        <f>IF($A153="","", "PV"&amp;TEXT(ROW()-1,"0000"))</f>
        <v/>
      </c>
      <c r="F153" s="8" t="n"/>
    </row>
    <row r="154">
      <c r="A154" s="6" t="n"/>
      <c r="B154">
        <f>IF($A154="","", "PV"&amp;TEXT(ROW()-1,"0000"))</f>
        <v/>
      </c>
      <c r="F154" s="8" t="n"/>
    </row>
    <row r="155">
      <c r="A155" s="6" t="n"/>
      <c r="B155">
        <f>IF($A155="","", "PV"&amp;TEXT(ROW()-1,"0000"))</f>
        <v/>
      </c>
      <c r="F155" s="8" t="n"/>
    </row>
    <row r="156">
      <c r="A156" s="6" t="n"/>
      <c r="B156">
        <f>IF($A156="","", "PV"&amp;TEXT(ROW()-1,"0000"))</f>
        <v/>
      </c>
      <c r="F156" s="8" t="n"/>
    </row>
    <row r="157">
      <c r="A157" s="6" t="n"/>
      <c r="B157">
        <f>IF($A157="","", "PV"&amp;TEXT(ROW()-1,"0000"))</f>
        <v/>
      </c>
      <c r="F157" s="8" t="n"/>
    </row>
    <row r="158">
      <c r="A158" s="6" t="n"/>
      <c r="B158">
        <f>IF($A158="","", "PV"&amp;TEXT(ROW()-1,"0000"))</f>
        <v/>
      </c>
      <c r="F158" s="8" t="n"/>
    </row>
    <row r="159">
      <c r="A159" s="6" t="n"/>
      <c r="B159">
        <f>IF($A159="","", "PV"&amp;TEXT(ROW()-1,"0000"))</f>
        <v/>
      </c>
      <c r="F159" s="8" t="n"/>
    </row>
    <row r="160">
      <c r="A160" s="6" t="n"/>
      <c r="B160">
        <f>IF($A160="","", "PV"&amp;TEXT(ROW()-1,"0000"))</f>
        <v/>
      </c>
      <c r="F160" s="8" t="n"/>
    </row>
    <row r="161">
      <c r="A161" s="6" t="n"/>
      <c r="B161">
        <f>IF($A161="","", "PV"&amp;TEXT(ROW()-1,"0000"))</f>
        <v/>
      </c>
      <c r="F161" s="8" t="n"/>
    </row>
    <row r="162">
      <c r="A162" s="6" t="n"/>
      <c r="B162">
        <f>IF($A162="","", "PV"&amp;TEXT(ROW()-1,"0000"))</f>
        <v/>
      </c>
      <c r="F162" s="8" t="n"/>
    </row>
    <row r="163">
      <c r="A163" s="6" t="n"/>
      <c r="B163">
        <f>IF($A163="","", "PV"&amp;TEXT(ROW()-1,"0000"))</f>
        <v/>
      </c>
      <c r="F163" s="8" t="n"/>
    </row>
    <row r="164">
      <c r="A164" s="6" t="n"/>
      <c r="B164">
        <f>IF($A164="","", "PV"&amp;TEXT(ROW()-1,"0000"))</f>
        <v/>
      </c>
      <c r="F164" s="8" t="n"/>
    </row>
    <row r="165">
      <c r="A165" s="6" t="n"/>
      <c r="B165">
        <f>IF($A165="","", "PV"&amp;TEXT(ROW()-1,"0000"))</f>
        <v/>
      </c>
      <c r="F165" s="8" t="n"/>
    </row>
    <row r="166">
      <c r="A166" s="6" t="n"/>
      <c r="B166">
        <f>IF($A166="","", "PV"&amp;TEXT(ROW()-1,"0000"))</f>
        <v/>
      </c>
      <c r="F166" s="8" t="n"/>
    </row>
    <row r="167">
      <c r="A167" s="6" t="n"/>
      <c r="B167">
        <f>IF($A167="","", "PV"&amp;TEXT(ROW()-1,"0000"))</f>
        <v/>
      </c>
      <c r="F167" s="8" t="n"/>
    </row>
    <row r="168">
      <c r="A168" s="6" t="n"/>
      <c r="B168">
        <f>IF($A168="","", "PV"&amp;TEXT(ROW()-1,"0000"))</f>
        <v/>
      </c>
      <c r="F168" s="8" t="n"/>
    </row>
    <row r="169">
      <c r="A169" s="6" t="n"/>
      <c r="B169">
        <f>IF($A169="","", "PV"&amp;TEXT(ROW()-1,"0000"))</f>
        <v/>
      </c>
      <c r="F169" s="8" t="n"/>
    </row>
    <row r="170">
      <c r="A170" s="6" t="n"/>
      <c r="B170">
        <f>IF($A170="","", "PV"&amp;TEXT(ROW()-1,"0000"))</f>
        <v/>
      </c>
      <c r="F170" s="8" t="n"/>
    </row>
    <row r="171">
      <c r="A171" s="6" t="n"/>
      <c r="B171">
        <f>IF($A171="","", "PV"&amp;TEXT(ROW()-1,"0000"))</f>
        <v/>
      </c>
      <c r="F171" s="8" t="n"/>
    </row>
    <row r="172">
      <c r="A172" s="6" t="n"/>
      <c r="B172">
        <f>IF($A172="","", "PV"&amp;TEXT(ROW()-1,"0000"))</f>
        <v/>
      </c>
      <c r="F172" s="8" t="n"/>
    </row>
    <row r="173">
      <c r="A173" s="6" t="n"/>
      <c r="B173">
        <f>IF($A173="","", "PV"&amp;TEXT(ROW()-1,"0000"))</f>
        <v/>
      </c>
      <c r="F173" s="8" t="n"/>
    </row>
    <row r="174">
      <c r="A174" s="6" t="n"/>
      <c r="B174">
        <f>IF($A174="","", "PV"&amp;TEXT(ROW()-1,"0000"))</f>
        <v/>
      </c>
      <c r="F174" s="8" t="n"/>
    </row>
    <row r="175">
      <c r="A175" s="6" t="n"/>
      <c r="B175">
        <f>IF($A175="","", "PV"&amp;TEXT(ROW()-1,"0000"))</f>
        <v/>
      </c>
      <c r="F175" s="8" t="n"/>
    </row>
    <row r="176">
      <c r="A176" s="6" t="n"/>
      <c r="B176">
        <f>IF($A176="","", "PV"&amp;TEXT(ROW()-1,"0000"))</f>
        <v/>
      </c>
      <c r="F176" s="8" t="n"/>
    </row>
    <row r="177">
      <c r="A177" s="6" t="n"/>
      <c r="B177">
        <f>IF($A177="","", "PV"&amp;TEXT(ROW()-1,"0000"))</f>
        <v/>
      </c>
      <c r="F177" s="8" t="n"/>
    </row>
    <row r="178">
      <c r="A178" s="6" t="n"/>
      <c r="B178">
        <f>IF($A178="","", "PV"&amp;TEXT(ROW()-1,"0000"))</f>
        <v/>
      </c>
      <c r="F178" s="8" t="n"/>
    </row>
    <row r="179">
      <c r="A179" s="6" t="n"/>
      <c r="B179">
        <f>IF($A179="","", "PV"&amp;TEXT(ROW()-1,"0000"))</f>
        <v/>
      </c>
      <c r="F179" s="8" t="n"/>
    </row>
    <row r="180">
      <c r="A180" s="6" t="n"/>
      <c r="B180">
        <f>IF($A180="","", "PV"&amp;TEXT(ROW()-1,"0000"))</f>
        <v/>
      </c>
      <c r="F180" s="8" t="n"/>
    </row>
    <row r="181">
      <c r="A181" s="6" t="n"/>
      <c r="B181">
        <f>IF($A181="","", "PV"&amp;TEXT(ROW()-1,"0000"))</f>
        <v/>
      </c>
      <c r="F181" s="8" t="n"/>
    </row>
    <row r="182">
      <c r="A182" s="6" t="n"/>
      <c r="B182">
        <f>IF($A182="","", "PV"&amp;TEXT(ROW()-1,"0000"))</f>
        <v/>
      </c>
      <c r="F182" s="8" t="n"/>
    </row>
    <row r="183">
      <c r="A183" s="6" t="n"/>
      <c r="B183">
        <f>IF($A183="","", "PV"&amp;TEXT(ROW()-1,"0000"))</f>
        <v/>
      </c>
      <c r="F183" s="8" t="n"/>
    </row>
    <row r="184">
      <c r="A184" s="6" t="n"/>
      <c r="B184">
        <f>IF($A184="","", "PV"&amp;TEXT(ROW()-1,"0000"))</f>
        <v/>
      </c>
      <c r="F184" s="8" t="n"/>
    </row>
    <row r="185">
      <c r="A185" s="6" t="n"/>
      <c r="B185">
        <f>IF($A185="","", "PV"&amp;TEXT(ROW()-1,"0000"))</f>
        <v/>
      </c>
      <c r="F185" s="8" t="n"/>
    </row>
    <row r="186">
      <c r="A186" s="6" t="n"/>
      <c r="B186">
        <f>IF($A186="","", "PV"&amp;TEXT(ROW()-1,"0000"))</f>
        <v/>
      </c>
      <c r="F186" s="8" t="n"/>
    </row>
    <row r="187">
      <c r="A187" s="6" t="n"/>
      <c r="B187">
        <f>IF($A187="","", "PV"&amp;TEXT(ROW()-1,"0000"))</f>
        <v/>
      </c>
      <c r="F187" s="8" t="n"/>
    </row>
    <row r="188">
      <c r="A188" s="6" t="n"/>
      <c r="B188">
        <f>IF($A188="","", "PV"&amp;TEXT(ROW()-1,"0000"))</f>
        <v/>
      </c>
      <c r="F188" s="8" t="n"/>
    </row>
    <row r="189">
      <c r="A189" s="6" t="n"/>
      <c r="B189">
        <f>IF($A189="","", "PV"&amp;TEXT(ROW()-1,"0000"))</f>
        <v/>
      </c>
      <c r="F189" s="8" t="n"/>
    </row>
    <row r="190">
      <c r="A190" s="6" t="n"/>
      <c r="B190">
        <f>IF($A190="","", "PV"&amp;TEXT(ROW()-1,"0000"))</f>
        <v/>
      </c>
      <c r="F190" s="8" t="n"/>
    </row>
    <row r="191">
      <c r="A191" s="6" t="n"/>
      <c r="B191">
        <f>IF($A191="","", "PV"&amp;TEXT(ROW()-1,"0000"))</f>
        <v/>
      </c>
      <c r="F191" s="8" t="n"/>
    </row>
    <row r="192">
      <c r="A192" s="6" t="n"/>
      <c r="B192">
        <f>IF($A192="","", "PV"&amp;TEXT(ROW()-1,"0000"))</f>
        <v/>
      </c>
      <c r="F192" s="8" t="n"/>
    </row>
    <row r="193">
      <c r="A193" s="6" t="n"/>
      <c r="B193">
        <f>IF($A193="","", "PV"&amp;TEXT(ROW()-1,"0000"))</f>
        <v/>
      </c>
      <c r="F193" s="8" t="n"/>
    </row>
    <row r="194">
      <c r="A194" s="6" t="n"/>
      <c r="B194">
        <f>IF($A194="","", "PV"&amp;TEXT(ROW()-1,"0000"))</f>
        <v/>
      </c>
      <c r="F194" s="8" t="n"/>
    </row>
    <row r="195">
      <c r="A195" s="6" t="n"/>
      <c r="B195">
        <f>IF($A195="","", "PV"&amp;TEXT(ROW()-1,"0000"))</f>
        <v/>
      </c>
      <c r="F195" s="8" t="n"/>
    </row>
    <row r="196">
      <c r="A196" s="6" t="n"/>
      <c r="B196">
        <f>IF($A196="","", "PV"&amp;TEXT(ROW()-1,"0000"))</f>
        <v/>
      </c>
      <c r="F196" s="8" t="n"/>
    </row>
    <row r="197">
      <c r="A197" s="6" t="n"/>
      <c r="B197">
        <f>IF($A197="","", "PV"&amp;TEXT(ROW()-1,"0000"))</f>
        <v/>
      </c>
      <c r="F197" s="8" t="n"/>
    </row>
    <row r="198">
      <c r="A198" s="6" t="n"/>
      <c r="B198">
        <f>IF($A198="","", "PV"&amp;TEXT(ROW()-1,"0000"))</f>
        <v/>
      </c>
      <c r="F198" s="8" t="n"/>
    </row>
    <row r="199">
      <c r="A199" s="6" t="n"/>
      <c r="B199">
        <f>IF($A199="","", "PV"&amp;TEXT(ROW()-1,"0000"))</f>
        <v/>
      </c>
      <c r="F199" s="8" t="n"/>
    </row>
    <row r="200">
      <c r="A200" s="6" t="n"/>
      <c r="B200">
        <f>IF($A200="","", "PV"&amp;TEXT(ROW()-1,"0000"))</f>
        <v/>
      </c>
      <c r="F200" s="8" t="n"/>
    </row>
    <row r="201">
      <c r="A201" s="6" t="n"/>
      <c r="B201">
        <f>IF($A201="","", "PV"&amp;TEXT(ROW()-1,"0000"))</f>
        <v/>
      </c>
      <c r="F201" s="8" t="n"/>
    </row>
    <row r="202">
      <c r="A202" s="6" t="n"/>
      <c r="B202">
        <f>IF($A202="","", "PV"&amp;TEXT(ROW()-1,"0000"))</f>
        <v/>
      </c>
      <c r="F202" s="8" t="n"/>
    </row>
    <row r="203">
      <c r="A203" s="6" t="n"/>
      <c r="B203">
        <f>IF($A203="","", "PV"&amp;TEXT(ROW()-1,"0000"))</f>
        <v/>
      </c>
      <c r="F203" s="8" t="n"/>
    </row>
    <row r="204">
      <c r="A204" s="6" t="n"/>
      <c r="B204">
        <f>IF($A204="","", "PV"&amp;TEXT(ROW()-1,"0000"))</f>
        <v/>
      </c>
      <c r="F204" s="8" t="n"/>
    </row>
    <row r="205">
      <c r="A205" s="6" t="n"/>
      <c r="B205">
        <f>IF($A205="","", "PV"&amp;TEXT(ROW()-1,"0000"))</f>
        <v/>
      </c>
      <c r="F205" s="8" t="n"/>
    </row>
    <row r="206">
      <c r="A206" s="6" t="n"/>
      <c r="B206">
        <f>IF($A206="","", "PV"&amp;TEXT(ROW()-1,"0000"))</f>
        <v/>
      </c>
      <c r="F206" s="8" t="n"/>
    </row>
    <row r="207">
      <c r="A207" s="6" t="n"/>
      <c r="B207">
        <f>IF($A207="","", "PV"&amp;TEXT(ROW()-1,"0000"))</f>
        <v/>
      </c>
      <c r="F207" s="8" t="n"/>
    </row>
    <row r="208">
      <c r="A208" s="6" t="n"/>
      <c r="B208">
        <f>IF($A208="","", "PV"&amp;TEXT(ROW()-1,"0000"))</f>
        <v/>
      </c>
      <c r="F208" s="8" t="n"/>
    </row>
    <row r="209">
      <c r="A209" s="6" t="n"/>
      <c r="B209">
        <f>IF($A209="","", "PV"&amp;TEXT(ROW()-1,"0000"))</f>
        <v/>
      </c>
      <c r="F209" s="8" t="n"/>
    </row>
    <row r="210">
      <c r="A210" s="6" t="n"/>
      <c r="B210">
        <f>IF($A210="","", "PV"&amp;TEXT(ROW()-1,"0000"))</f>
        <v/>
      </c>
      <c r="F210" s="8" t="n"/>
    </row>
    <row r="211">
      <c r="A211" s="6" t="n"/>
      <c r="B211">
        <f>IF($A211="","", "PV"&amp;TEXT(ROW()-1,"0000"))</f>
        <v/>
      </c>
      <c r="F211" s="8" t="n"/>
    </row>
    <row r="212">
      <c r="A212" s="6" t="n"/>
      <c r="B212">
        <f>IF($A212="","", "PV"&amp;TEXT(ROW()-1,"0000"))</f>
        <v/>
      </c>
      <c r="F212" s="8" t="n"/>
    </row>
    <row r="213">
      <c r="A213" s="6" t="n"/>
      <c r="B213">
        <f>IF($A213="","", "PV"&amp;TEXT(ROW()-1,"0000"))</f>
        <v/>
      </c>
      <c r="F213" s="8" t="n"/>
    </row>
    <row r="214">
      <c r="A214" s="6" t="n"/>
      <c r="B214">
        <f>IF($A214="","", "PV"&amp;TEXT(ROW()-1,"0000"))</f>
        <v/>
      </c>
      <c r="F214" s="8" t="n"/>
    </row>
    <row r="215">
      <c r="A215" s="6" t="n"/>
      <c r="B215">
        <f>IF($A215="","", "PV"&amp;TEXT(ROW()-1,"0000"))</f>
        <v/>
      </c>
      <c r="F215" s="8" t="n"/>
    </row>
    <row r="216">
      <c r="A216" s="6" t="n"/>
      <c r="B216">
        <f>IF($A216="","", "PV"&amp;TEXT(ROW()-1,"0000"))</f>
        <v/>
      </c>
      <c r="F216" s="8" t="n"/>
    </row>
    <row r="217">
      <c r="A217" s="6" t="n"/>
      <c r="B217">
        <f>IF($A217="","", "PV"&amp;TEXT(ROW()-1,"0000"))</f>
        <v/>
      </c>
      <c r="F217" s="8" t="n"/>
    </row>
    <row r="218">
      <c r="A218" s="6" t="n"/>
      <c r="B218">
        <f>IF($A218="","", "PV"&amp;TEXT(ROW()-1,"0000"))</f>
        <v/>
      </c>
      <c r="F218" s="8" t="n"/>
    </row>
    <row r="219">
      <c r="A219" s="6" t="n"/>
      <c r="B219">
        <f>IF($A219="","", "PV"&amp;TEXT(ROW()-1,"0000"))</f>
        <v/>
      </c>
      <c r="F219" s="8" t="n"/>
    </row>
    <row r="220">
      <c r="A220" s="6" t="n"/>
      <c r="B220">
        <f>IF($A220="","", "PV"&amp;TEXT(ROW()-1,"0000"))</f>
        <v/>
      </c>
      <c r="F220" s="8" t="n"/>
    </row>
    <row r="221">
      <c r="A221" s="6" t="n"/>
      <c r="B221">
        <f>IF($A221="","", "PV"&amp;TEXT(ROW()-1,"0000"))</f>
        <v/>
      </c>
      <c r="F221" s="8" t="n"/>
    </row>
    <row r="222">
      <c r="A222" s="6" t="n"/>
      <c r="B222">
        <f>IF($A222="","", "PV"&amp;TEXT(ROW()-1,"0000"))</f>
        <v/>
      </c>
      <c r="F222" s="8" t="n"/>
    </row>
    <row r="223">
      <c r="A223" s="6" t="n"/>
      <c r="B223">
        <f>IF($A223="","", "PV"&amp;TEXT(ROW()-1,"0000"))</f>
        <v/>
      </c>
      <c r="F223" s="8" t="n"/>
    </row>
    <row r="224">
      <c r="A224" s="6" t="n"/>
      <c r="B224">
        <f>IF($A224="","", "PV"&amp;TEXT(ROW()-1,"0000"))</f>
        <v/>
      </c>
      <c r="F224" s="8" t="n"/>
    </row>
    <row r="225">
      <c r="A225" s="6" t="n"/>
      <c r="B225">
        <f>IF($A225="","", "PV"&amp;TEXT(ROW()-1,"0000"))</f>
        <v/>
      </c>
      <c r="F225" s="8" t="n"/>
    </row>
    <row r="226">
      <c r="A226" s="6" t="n"/>
      <c r="B226">
        <f>IF($A226="","", "PV"&amp;TEXT(ROW()-1,"0000"))</f>
        <v/>
      </c>
      <c r="F226" s="8" t="n"/>
    </row>
    <row r="227">
      <c r="A227" s="6" t="n"/>
      <c r="B227">
        <f>IF($A227="","", "PV"&amp;TEXT(ROW()-1,"0000"))</f>
        <v/>
      </c>
      <c r="F227" s="8" t="n"/>
    </row>
    <row r="228">
      <c r="A228" s="6" t="n"/>
      <c r="B228">
        <f>IF($A228="","", "PV"&amp;TEXT(ROW()-1,"0000"))</f>
        <v/>
      </c>
      <c r="F228" s="8" t="n"/>
    </row>
    <row r="229">
      <c r="A229" s="6" t="n"/>
      <c r="B229">
        <f>IF($A229="","", "PV"&amp;TEXT(ROW()-1,"0000"))</f>
        <v/>
      </c>
      <c r="F229" s="8" t="n"/>
    </row>
    <row r="230">
      <c r="A230" s="6" t="n"/>
      <c r="B230">
        <f>IF($A230="","", "PV"&amp;TEXT(ROW()-1,"0000"))</f>
        <v/>
      </c>
      <c r="F230" s="8" t="n"/>
    </row>
    <row r="231">
      <c r="A231" s="6" t="n"/>
      <c r="B231">
        <f>IF($A231="","", "PV"&amp;TEXT(ROW()-1,"0000"))</f>
        <v/>
      </c>
      <c r="F231" s="8" t="n"/>
    </row>
    <row r="232">
      <c r="A232" s="6" t="n"/>
      <c r="B232">
        <f>IF($A232="","", "PV"&amp;TEXT(ROW()-1,"0000"))</f>
        <v/>
      </c>
      <c r="F232" s="8" t="n"/>
    </row>
    <row r="233">
      <c r="A233" s="6" t="n"/>
      <c r="B233">
        <f>IF($A233="","", "PV"&amp;TEXT(ROW()-1,"0000"))</f>
        <v/>
      </c>
      <c r="F233" s="8" t="n"/>
    </row>
    <row r="234">
      <c r="A234" s="6" t="n"/>
      <c r="B234">
        <f>IF($A234="","", "PV"&amp;TEXT(ROW()-1,"0000"))</f>
        <v/>
      </c>
      <c r="F234" s="8" t="n"/>
    </row>
    <row r="235">
      <c r="A235" s="6" t="n"/>
      <c r="B235">
        <f>IF($A235="","", "PV"&amp;TEXT(ROW()-1,"0000"))</f>
        <v/>
      </c>
      <c r="F235" s="8" t="n"/>
    </row>
    <row r="236">
      <c r="A236" s="6" t="n"/>
      <c r="B236">
        <f>IF($A236="","", "PV"&amp;TEXT(ROW()-1,"0000"))</f>
        <v/>
      </c>
      <c r="F236" s="8" t="n"/>
    </row>
    <row r="237">
      <c r="A237" s="6" t="n"/>
      <c r="B237">
        <f>IF($A237="","", "PV"&amp;TEXT(ROW()-1,"0000"))</f>
        <v/>
      </c>
      <c r="F237" s="8" t="n"/>
    </row>
    <row r="238">
      <c r="A238" s="6" t="n"/>
      <c r="B238">
        <f>IF($A238="","", "PV"&amp;TEXT(ROW()-1,"0000"))</f>
        <v/>
      </c>
      <c r="F238" s="8" t="n"/>
    </row>
    <row r="239">
      <c r="A239" s="6" t="n"/>
      <c r="B239">
        <f>IF($A239="","", "PV"&amp;TEXT(ROW()-1,"0000"))</f>
        <v/>
      </c>
      <c r="F239" s="8" t="n"/>
    </row>
    <row r="240">
      <c r="A240" s="6" t="n"/>
      <c r="B240">
        <f>IF($A240="","", "PV"&amp;TEXT(ROW()-1,"0000"))</f>
        <v/>
      </c>
      <c r="F240" s="8" t="n"/>
    </row>
    <row r="241">
      <c r="A241" s="6" t="n"/>
      <c r="B241">
        <f>IF($A241="","", "PV"&amp;TEXT(ROW()-1,"0000"))</f>
        <v/>
      </c>
      <c r="F241" s="8" t="n"/>
    </row>
    <row r="242">
      <c r="A242" s="6" t="n"/>
      <c r="B242">
        <f>IF($A242="","", "PV"&amp;TEXT(ROW()-1,"0000"))</f>
        <v/>
      </c>
      <c r="F242" s="8" t="n"/>
    </row>
    <row r="243">
      <c r="A243" s="6" t="n"/>
      <c r="B243">
        <f>IF($A243="","", "PV"&amp;TEXT(ROW()-1,"0000"))</f>
        <v/>
      </c>
      <c r="F243" s="8" t="n"/>
    </row>
    <row r="244">
      <c r="A244" s="6" t="n"/>
      <c r="B244">
        <f>IF($A244="","", "PV"&amp;TEXT(ROW()-1,"0000"))</f>
        <v/>
      </c>
      <c r="F244" s="8" t="n"/>
    </row>
    <row r="245">
      <c r="A245" s="6" t="n"/>
      <c r="B245">
        <f>IF($A245="","", "PV"&amp;TEXT(ROW()-1,"0000"))</f>
        <v/>
      </c>
      <c r="F245" s="8" t="n"/>
    </row>
    <row r="246">
      <c r="A246" s="6" t="n"/>
      <c r="B246">
        <f>IF($A246="","", "PV"&amp;TEXT(ROW()-1,"0000"))</f>
        <v/>
      </c>
      <c r="F246" s="8" t="n"/>
    </row>
    <row r="247">
      <c r="A247" s="6" t="n"/>
      <c r="B247">
        <f>IF($A247="","", "PV"&amp;TEXT(ROW()-1,"0000"))</f>
        <v/>
      </c>
      <c r="F247" s="8" t="n"/>
    </row>
    <row r="248">
      <c r="A248" s="6" t="n"/>
      <c r="B248">
        <f>IF($A248="","", "PV"&amp;TEXT(ROW()-1,"0000"))</f>
        <v/>
      </c>
      <c r="F248" s="8" t="n"/>
    </row>
    <row r="249">
      <c r="A249" s="6" t="n"/>
      <c r="B249">
        <f>IF($A249="","", "PV"&amp;TEXT(ROW()-1,"0000"))</f>
        <v/>
      </c>
      <c r="F249" s="8" t="n"/>
    </row>
    <row r="250">
      <c r="A250" s="6" t="n"/>
      <c r="B250">
        <f>IF($A250="","", "PV"&amp;TEXT(ROW()-1,"0000"))</f>
        <v/>
      </c>
      <c r="F250" s="8" t="n"/>
    </row>
    <row r="251">
      <c r="A251" s="6" t="n"/>
      <c r="B251">
        <f>IF($A251="","", "PV"&amp;TEXT(ROW()-1,"0000"))</f>
        <v/>
      </c>
      <c r="F251" s="8" t="n"/>
    </row>
    <row r="252">
      <c r="A252" s="6" t="n"/>
      <c r="B252">
        <f>IF($A252="","", "PV"&amp;TEXT(ROW()-1,"0000"))</f>
        <v/>
      </c>
      <c r="F252" s="8" t="n"/>
    </row>
    <row r="253">
      <c r="A253" s="6" t="n"/>
      <c r="B253">
        <f>IF($A253="","", "PV"&amp;TEXT(ROW()-1,"0000"))</f>
        <v/>
      </c>
      <c r="F253" s="8" t="n"/>
    </row>
    <row r="254">
      <c r="A254" s="6" t="n"/>
      <c r="B254">
        <f>IF($A254="","", "PV"&amp;TEXT(ROW()-1,"0000"))</f>
        <v/>
      </c>
      <c r="F254" s="8" t="n"/>
    </row>
    <row r="255">
      <c r="A255" s="6" t="n"/>
      <c r="B255">
        <f>IF($A255="","", "PV"&amp;TEXT(ROW()-1,"0000"))</f>
        <v/>
      </c>
      <c r="F255" s="8" t="n"/>
    </row>
    <row r="256">
      <c r="A256" s="6" t="n"/>
      <c r="B256">
        <f>IF($A256="","", "PV"&amp;TEXT(ROW()-1,"0000"))</f>
        <v/>
      </c>
      <c r="F256" s="8" t="n"/>
    </row>
    <row r="257">
      <c r="A257" s="6" t="n"/>
      <c r="B257">
        <f>IF($A257="","", "PV"&amp;TEXT(ROW()-1,"0000"))</f>
        <v/>
      </c>
      <c r="F257" s="8" t="n"/>
    </row>
    <row r="258">
      <c r="A258" s="6" t="n"/>
      <c r="B258">
        <f>IF($A258="","", "PV"&amp;TEXT(ROW()-1,"0000"))</f>
        <v/>
      </c>
      <c r="F258" s="8" t="n"/>
    </row>
    <row r="259">
      <c r="A259" s="6" t="n"/>
      <c r="B259">
        <f>IF($A259="","", "PV"&amp;TEXT(ROW()-1,"0000"))</f>
        <v/>
      </c>
      <c r="F259" s="8" t="n"/>
    </row>
    <row r="260">
      <c r="A260" s="6" t="n"/>
      <c r="B260">
        <f>IF($A260="","", "PV"&amp;TEXT(ROW()-1,"0000"))</f>
        <v/>
      </c>
      <c r="F260" s="8" t="n"/>
    </row>
    <row r="261">
      <c r="A261" s="6" t="n"/>
      <c r="B261">
        <f>IF($A261="","", "PV"&amp;TEXT(ROW()-1,"0000"))</f>
        <v/>
      </c>
      <c r="F261" s="8" t="n"/>
    </row>
    <row r="262">
      <c r="A262" s="6" t="n"/>
      <c r="B262">
        <f>IF($A262="","", "PV"&amp;TEXT(ROW()-1,"0000"))</f>
        <v/>
      </c>
      <c r="F262" s="8" t="n"/>
    </row>
    <row r="263">
      <c r="A263" s="6" t="n"/>
      <c r="B263">
        <f>IF($A263="","", "PV"&amp;TEXT(ROW()-1,"0000"))</f>
        <v/>
      </c>
      <c r="F263" s="8" t="n"/>
    </row>
    <row r="264">
      <c r="A264" s="6" t="n"/>
      <c r="B264">
        <f>IF($A264="","", "PV"&amp;TEXT(ROW()-1,"0000"))</f>
        <v/>
      </c>
      <c r="F264" s="8" t="n"/>
    </row>
    <row r="265">
      <c r="A265" s="6" t="n"/>
      <c r="B265">
        <f>IF($A265="","", "PV"&amp;TEXT(ROW()-1,"0000"))</f>
        <v/>
      </c>
      <c r="F265" s="8" t="n"/>
    </row>
    <row r="266">
      <c r="A266" s="6" t="n"/>
      <c r="B266">
        <f>IF($A266="","", "PV"&amp;TEXT(ROW()-1,"0000"))</f>
        <v/>
      </c>
      <c r="F266" s="8" t="n"/>
    </row>
    <row r="267">
      <c r="A267" s="6" t="n"/>
      <c r="B267">
        <f>IF($A267="","", "PV"&amp;TEXT(ROW()-1,"0000"))</f>
        <v/>
      </c>
      <c r="F267" s="8" t="n"/>
    </row>
    <row r="268">
      <c r="A268" s="6" t="n"/>
      <c r="B268">
        <f>IF($A268="","", "PV"&amp;TEXT(ROW()-1,"0000"))</f>
        <v/>
      </c>
      <c r="F268" s="8" t="n"/>
    </row>
    <row r="269">
      <c r="A269" s="6" t="n"/>
      <c r="B269">
        <f>IF($A269="","", "PV"&amp;TEXT(ROW()-1,"0000"))</f>
        <v/>
      </c>
      <c r="F269" s="8" t="n"/>
    </row>
    <row r="270">
      <c r="A270" s="6" t="n"/>
      <c r="B270">
        <f>IF($A270="","", "PV"&amp;TEXT(ROW()-1,"0000"))</f>
        <v/>
      </c>
      <c r="F270" s="8" t="n"/>
    </row>
    <row r="271">
      <c r="A271" s="6" t="n"/>
      <c r="B271">
        <f>IF($A271="","", "PV"&amp;TEXT(ROW()-1,"0000"))</f>
        <v/>
      </c>
      <c r="F271" s="8" t="n"/>
    </row>
    <row r="272">
      <c r="A272" s="6" t="n"/>
      <c r="B272">
        <f>IF($A272="","", "PV"&amp;TEXT(ROW()-1,"0000"))</f>
        <v/>
      </c>
      <c r="F272" s="8" t="n"/>
    </row>
    <row r="273">
      <c r="A273" s="6" t="n"/>
      <c r="B273">
        <f>IF($A273="","", "PV"&amp;TEXT(ROW()-1,"0000"))</f>
        <v/>
      </c>
      <c r="F273" s="8" t="n"/>
    </row>
    <row r="274">
      <c r="A274" s="6" t="n"/>
      <c r="B274">
        <f>IF($A274="","", "PV"&amp;TEXT(ROW()-1,"0000"))</f>
        <v/>
      </c>
      <c r="F274" s="8" t="n"/>
    </row>
    <row r="275">
      <c r="A275" s="6" t="n"/>
      <c r="B275">
        <f>IF($A275="","", "PV"&amp;TEXT(ROW()-1,"0000"))</f>
        <v/>
      </c>
      <c r="F275" s="8" t="n"/>
    </row>
    <row r="276">
      <c r="A276" s="6" t="n"/>
      <c r="B276">
        <f>IF($A276="","", "PV"&amp;TEXT(ROW()-1,"0000"))</f>
        <v/>
      </c>
      <c r="F276" s="8" t="n"/>
    </row>
    <row r="277">
      <c r="A277" s="6" t="n"/>
      <c r="B277">
        <f>IF($A277="","", "PV"&amp;TEXT(ROW()-1,"0000"))</f>
        <v/>
      </c>
      <c r="F277" s="8" t="n"/>
    </row>
    <row r="278">
      <c r="A278" s="6" t="n"/>
      <c r="B278">
        <f>IF($A278="","", "PV"&amp;TEXT(ROW()-1,"0000"))</f>
        <v/>
      </c>
      <c r="F278" s="8" t="n"/>
    </row>
    <row r="279">
      <c r="A279" s="6" t="n"/>
      <c r="B279">
        <f>IF($A279="","", "PV"&amp;TEXT(ROW()-1,"0000"))</f>
        <v/>
      </c>
      <c r="F279" s="8" t="n"/>
    </row>
    <row r="280">
      <c r="A280" s="6" t="n"/>
      <c r="B280">
        <f>IF($A280="","", "PV"&amp;TEXT(ROW()-1,"0000"))</f>
        <v/>
      </c>
      <c r="F280" s="8" t="n"/>
    </row>
    <row r="281">
      <c r="A281" s="6" t="n"/>
      <c r="B281">
        <f>IF($A281="","", "PV"&amp;TEXT(ROW()-1,"0000"))</f>
        <v/>
      </c>
      <c r="F281" s="8" t="n"/>
    </row>
    <row r="282">
      <c r="A282" s="6" t="n"/>
      <c r="B282">
        <f>IF($A282="","", "PV"&amp;TEXT(ROW()-1,"0000"))</f>
        <v/>
      </c>
      <c r="F282" s="8" t="n"/>
    </row>
    <row r="283">
      <c r="A283" s="6" t="n"/>
      <c r="B283">
        <f>IF($A283="","", "PV"&amp;TEXT(ROW()-1,"0000"))</f>
        <v/>
      </c>
      <c r="F283" s="8" t="n"/>
    </row>
    <row r="284">
      <c r="A284" s="6" t="n"/>
      <c r="B284">
        <f>IF($A284="","", "PV"&amp;TEXT(ROW()-1,"0000"))</f>
        <v/>
      </c>
      <c r="F284" s="8" t="n"/>
    </row>
    <row r="285">
      <c r="A285" s="6" t="n"/>
      <c r="B285">
        <f>IF($A285="","", "PV"&amp;TEXT(ROW()-1,"0000"))</f>
        <v/>
      </c>
      <c r="F285" s="8" t="n"/>
    </row>
    <row r="286">
      <c r="A286" s="6" t="n"/>
      <c r="B286">
        <f>IF($A286="","", "PV"&amp;TEXT(ROW()-1,"0000"))</f>
        <v/>
      </c>
      <c r="F286" s="8" t="n"/>
    </row>
    <row r="287">
      <c r="A287" s="6" t="n"/>
      <c r="B287">
        <f>IF($A287="","", "PV"&amp;TEXT(ROW()-1,"0000"))</f>
        <v/>
      </c>
      <c r="F287" s="8" t="n"/>
    </row>
    <row r="288">
      <c r="A288" s="6" t="n"/>
      <c r="B288">
        <f>IF($A288="","", "PV"&amp;TEXT(ROW()-1,"0000"))</f>
        <v/>
      </c>
      <c r="F288" s="8" t="n"/>
    </row>
    <row r="289">
      <c r="A289" s="6" t="n"/>
      <c r="B289">
        <f>IF($A289="","", "PV"&amp;TEXT(ROW()-1,"0000"))</f>
        <v/>
      </c>
      <c r="F289" s="8" t="n"/>
    </row>
    <row r="290">
      <c r="A290" s="6" t="n"/>
      <c r="B290">
        <f>IF($A290="","", "PV"&amp;TEXT(ROW()-1,"0000"))</f>
        <v/>
      </c>
      <c r="F290" s="8" t="n"/>
    </row>
    <row r="291">
      <c r="A291" s="6" t="n"/>
      <c r="B291">
        <f>IF($A291="","", "PV"&amp;TEXT(ROW()-1,"0000"))</f>
        <v/>
      </c>
      <c r="F291" s="8" t="n"/>
    </row>
    <row r="292">
      <c r="A292" s="6" t="n"/>
      <c r="B292">
        <f>IF($A292="","", "PV"&amp;TEXT(ROW()-1,"0000"))</f>
        <v/>
      </c>
      <c r="F292" s="8" t="n"/>
    </row>
    <row r="293">
      <c r="A293" s="6" t="n"/>
      <c r="B293">
        <f>IF($A293="","", "PV"&amp;TEXT(ROW()-1,"0000"))</f>
        <v/>
      </c>
      <c r="F293" s="8" t="n"/>
    </row>
    <row r="294">
      <c r="A294" s="6" t="n"/>
      <c r="B294">
        <f>IF($A294="","", "PV"&amp;TEXT(ROW()-1,"0000"))</f>
        <v/>
      </c>
      <c r="F294" s="8" t="n"/>
    </row>
    <row r="295">
      <c r="A295" s="6" t="n"/>
      <c r="B295">
        <f>IF($A295="","", "PV"&amp;TEXT(ROW()-1,"0000"))</f>
        <v/>
      </c>
      <c r="F295" s="8" t="n"/>
    </row>
    <row r="296">
      <c r="A296" s="6" t="n"/>
      <c r="B296">
        <f>IF($A296="","", "PV"&amp;TEXT(ROW()-1,"0000"))</f>
        <v/>
      </c>
      <c r="F296" s="8" t="n"/>
    </row>
    <row r="297">
      <c r="A297" s="6" t="n"/>
      <c r="B297">
        <f>IF($A297="","", "PV"&amp;TEXT(ROW()-1,"0000"))</f>
        <v/>
      </c>
      <c r="F297" s="8" t="n"/>
    </row>
    <row r="298">
      <c r="A298" s="6" t="n"/>
      <c r="B298">
        <f>IF($A298="","", "PV"&amp;TEXT(ROW()-1,"0000"))</f>
        <v/>
      </c>
      <c r="F298" s="8" t="n"/>
    </row>
    <row r="299">
      <c r="A299" s="6" t="n"/>
      <c r="B299">
        <f>IF($A299="","", "PV"&amp;TEXT(ROW()-1,"0000"))</f>
        <v/>
      </c>
      <c r="F299" s="8" t="n"/>
    </row>
    <row r="300">
      <c r="A300" s="6" t="n"/>
      <c r="B300">
        <f>IF($A300="","", "PV"&amp;TEXT(ROW()-1,"0000"))</f>
        <v/>
      </c>
      <c r="F300" s="8" t="n"/>
    </row>
    <row r="301">
      <c r="A301" s="6" t="n"/>
      <c r="B301">
        <f>IF($A301="","", "PV"&amp;TEXT(ROW()-1,"0000"))</f>
        <v/>
      </c>
      <c r="F301" s="8" t="n"/>
    </row>
    <row r="302">
      <c r="A302" s="6" t="n"/>
      <c r="B302">
        <f>IF($A302="","", "PV"&amp;TEXT(ROW()-1,"0000"))</f>
        <v/>
      </c>
      <c r="F302" s="8" t="n"/>
    </row>
    <row r="303">
      <c r="A303" s="6" t="n"/>
      <c r="B303">
        <f>IF($A303="","", "PV"&amp;TEXT(ROW()-1,"0000"))</f>
        <v/>
      </c>
      <c r="F303" s="8" t="n"/>
    </row>
    <row r="304">
      <c r="A304" s="6" t="n"/>
      <c r="B304">
        <f>IF($A304="","", "PV"&amp;TEXT(ROW()-1,"0000"))</f>
        <v/>
      </c>
      <c r="F304" s="8" t="n"/>
    </row>
    <row r="305">
      <c r="A305" s="6" t="n"/>
      <c r="B305">
        <f>IF($A305="","", "PV"&amp;TEXT(ROW()-1,"0000"))</f>
        <v/>
      </c>
      <c r="F305" s="8" t="n"/>
    </row>
    <row r="306">
      <c r="A306" s="6" t="n"/>
      <c r="B306">
        <f>IF($A306="","", "PV"&amp;TEXT(ROW()-1,"0000"))</f>
        <v/>
      </c>
      <c r="F306" s="8" t="n"/>
    </row>
    <row r="307">
      <c r="A307" s="6" t="n"/>
      <c r="B307">
        <f>IF($A307="","", "PV"&amp;TEXT(ROW()-1,"0000"))</f>
        <v/>
      </c>
      <c r="F307" s="8" t="n"/>
    </row>
    <row r="308">
      <c r="A308" s="6" t="n"/>
      <c r="B308">
        <f>IF($A308="","", "PV"&amp;TEXT(ROW()-1,"0000"))</f>
        <v/>
      </c>
      <c r="F308" s="8" t="n"/>
    </row>
    <row r="309">
      <c r="A309" s="6" t="n"/>
      <c r="B309">
        <f>IF($A309="","", "PV"&amp;TEXT(ROW()-1,"0000"))</f>
        <v/>
      </c>
      <c r="F309" s="8" t="n"/>
    </row>
    <row r="310">
      <c r="A310" s="6" t="n"/>
      <c r="B310">
        <f>IF($A310="","", "PV"&amp;TEXT(ROW()-1,"0000"))</f>
        <v/>
      </c>
      <c r="F310" s="8" t="n"/>
    </row>
    <row r="311">
      <c r="A311" s="6" t="n"/>
      <c r="B311">
        <f>IF($A311="","", "PV"&amp;TEXT(ROW()-1,"0000"))</f>
        <v/>
      </c>
      <c r="F311" s="8" t="n"/>
    </row>
    <row r="312">
      <c r="A312" s="6" t="n"/>
      <c r="B312">
        <f>IF($A312="","", "PV"&amp;TEXT(ROW()-1,"0000"))</f>
        <v/>
      </c>
      <c r="F312" s="8" t="n"/>
    </row>
    <row r="313">
      <c r="A313" s="6" t="n"/>
      <c r="B313">
        <f>IF($A313="","", "PV"&amp;TEXT(ROW()-1,"0000"))</f>
        <v/>
      </c>
      <c r="F313" s="8" t="n"/>
    </row>
    <row r="314">
      <c r="A314" s="6" t="n"/>
      <c r="B314">
        <f>IF($A314="","", "PV"&amp;TEXT(ROW()-1,"0000"))</f>
        <v/>
      </c>
      <c r="F314" s="8" t="n"/>
    </row>
    <row r="315">
      <c r="A315" s="6" t="n"/>
      <c r="B315">
        <f>IF($A315="","", "PV"&amp;TEXT(ROW()-1,"0000"))</f>
        <v/>
      </c>
      <c r="F315" s="8" t="n"/>
    </row>
    <row r="316">
      <c r="A316" s="6" t="n"/>
      <c r="B316">
        <f>IF($A316="","", "PV"&amp;TEXT(ROW()-1,"0000"))</f>
        <v/>
      </c>
      <c r="F316" s="8" t="n"/>
    </row>
    <row r="317">
      <c r="A317" s="6" t="n"/>
      <c r="B317">
        <f>IF($A317="","", "PV"&amp;TEXT(ROW()-1,"0000"))</f>
        <v/>
      </c>
      <c r="F317" s="8" t="n"/>
    </row>
    <row r="318">
      <c r="A318" s="6" t="n"/>
      <c r="B318">
        <f>IF($A318="","", "PV"&amp;TEXT(ROW()-1,"0000"))</f>
        <v/>
      </c>
      <c r="F318" s="8" t="n"/>
    </row>
    <row r="319">
      <c r="A319" s="6" t="n"/>
      <c r="B319">
        <f>IF($A319="","", "PV"&amp;TEXT(ROW()-1,"0000"))</f>
        <v/>
      </c>
      <c r="F319" s="8" t="n"/>
    </row>
    <row r="320">
      <c r="A320" s="6" t="n"/>
      <c r="B320">
        <f>IF($A320="","", "PV"&amp;TEXT(ROW()-1,"0000"))</f>
        <v/>
      </c>
      <c r="F320" s="8" t="n"/>
    </row>
    <row r="321">
      <c r="A321" s="6" t="n"/>
      <c r="B321">
        <f>IF($A321="","", "PV"&amp;TEXT(ROW()-1,"0000"))</f>
        <v/>
      </c>
      <c r="F321" s="8" t="n"/>
    </row>
    <row r="322">
      <c r="A322" s="6" t="n"/>
      <c r="B322">
        <f>IF($A322="","", "PV"&amp;TEXT(ROW()-1,"0000"))</f>
        <v/>
      </c>
      <c r="F322" s="8" t="n"/>
    </row>
    <row r="323">
      <c r="A323" s="6" t="n"/>
      <c r="B323">
        <f>IF($A323="","", "PV"&amp;TEXT(ROW()-1,"0000"))</f>
        <v/>
      </c>
      <c r="F323" s="8" t="n"/>
    </row>
    <row r="324">
      <c r="A324" s="6" t="n"/>
      <c r="B324">
        <f>IF($A324="","", "PV"&amp;TEXT(ROW()-1,"0000"))</f>
        <v/>
      </c>
      <c r="F324" s="8" t="n"/>
    </row>
    <row r="325">
      <c r="A325" s="6" t="n"/>
      <c r="B325">
        <f>IF($A325="","", "PV"&amp;TEXT(ROW()-1,"0000"))</f>
        <v/>
      </c>
      <c r="F325" s="8" t="n"/>
    </row>
    <row r="326">
      <c r="A326" s="6" t="n"/>
      <c r="B326">
        <f>IF($A326="","", "PV"&amp;TEXT(ROW()-1,"0000"))</f>
        <v/>
      </c>
      <c r="F326" s="8" t="n"/>
    </row>
    <row r="327">
      <c r="A327" s="6" t="n"/>
      <c r="B327">
        <f>IF($A327="","", "PV"&amp;TEXT(ROW()-1,"0000"))</f>
        <v/>
      </c>
      <c r="F327" s="8" t="n"/>
    </row>
    <row r="328">
      <c r="A328" s="6" t="n"/>
      <c r="B328">
        <f>IF($A328="","", "PV"&amp;TEXT(ROW()-1,"0000"))</f>
        <v/>
      </c>
      <c r="F328" s="8" t="n"/>
    </row>
    <row r="329">
      <c r="A329" s="6" t="n"/>
      <c r="B329">
        <f>IF($A329="","", "PV"&amp;TEXT(ROW()-1,"0000"))</f>
        <v/>
      </c>
      <c r="F329" s="8" t="n"/>
    </row>
    <row r="330">
      <c r="A330" s="6" t="n"/>
      <c r="B330">
        <f>IF($A330="","", "PV"&amp;TEXT(ROW()-1,"0000"))</f>
        <v/>
      </c>
      <c r="F330" s="8" t="n"/>
    </row>
    <row r="331">
      <c r="A331" s="6" t="n"/>
      <c r="B331">
        <f>IF($A331="","", "PV"&amp;TEXT(ROW()-1,"0000"))</f>
        <v/>
      </c>
      <c r="F331" s="8" t="n"/>
    </row>
    <row r="332">
      <c r="A332" s="6" t="n"/>
      <c r="B332">
        <f>IF($A332="","", "PV"&amp;TEXT(ROW()-1,"0000"))</f>
        <v/>
      </c>
      <c r="F332" s="8" t="n"/>
    </row>
    <row r="333">
      <c r="A333" s="6" t="n"/>
      <c r="B333">
        <f>IF($A333="","", "PV"&amp;TEXT(ROW()-1,"0000"))</f>
        <v/>
      </c>
      <c r="F333" s="8" t="n"/>
    </row>
    <row r="334">
      <c r="A334" s="6" t="n"/>
      <c r="B334">
        <f>IF($A334="","", "PV"&amp;TEXT(ROW()-1,"0000"))</f>
        <v/>
      </c>
      <c r="F334" s="8" t="n"/>
    </row>
    <row r="335">
      <c r="A335" s="6" t="n"/>
      <c r="B335">
        <f>IF($A335="","", "PV"&amp;TEXT(ROW()-1,"0000"))</f>
        <v/>
      </c>
      <c r="F335" s="8" t="n"/>
    </row>
    <row r="336">
      <c r="A336" s="6" t="n"/>
      <c r="B336">
        <f>IF($A336="","", "PV"&amp;TEXT(ROW()-1,"0000"))</f>
        <v/>
      </c>
      <c r="F336" s="8" t="n"/>
    </row>
    <row r="337">
      <c r="A337" s="6" t="n"/>
      <c r="B337">
        <f>IF($A337="","", "PV"&amp;TEXT(ROW()-1,"0000"))</f>
        <v/>
      </c>
      <c r="F337" s="8" t="n"/>
    </row>
    <row r="338">
      <c r="A338" s="6" t="n"/>
      <c r="B338">
        <f>IF($A338="","", "PV"&amp;TEXT(ROW()-1,"0000"))</f>
        <v/>
      </c>
      <c r="F338" s="8" t="n"/>
    </row>
    <row r="339">
      <c r="A339" s="6" t="n"/>
      <c r="B339">
        <f>IF($A339="","", "PV"&amp;TEXT(ROW()-1,"0000"))</f>
        <v/>
      </c>
      <c r="F339" s="8" t="n"/>
    </row>
    <row r="340">
      <c r="A340" s="6" t="n"/>
      <c r="B340">
        <f>IF($A340="","", "PV"&amp;TEXT(ROW()-1,"0000"))</f>
        <v/>
      </c>
      <c r="F340" s="8" t="n"/>
    </row>
    <row r="341">
      <c r="A341" s="6" t="n"/>
      <c r="B341">
        <f>IF($A341="","", "PV"&amp;TEXT(ROW()-1,"0000"))</f>
        <v/>
      </c>
      <c r="F341" s="8" t="n"/>
    </row>
    <row r="342">
      <c r="A342" s="6" t="n"/>
      <c r="B342">
        <f>IF($A342="","", "PV"&amp;TEXT(ROW()-1,"0000"))</f>
        <v/>
      </c>
      <c r="F342" s="8" t="n"/>
    </row>
    <row r="343">
      <c r="A343" s="6" t="n"/>
      <c r="B343">
        <f>IF($A343="","", "PV"&amp;TEXT(ROW()-1,"0000"))</f>
        <v/>
      </c>
      <c r="F343" s="8" t="n"/>
    </row>
    <row r="344">
      <c r="A344" s="6" t="n"/>
      <c r="B344">
        <f>IF($A344="","", "PV"&amp;TEXT(ROW()-1,"0000"))</f>
        <v/>
      </c>
      <c r="F344" s="8" t="n"/>
    </row>
    <row r="345">
      <c r="A345" s="6" t="n"/>
      <c r="B345">
        <f>IF($A345="","", "PV"&amp;TEXT(ROW()-1,"0000"))</f>
        <v/>
      </c>
      <c r="F345" s="8" t="n"/>
    </row>
    <row r="346">
      <c r="A346" s="6" t="n"/>
      <c r="B346">
        <f>IF($A346="","", "PV"&amp;TEXT(ROW()-1,"0000"))</f>
        <v/>
      </c>
      <c r="F346" s="8" t="n"/>
    </row>
    <row r="347">
      <c r="A347" s="6" t="n"/>
      <c r="B347">
        <f>IF($A347="","", "PV"&amp;TEXT(ROW()-1,"0000"))</f>
        <v/>
      </c>
      <c r="F347" s="8" t="n"/>
    </row>
    <row r="348">
      <c r="A348" s="6" t="n"/>
      <c r="B348">
        <f>IF($A348="","", "PV"&amp;TEXT(ROW()-1,"0000"))</f>
        <v/>
      </c>
      <c r="F348" s="8" t="n"/>
    </row>
    <row r="349">
      <c r="A349" s="6" t="n"/>
      <c r="B349">
        <f>IF($A349="","", "PV"&amp;TEXT(ROW()-1,"0000"))</f>
        <v/>
      </c>
      <c r="F349" s="8" t="n"/>
    </row>
    <row r="350">
      <c r="A350" s="6" t="n"/>
      <c r="B350">
        <f>IF($A350="","", "PV"&amp;TEXT(ROW()-1,"0000"))</f>
        <v/>
      </c>
      <c r="F350" s="8" t="n"/>
    </row>
    <row r="351">
      <c r="A351" s="6" t="n"/>
      <c r="B351">
        <f>IF($A351="","", "PV"&amp;TEXT(ROW()-1,"0000"))</f>
        <v/>
      </c>
      <c r="F351" s="8" t="n"/>
    </row>
    <row r="352">
      <c r="A352" s="6" t="n"/>
      <c r="B352">
        <f>IF($A352="","", "PV"&amp;TEXT(ROW()-1,"0000"))</f>
        <v/>
      </c>
      <c r="F352" s="8" t="n"/>
    </row>
    <row r="353">
      <c r="A353" s="6" t="n"/>
      <c r="B353">
        <f>IF($A353="","", "PV"&amp;TEXT(ROW()-1,"0000"))</f>
        <v/>
      </c>
      <c r="F353" s="8" t="n"/>
    </row>
    <row r="354">
      <c r="A354" s="6" t="n"/>
      <c r="B354">
        <f>IF($A354="","", "PV"&amp;TEXT(ROW()-1,"0000"))</f>
        <v/>
      </c>
      <c r="F354" s="8" t="n"/>
    </row>
    <row r="355">
      <c r="A355" s="6" t="n"/>
      <c r="B355">
        <f>IF($A355="","", "PV"&amp;TEXT(ROW()-1,"0000"))</f>
        <v/>
      </c>
      <c r="F355" s="8" t="n"/>
    </row>
    <row r="356">
      <c r="A356" s="6" t="n"/>
      <c r="B356">
        <f>IF($A356="","", "PV"&amp;TEXT(ROW()-1,"0000"))</f>
        <v/>
      </c>
      <c r="F356" s="8" t="n"/>
    </row>
    <row r="357">
      <c r="A357" s="6" t="n"/>
      <c r="B357">
        <f>IF($A357="","", "PV"&amp;TEXT(ROW()-1,"0000"))</f>
        <v/>
      </c>
      <c r="F357" s="8" t="n"/>
    </row>
    <row r="358">
      <c r="A358" s="6" t="n"/>
      <c r="B358">
        <f>IF($A358="","", "PV"&amp;TEXT(ROW()-1,"0000"))</f>
        <v/>
      </c>
      <c r="F358" s="8" t="n"/>
    </row>
    <row r="359">
      <c r="A359" s="6" t="n"/>
      <c r="B359">
        <f>IF($A359="","", "PV"&amp;TEXT(ROW()-1,"0000"))</f>
        <v/>
      </c>
      <c r="F359" s="8" t="n"/>
    </row>
    <row r="360">
      <c r="A360" s="6" t="n"/>
      <c r="B360">
        <f>IF($A360="","", "PV"&amp;TEXT(ROW()-1,"0000"))</f>
        <v/>
      </c>
      <c r="F360" s="8" t="n"/>
    </row>
    <row r="361">
      <c r="A361" s="6" t="n"/>
      <c r="B361">
        <f>IF($A361="","", "PV"&amp;TEXT(ROW()-1,"0000"))</f>
        <v/>
      </c>
      <c r="F361" s="8" t="n"/>
    </row>
    <row r="362">
      <c r="A362" s="6" t="n"/>
      <c r="B362">
        <f>IF($A362="","", "PV"&amp;TEXT(ROW()-1,"0000"))</f>
        <v/>
      </c>
      <c r="F362" s="8" t="n"/>
    </row>
    <row r="363">
      <c r="A363" s="6" t="n"/>
      <c r="B363">
        <f>IF($A363="","", "PV"&amp;TEXT(ROW()-1,"0000"))</f>
        <v/>
      </c>
      <c r="F363" s="8" t="n"/>
    </row>
    <row r="364">
      <c r="A364" s="6" t="n"/>
      <c r="B364">
        <f>IF($A364="","", "PV"&amp;TEXT(ROW()-1,"0000"))</f>
        <v/>
      </c>
      <c r="F364" s="8" t="n"/>
    </row>
    <row r="365">
      <c r="A365" s="6" t="n"/>
      <c r="B365">
        <f>IF($A365="","", "PV"&amp;TEXT(ROW()-1,"0000"))</f>
        <v/>
      </c>
      <c r="F365" s="8" t="n"/>
    </row>
    <row r="366">
      <c r="A366" s="6" t="n"/>
      <c r="B366">
        <f>IF($A366="","", "PV"&amp;TEXT(ROW()-1,"0000"))</f>
        <v/>
      </c>
      <c r="F366" s="8" t="n"/>
    </row>
    <row r="367">
      <c r="A367" s="6" t="n"/>
      <c r="B367">
        <f>IF($A367="","", "PV"&amp;TEXT(ROW()-1,"0000"))</f>
        <v/>
      </c>
      <c r="F367" s="8" t="n"/>
    </row>
    <row r="368">
      <c r="A368" s="6" t="n"/>
      <c r="B368">
        <f>IF($A368="","", "PV"&amp;TEXT(ROW()-1,"0000"))</f>
        <v/>
      </c>
      <c r="F368" s="8" t="n"/>
    </row>
    <row r="369">
      <c r="A369" s="6" t="n"/>
      <c r="B369">
        <f>IF($A369="","", "PV"&amp;TEXT(ROW()-1,"0000"))</f>
        <v/>
      </c>
      <c r="F369" s="8" t="n"/>
    </row>
    <row r="370">
      <c r="A370" s="6" t="n"/>
      <c r="B370">
        <f>IF($A370="","", "PV"&amp;TEXT(ROW()-1,"0000"))</f>
        <v/>
      </c>
      <c r="F370" s="8" t="n"/>
    </row>
    <row r="371">
      <c r="A371" s="6" t="n"/>
      <c r="B371">
        <f>IF($A371="","", "PV"&amp;TEXT(ROW()-1,"0000"))</f>
        <v/>
      </c>
      <c r="F371" s="8" t="n"/>
    </row>
    <row r="372">
      <c r="A372" s="6" t="n"/>
      <c r="B372">
        <f>IF($A372="","", "PV"&amp;TEXT(ROW()-1,"0000"))</f>
        <v/>
      </c>
      <c r="F372" s="8" t="n"/>
    </row>
    <row r="373">
      <c r="A373" s="6" t="n"/>
      <c r="B373">
        <f>IF($A373="","", "PV"&amp;TEXT(ROW()-1,"0000"))</f>
        <v/>
      </c>
      <c r="F373" s="8" t="n"/>
    </row>
    <row r="374">
      <c r="A374" s="6" t="n"/>
      <c r="B374">
        <f>IF($A374="","", "PV"&amp;TEXT(ROW()-1,"0000"))</f>
        <v/>
      </c>
      <c r="F374" s="8" t="n"/>
    </row>
    <row r="375">
      <c r="A375" s="6" t="n"/>
      <c r="B375">
        <f>IF($A375="","", "PV"&amp;TEXT(ROW()-1,"0000"))</f>
        <v/>
      </c>
      <c r="F375" s="8" t="n"/>
    </row>
    <row r="376">
      <c r="A376" s="6" t="n"/>
      <c r="B376">
        <f>IF($A376="","", "PV"&amp;TEXT(ROW()-1,"0000"))</f>
        <v/>
      </c>
      <c r="F376" s="8" t="n"/>
    </row>
    <row r="377">
      <c r="A377" s="6" t="n"/>
      <c r="B377">
        <f>IF($A377="","", "PV"&amp;TEXT(ROW()-1,"0000"))</f>
        <v/>
      </c>
      <c r="F377" s="8" t="n"/>
    </row>
    <row r="378">
      <c r="A378" s="6" t="n"/>
      <c r="B378">
        <f>IF($A378="","", "PV"&amp;TEXT(ROW()-1,"0000"))</f>
        <v/>
      </c>
      <c r="F378" s="8" t="n"/>
    </row>
    <row r="379">
      <c r="A379" s="6" t="n"/>
      <c r="B379">
        <f>IF($A379="","", "PV"&amp;TEXT(ROW()-1,"0000"))</f>
        <v/>
      </c>
      <c r="F379" s="8" t="n"/>
    </row>
    <row r="380">
      <c r="A380" s="6" t="n"/>
      <c r="B380">
        <f>IF($A380="","", "PV"&amp;TEXT(ROW()-1,"0000"))</f>
        <v/>
      </c>
      <c r="F380" s="8" t="n"/>
    </row>
    <row r="381">
      <c r="A381" s="6" t="n"/>
      <c r="B381">
        <f>IF($A381="","", "PV"&amp;TEXT(ROW()-1,"0000"))</f>
        <v/>
      </c>
      <c r="F381" s="8" t="n"/>
    </row>
    <row r="382">
      <c r="A382" s="6" t="n"/>
      <c r="B382">
        <f>IF($A382="","", "PV"&amp;TEXT(ROW()-1,"0000"))</f>
        <v/>
      </c>
      <c r="F382" s="8" t="n"/>
    </row>
    <row r="383">
      <c r="A383" s="6" t="n"/>
      <c r="B383">
        <f>IF($A383="","", "PV"&amp;TEXT(ROW()-1,"0000"))</f>
        <v/>
      </c>
      <c r="F383" s="8" t="n"/>
    </row>
    <row r="384">
      <c r="A384" s="6" t="n"/>
      <c r="B384">
        <f>IF($A384="","", "PV"&amp;TEXT(ROW()-1,"0000"))</f>
        <v/>
      </c>
      <c r="F384" s="8" t="n"/>
    </row>
    <row r="385">
      <c r="A385" s="6" t="n"/>
      <c r="B385">
        <f>IF($A385="","", "PV"&amp;TEXT(ROW()-1,"0000"))</f>
        <v/>
      </c>
      <c r="F385" s="8" t="n"/>
    </row>
    <row r="386">
      <c r="A386" s="6" t="n"/>
      <c r="B386">
        <f>IF($A386="","", "PV"&amp;TEXT(ROW()-1,"0000"))</f>
        <v/>
      </c>
      <c r="F386" s="8" t="n"/>
    </row>
    <row r="387">
      <c r="A387" s="6" t="n"/>
      <c r="B387">
        <f>IF($A387="","", "PV"&amp;TEXT(ROW()-1,"0000"))</f>
        <v/>
      </c>
      <c r="F387" s="8" t="n"/>
    </row>
    <row r="388">
      <c r="A388" s="6" t="n"/>
      <c r="B388">
        <f>IF($A388="","", "PV"&amp;TEXT(ROW()-1,"0000"))</f>
        <v/>
      </c>
      <c r="F388" s="8" t="n"/>
    </row>
    <row r="389">
      <c r="A389" s="6" t="n"/>
      <c r="B389">
        <f>IF($A389="","", "PV"&amp;TEXT(ROW()-1,"0000"))</f>
        <v/>
      </c>
      <c r="F389" s="8" t="n"/>
    </row>
    <row r="390">
      <c r="A390" s="6" t="n"/>
      <c r="B390">
        <f>IF($A390="","", "PV"&amp;TEXT(ROW()-1,"0000"))</f>
        <v/>
      </c>
      <c r="F390" s="8" t="n"/>
    </row>
    <row r="391">
      <c r="A391" s="6" t="n"/>
      <c r="B391">
        <f>IF($A391="","", "PV"&amp;TEXT(ROW()-1,"0000"))</f>
        <v/>
      </c>
      <c r="F391" s="8" t="n"/>
    </row>
    <row r="392">
      <c r="A392" s="6" t="n"/>
      <c r="B392">
        <f>IF($A392="","", "PV"&amp;TEXT(ROW()-1,"0000"))</f>
        <v/>
      </c>
      <c r="F392" s="8" t="n"/>
    </row>
    <row r="393">
      <c r="A393" s="6" t="n"/>
      <c r="B393">
        <f>IF($A393="","", "PV"&amp;TEXT(ROW()-1,"0000"))</f>
        <v/>
      </c>
      <c r="F393" s="8" t="n"/>
    </row>
    <row r="394">
      <c r="A394" s="6" t="n"/>
      <c r="B394">
        <f>IF($A394="","", "PV"&amp;TEXT(ROW()-1,"0000"))</f>
        <v/>
      </c>
      <c r="F394" s="8" t="n"/>
    </row>
    <row r="395">
      <c r="A395" s="6" t="n"/>
      <c r="B395">
        <f>IF($A395="","", "PV"&amp;TEXT(ROW()-1,"0000"))</f>
        <v/>
      </c>
      <c r="F395" s="8" t="n"/>
    </row>
    <row r="396">
      <c r="A396" s="6" t="n"/>
      <c r="B396">
        <f>IF($A396="","", "PV"&amp;TEXT(ROW()-1,"0000"))</f>
        <v/>
      </c>
      <c r="F396" s="8" t="n"/>
    </row>
    <row r="397">
      <c r="A397" s="6" t="n"/>
      <c r="B397">
        <f>IF($A397="","", "PV"&amp;TEXT(ROW()-1,"0000"))</f>
        <v/>
      </c>
      <c r="F397" s="8" t="n"/>
    </row>
    <row r="398">
      <c r="A398" s="6" t="n"/>
      <c r="B398">
        <f>IF($A398="","", "PV"&amp;TEXT(ROW()-1,"0000"))</f>
        <v/>
      </c>
      <c r="F398" s="8" t="n"/>
    </row>
    <row r="399">
      <c r="A399" s="6" t="n"/>
      <c r="B399">
        <f>IF($A399="","", "PV"&amp;TEXT(ROW()-1,"0000"))</f>
        <v/>
      </c>
      <c r="F399" s="8" t="n"/>
    </row>
    <row r="400">
      <c r="A400" s="6" t="n"/>
      <c r="B400">
        <f>IF($A400="","", "PV"&amp;TEXT(ROW()-1,"0000"))</f>
        <v/>
      </c>
      <c r="F400" s="8" t="n"/>
    </row>
    <row r="401">
      <c r="A401" s="6" t="n"/>
      <c r="B401">
        <f>IF($A401="","", "PV"&amp;TEXT(ROW()-1,"0000"))</f>
        <v/>
      </c>
      <c r="F401" s="8" t="n"/>
    </row>
  </sheetData>
  <dataValidations count="4">
    <dataValidation sqref="D2:D401" showDropDown="0" showInputMessage="0" showErrorMessage="0" allowBlank="1" type="list">
      <formula1>=ExpenseCategories</formula1>
    </dataValidation>
    <dataValidation sqref="G2:G401" showDropDown="0" showInputMessage="0" showErrorMessage="0" allowBlank="1" type="list">
      <formula1>=StaffNames</formula1>
    </dataValidation>
    <dataValidation sqref="H2:H401" showDropDown="0" showInputMessage="0" showErrorMessage="0" allowBlank="1" type="list">
      <formula1>=StaffNames</formula1>
    </dataValidation>
    <dataValidation sqref="I2:I401" showDropDown="0" showInputMessage="0" showErrorMessage="0" allowBlank="1" type="list">
      <formula1>"Cash,Bank,Other"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8" customWidth="1" min="4" max="4"/>
    <col width="16" customWidth="1" min="5" max="5"/>
    <col width="18" customWidth="1" min="6" max="6"/>
    <col width="18" customWidth="1" min="7" max="7"/>
    <col width="24" customWidth="1" min="8" max="8"/>
  </cols>
  <sheetData>
    <row r="1" ht="28" customHeight="1">
      <c r="A1" s="3" t="inlineStr">
        <is>
          <t>Date</t>
        </is>
      </c>
      <c r="B1" s="3" t="inlineStr">
        <is>
          <t>Deposit Slip No</t>
        </is>
      </c>
      <c r="C1" s="3" t="inlineStr">
        <is>
          <t>Amount</t>
        </is>
      </c>
      <c r="D1" s="3" t="inlineStr">
        <is>
          <t>Source (Collections)</t>
        </is>
      </c>
      <c r="E1" s="3" t="inlineStr">
        <is>
          <t>Bank</t>
        </is>
      </c>
      <c r="F1" s="3" t="inlineStr">
        <is>
          <t>Entered By</t>
        </is>
      </c>
      <c r="G1" s="3" t="inlineStr">
        <is>
          <t>Checked By</t>
        </is>
      </c>
      <c r="H1" s="3" t="inlineStr">
        <is>
          <t>Notes</t>
        </is>
      </c>
    </row>
    <row r="2">
      <c r="A2" s="5" t="n"/>
      <c r="B2" s="4" t="n"/>
      <c r="C2" s="7" t="n"/>
      <c r="D2" s="4" t="n"/>
      <c r="E2" s="4" t="n"/>
      <c r="F2" s="4" t="n"/>
      <c r="G2" s="4" t="n"/>
      <c r="H2" s="4" t="n"/>
    </row>
    <row r="3">
      <c r="A3" s="5" t="n"/>
      <c r="B3" s="4" t="n"/>
      <c r="C3" s="7" t="n"/>
      <c r="D3" s="4" t="n"/>
      <c r="E3" s="4" t="n"/>
      <c r="F3" s="4" t="n"/>
      <c r="G3" s="4" t="n"/>
      <c r="H3" s="4" t="n"/>
    </row>
    <row r="4">
      <c r="A4" s="5" t="n"/>
      <c r="B4" s="4" t="n"/>
      <c r="C4" s="7" t="n"/>
      <c r="D4" s="4" t="n"/>
      <c r="E4" s="4" t="n"/>
      <c r="F4" s="4" t="n"/>
      <c r="G4" s="4" t="n"/>
      <c r="H4" s="4" t="n"/>
    </row>
    <row r="5">
      <c r="A5" s="5" t="n"/>
      <c r="B5" s="4" t="n"/>
      <c r="C5" s="7" t="n"/>
      <c r="D5" s="4" t="n"/>
      <c r="E5" s="4" t="n"/>
      <c r="F5" s="4" t="n"/>
      <c r="G5" s="4" t="n"/>
      <c r="H5" s="4" t="n"/>
    </row>
    <row r="6">
      <c r="A6" s="5" t="n"/>
      <c r="B6" s="4" t="n"/>
      <c r="C6" s="7" t="n"/>
      <c r="D6" s="4" t="n"/>
      <c r="E6" s="4" t="n"/>
      <c r="F6" s="4" t="n"/>
      <c r="G6" s="4" t="n"/>
      <c r="H6" s="4" t="n"/>
    </row>
    <row r="7">
      <c r="A7" s="5" t="n"/>
      <c r="B7" s="4" t="n"/>
      <c r="C7" s="7" t="n"/>
      <c r="D7" s="4" t="n"/>
      <c r="E7" s="4" t="n"/>
      <c r="F7" s="4" t="n"/>
      <c r="G7" s="4" t="n"/>
      <c r="H7" s="4" t="n"/>
    </row>
    <row r="8">
      <c r="A8" s="5" t="n"/>
      <c r="B8" s="4" t="n"/>
      <c r="C8" s="7" t="n"/>
      <c r="D8" s="4" t="n"/>
      <c r="E8" s="4" t="n"/>
      <c r="F8" s="4" t="n"/>
      <c r="G8" s="4" t="n"/>
      <c r="H8" s="4" t="n"/>
    </row>
    <row r="9">
      <c r="A9" s="5" t="n"/>
      <c r="B9" s="4" t="n"/>
      <c r="C9" s="7" t="n"/>
      <c r="D9" s="4" t="n"/>
      <c r="E9" s="4" t="n"/>
      <c r="F9" s="4" t="n"/>
      <c r="G9" s="4" t="n"/>
      <c r="H9" s="4" t="n"/>
    </row>
    <row r="10">
      <c r="A10" s="5" t="n"/>
      <c r="B10" s="4" t="n"/>
      <c r="C10" s="7" t="n"/>
      <c r="D10" s="4" t="n"/>
      <c r="E10" s="4" t="n"/>
      <c r="F10" s="4" t="n"/>
      <c r="G10" s="4" t="n"/>
      <c r="H10" s="4" t="n"/>
    </row>
    <row r="11">
      <c r="A11" s="5" t="n"/>
      <c r="B11" s="4" t="n"/>
      <c r="C11" s="7" t="n"/>
      <c r="D11" s="4" t="n"/>
      <c r="E11" s="4" t="n"/>
      <c r="F11" s="4" t="n"/>
      <c r="G11" s="4" t="n"/>
      <c r="H11" s="4" t="n"/>
    </row>
    <row r="12">
      <c r="A12" s="5" t="n"/>
      <c r="B12" s="4" t="n"/>
      <c r="C12" s="7" t="n"/>
      <c r="D12" s="4" t="n"/>
      <c r="E12" s="4" t="n"/>
      <c r="F12" s="4" t="n"/>
      <c r="G12" s="4" t="n"/>
      <c r="H12" s="4" t="n"/>
    </row>
    <row r="13">
      <c r="A13" s="5" t="n"/>
      <c r="B13" s="4" t="n"/>
      <c r="C13" s="7" t="n"/>
      <c r="D13" s="4" t="n"/>
      <c r="E13" s="4" t="n"/>
      <c r="F13" s="4" t="n"/>
      <c r="G13" s="4" t="n"/>
      <c r="H13" s="4" t="n"/>
    </row>
    <row r="14">
      <c r="A14" s="5" t="n"/>
      <c r="B14" s="4" t="n"/>
      <c r="C14" s="7" t="n"/>
      <c r="D14" s="4" t="n"/>
      <c r="E14" s="4" t="n"/>
      <c r="F14" s="4" t="n"/>
      <c r="G14" s="4" t="n"/>
      <c r="H14" s="4" t="n"/>
    </row>
    <row r="15">
      <c r="A15" s="5" t="n"/>
      <c r="B15" s="4" t="n"/>
      <c r="C15" s="7" t="n"/>
      <c r="D15" s="4" t="n"/>
      <c r="E15" s="4" t="n"/>
      <c r="F15" s="4" t="n"/>
      <c r="G15" s="4" t="n"/>
      <c r="H15" s="4" t="n"/>
    </row>
    <row r="16">
      <c r="A16" s="5" t="n"/>
      <c r="B16" s="4" t="n"/>
      <c r="C16" s="7" t="n"/>
      <c r="D16" s="4" t="n"/>
      <c r="E16" s="4" t="n"/>
      <c r="F16" s="4" t="n"/>
      <c r="G16" s="4" t="n"/>
      <c r="H16" s="4" t="n"/>
    </row>
    <row r="17">
      <c r="A17" s="5" t="n"/>
      <c r="B17" s="4" t="n"/>
      <c r="C17" s="7" t="n"/>
      <c r="D17" s="4" t="n"/>
      <c r="E17" s="4" t="n"/>
      <c r="F17" s="4" t="n"/>
      <c r="G17" s="4" t="n"/>
      <c r="H17" s="4" t="n"/>
    </row>
    <row r="18">
      <c r="A18" s="5" t="n"/>
      <c r="B18" s="4" t="n"/>
      <c r="C18" s="7" t="n"/>
      <c r="D18" s="4" t="n"/>
      <c r="E18" s="4" t="n"/>
      <c r="F18" s="4" t="n"/>
      <c r="G18" s="4" t="n"/>
      <c r="H18" s="4" t="n"/>
    </row>
    <row r="19">
      <c r="A19" s="5" t="n"/>
      <c r="B19" s="4" t="n"/>
      <c r="C19" s="7" t="n"/>
      <c r="D19" s="4" t="n"/>
      <c r="E19" s="4" t="n"/>
      <c r="F19" s="4" t="n"/>
      <c r="G19" s="4" t="n"/>
      <c r="H19" s="4" t="n"/>
    </row>
    <row r="20">
      <c r="A20" s="5" t="n"/>
      <c r="B20" s="4" t="n"/>
      <c r="C20" s="7" t="n"/>
      <c r="D20" s="4" t="n"/>
      <c r="E20" s="4" t="n"/>
      <c r="F20" s="4" t="n"/>
      <c r="G20" s="4" t="n"/>
      <c r="H20" s="4" t="n"/>
    </row>
    <row r="21">
      <c r="A21" s="5" t="n"/>
      <c r="B21" s="4" t="n"/>
      <c r="C21" s="7" t="n"/>
      <c r="D21" s="4" t="n"/>
      <c r="E21" s="4" t="n"/>
      <c r="F21" s="4" t="n"/>
      <c r="G21" s="4" t="n"/>
      <c r="H21" s="4" t="n"/>
    </row>
    <row r="22">
      <c r="A22" s="5" t="n"/>
      <c r="B22" s="4" t="n"/>
      <c r="C22" s="7" t="n"/>
      <c r="D22" s="4" t="n"/>
      <c r="E22" s="4" t="n"/>
      <c r="F22" s="4" t="n"/>
      <c r="G22" s="4" t="n"/>
      <c r="H22" s="4" t="n"/>
    </row>
    <row r="23">
      <c r="A23" s="5" t="n"/>
      <c r="B23" s="4" t="n"/>
      <c r="C23" s="7" t="n"/>
      <c r="D23" s="4" t="n"/>
      <c r="E23" s="4" t="n"/>
      <c r="F23" s="4" t="n"/>
      <c r="G23" s="4" t="n"/>
      <c r="H23" s="4" t="n"/>
    </row>
    <row r="24">
      <c r="A24" s="5" t="n"/>
      <c r="B24" s="4" t="n"/>
      <c r="C24" s="7" t="n"/>
      <c r="D24" s="4" t="n"/>
      <c r="E24" s="4" t="n"/>
      <c r="F24" s="4" t="n"/>
      <c r="G24" s="4" t="n"/>
      <c r="H24" s="4" t="n"/>
    </row>
    <row r="25">
      <c r="A25" s="5" t="n"/>
      <c r="B25" s="4" t="n"/>
      <c r="C25" s="7" t="n"/>
      <c r="D25" s="4" t="n"/>
      <c r="E25" s="4" t="n"/>
      <c r="F25" s="4" t="n"/>
      <c r="G25" s="4" t="n"/>
      <c r="H25" s="4" t="n"/>
    </row>
    <row r="26">
      <c r="A26" s="5" t="n"/>
      <c r="B26" s="4" t="n"/>
      <c r="C26" s="7" t="n"/>
      <c r="D26" s="4" t="n"/>
      <c r="E26" s="4" t="n"/>
      <c r="F26" s="4" t="n"/>
      <c r="G26" s="4" t="n"/>
      <c r="H26" s="4" t="n"/>
    </row>
    <row r="27">
      <c r="A27" s="5" t="n"/>
      <c r="B27" s="4" t="n"/>
      <c r="C27" s="7" t="n"/>
      <c r="D27" s="4" t="n"/>
      <c r="E27" s="4" t="n"/>
      <c r="F27" s="4" t="n"/>
      <c r="G27" s="4" t="n"/>
      <c r="H27" s="4" t="n"/>
    </row>
    <row r="28">
      <c r="A28" s="5" t="n"/>
      <c r="B28" s="4" t="n"/>
      <c r="C28" s="7" t="n"/>
      <c r="D28" s="4" t="n"/>
      <c r="E28" s="4" t="n"/>
      <c r="F28" s="4" t="n"/>
      <c r="G28" s="4" t="n"/>
      <c r="H28" s="4" t="n"/>
    </row>
    <row r="29">
      <c r="A29" s="5" t="n"/>
      <c r="B29" s="4" t="n"/>
      <c r="C29" s="7" t="n"/>
      <c r="D29" s="4" t="n"/>
      <c r="E29" s="4" t="n"/>
      <c r="F29" s="4" t="n"/>
      <c r="G29" s="4" t="n"/>
      <c r="H29" s="4" t="n"/>
    </row>
    <row r="30">
      <c r="A30" s="5" t="n"/>
      <c r="B30" s="4" t="n"/>
      <c r="C30" s="7" t="n"/>
      <c r="D30" s="4" t="n"/>
      <c r="E30" s="4" t="n"/>
      <c r="F30" s="4" t="n"/>
      <c r="G30" s="4" t="n"/>
      <c r="H30" s="4" t="n"/>
    </row>
    <row r="31">
      <c r="A31" s="5" t="n"/>
      <c r="B31" s="4" t="n"/>
      <c r="C31" s="7" t="n"/>
      <c r="D31" s="4" t="n"/>
      <c r="E31" s="4" t="n"/>
      <c r="F31" s="4" t="n"/>
      <c r="G31" s="4" t="n"/>
      <c r="H31" s="4" t="n"/>
    </row>
    <row r="32">
      <c r="A32" s="5" t="n"/>
      <c r="B32" s="4" t="n"/>
      <c r="C32" s="7" t="n"/>
      <c r="D32" s="4" t="n"/>
      <c r="E32" s="4" t="n"/>
      <c r="F32" s="4" t="n"/>
      <c r="G32" s="4" t="n"/>
      <c r="H32" s="4" t="n"/>
    </row>
    <row r="33">
      <c r="A33" s="5" t="n"/>
      <c r="B33" s="4" t="n"/>
      <c r="C33" s="7" t="n"/>
      <c r="D33" s="4" t="n"/>
      <c r="E33" s="4" t="n"/>
      <c r="F33" s="4" t="n"/>
      <c r="G33" s="4" t="n"/>
      <c r="H33" s="4" t="n"/>
    </row>
    <row r="34">
      <c r="A34" s="5" t="n"/>
      <c r="B34" s="4" t="n"/>
      <c r="C34" s="7" t="n"/>
      <c r="D34" s="4" t="n"/>
      <c r="E34" s="4" t="n"/>
      <c r="F34" s="4" t="n"/>
      <c r="G34" s="4" t="n"/>
      <c r="H34" s="4" t="n"/>
    </row>
    <row r="35">
      <c r="A35" s="5" t="n"/>
      <c r="B35" s="4" t="n"/>
      <c r="C35" s="7" t="n"/>
      <c r="D35" s="4" t="n"/>
      <c r="E35" s="4" t="n"/>
      <c r="F35" s="4" t="n"/>
      <c r="G35" s="4" t="n"/>
      <c r="H35" s="4" t="n"/>
    </row>
    <row r="36">
      <c r="A36" s="5" t="n"/>
      <c r="B36" s="4" t="n"/>
      <c r="C36" s="7" t="n"/>
      <c r="D36" s="4" t="n"/>
      <c r="E36" s="4" t="n"/>
      <c r="F36" s="4" t="n"/>
      <c r="G36" s="4" t="n"/>
      <c r="H36" s="4" t="n"/>
    </row>
    <row r="37">
      <c r="A37" s="5" t="n"/>
      <c r="B37" s="4" t="n"/>
      <c r="C37" s="7" t="n"/>
      <c r="D37" s="4" t="n"/>
      <c r="E37" s="4" t="n"/>
      <c r="F37" s="4" t="n"/>
      <c r="G37" s="4" t="n"/>
      <c r="H37" s="4" t="n"/>
    </row>
    <row r="38">
      <c r="A38" s="5" t="n"/>
      <c r="B38" s="4" t="n"/>
      <c r="C38" s="7" t="n"/>
      <c r="D38" s="4" t="n"/>
      <c r="E38" s="4" t="n"/>
      <c r="F38" s="4" t="n"/>
      <c r="G38" s="4" t="n"/>
      <c r="H38" s="4" t="n"/>
    </row>
    <row r="39">
      <c r="A39" s="5" t="n"/>
      <c r="B39" s="4" t="n"/>
      <c r="C39" s="7" t="n"/>
      <c r="D39" s="4" t="n"/>
      <c r="E39" s="4" t="n"/>
      <c r="F39" s="4" t="n"/>
      <c r="G39" s="4" t="n"/>
      <c r="H39" s="4" t="n"/>
    </row>
    <row r="40">
      <c r="A40" s="5" t="n"/>
      <c r="B40" s="4" t="n"/>
      <c r="C40" s="7" t="n"/>
      <c r="D40" s="4" t="n"/>
      <c r="E40" s="4" t="n"/>
      <c r="F40" s="4" t="n"/>
      <c r="G40" s="4" t="n"/>
      <c r="H40" s="4" t="n"/>
    </row>
    <row r="41">
      <c r="A41" s="5" t="n"/>
      <c r="B41" s="4" t="n"/>
      <c r="C41" s="7" t="n"/>
      <c r="D41" s="4" t="n"/>
      <c r="E41" s="4" t="n"/>
      <c r="F41" s="4" t="n"/>
      <c r="G41" s="4" t="n"/>
      <c r="H41" s="4" t="n"/>
    </row>
    <row r="42">
      <c r="A42" s="5" t="n"/>
      <c r="B42" s="4" t="n"/>
      <c r="C42" s="7" t="n"/>
      <c r="D42" s="4" t="n"/>
      <c r="E42" s="4" t="n"/>
      <c r="F42" s="4" t="n"/>
      <c r="G42" s="4" t="n"/>
      <c r="H42" s="4" t="n"/>
    </row>
    <row r="43">
      <c r="A43" s="5" t="n"/>
      <c r="B43" s="4" t="n"/>
      <c r="C43" s="7" t="n"/>
      <c r="D43" s="4" t="n"/>
      <c r="E43" s="4" t="n"/>
      <c r="F43" s="4" t="n"/>
      <c r="G43" s="4" t="n"/>
      <c r="H43" s="4" t="n"/>
    </row>
    <row r="44">
      <c r="A44" s="5" t="n"/>
      <c r="B44" s="4" t="n"/>
      <c r="C44" s="7" t="n"/>
      <c r="D44" s="4" t="n"/>
      <c r="E44" s="4" t="n"/>
      <c r="F44" s="4" t="n"/>
      <c r="G44" s="4" t="n"/>
      <c r="H44" s="4" t="n"/>
    </row>
    <row r="45">
      <c r="A45" s="5" t="n"/>
      <c r="B45" s="4" t="n"/>
      <c r="C45" s="7" t="n"/>
      <c r="D45" s="4" t="n"/>
      <c r="E45" s="4" t="n"/>
      <c r="F45" s="4" t="n"/>
      <c r="G45" s="4" t="n"/>
      <c r="H45" s="4" t="n"/>
    </row>
    <row r="46">
      <c r="A46" s="5" t="n"/>
      <c r="B46" s="4" t="n"/>
      <c r="C46" s="7" t="n"/>
      <c r="D46" s="4" t="n"/>
      <c r="E46" s="4" t="n"/>
      <c r="F46" s="4" t="n"/>
      <c r="G46" s="4" t="n"/>
      <c r="H46" s="4" t="n"/>
    </row>
    <row r="47">
      <c r="A47" s="5" t="n"/>
      <c r="B47" s="4" t="n"/>
      <c r="C47" s="7" t="n"/>
      <c r="D47" s="4" t="n"/>
      <c r="E47" s="4" t="n"/>
      <c r="F47" s="4" t="n"/>
      <c r="G47" s="4" t="n"/>
      <c r="H47" s="4" t="n"/>
    </row>
    <row r="48">
      <c r="A48" s="5" t="n"/>
      <c r="B48" s="4" t="n"/>
      <c r="C48" s="7" t="n"/>
      <c r="D48" s="4" t="n"/>
      <c r="E48" s="4" t="n"/>
      <c r="F48" s="4" t="n"/>
      <c r="G48" s="4" t="n"/>
      <c r="H48" s="4" t="n"/>
    </row>
    <row r="49">
      <c r="A49" s="5" t="n"/>
      <c r="B49" s="4" t="n"/>
      <c r="C49" s="7" t="n"/>
      <c r="D49" s="4" t="n"/>
      <c r="E49" s="4" t="n"/>
      <c r="F49" s="4" t="n"/>
      <c r="G49" s="4" t="n"/>
      <c r="H49" s="4" t="n"/>
    </row>
    <row r="50">
      <c r="A50" s="5" t="n"/>
      <c r="B50" s="4" t="n"/>
      <c r="C50" s="7" t="n"/>
      <c r="D50" s="4" t="n"/>
      <c r="E50" s="4" t="n"/>
      <c r="F50" s="4" t="n"/>
      <c r="G50" s="4" t="n"/>
      <c r="H50" s="4" t="n"/>
    </row>
    <row r="51">
      <c r="A51" s="5" t="n"/>
      <c r="B51" s="4" t="n"/>
      <c r="C51" s="7" t="n"/>
      <c r="D51" s="4" t="n"/>
      <c r="E51" s="4" t="n"/>
      <c r="F51" s="4" t="n"/>
      <c r="G51" s="4" t="n"/>
      <c r="H51" s="4" t="n"/>
    </row>
    <row r="52">
      <c r="A52" s="5" t="n"/>
      <c r="B52" s="4" t="n"/>
      <c r="C52" s="7" t="n"/>
      <c r="D52" s="4" t="n"/>
      <c r="E52" s="4" t="n"/>
      <c r="F52" s="4" t="n"/>
      <c r="G52" s="4" t="n"/>
      <c r="H52" s="4" t="n"/>
    </row>
    <row r="53">
      <c r="A53" s="5" t="n"/>
      <c r="B53" s="4" t="n"/>
      <c r="C53" s="7" t="n"/>
      <c r="D53" s="4" t="n"/>
      <c r="E53" s="4" t="n"/>
      <c r="F53" s="4" t="n"/>
      <c r="G53" s="4" t="n"/>
      <c r="H53" s="4" t="n"/>
    </row>
    <row r="54">
      <c r="A54" s="5" t="n"/>
      <c r="B54" s="4" t="n"/>
      <c r="C54" s="7" t="n"/>
      <c r="D54" s="4" t="n"/>
      <c r="E54" s="4" t="n"/>
      <c r="F54" s="4" t="n"/>
      <c r="G54" s="4" t="n"/>
      <c r="H54" s="4" t="n"/>
    </row>
    <row r="55">
      <c r="A55" s="5" t="n"/>
      <c r="B55" s="4" t="n"/>
      <c r="C55" s="7" t="n"/>
      <c r="D55" s="4" t="n"/>
      <c r="E55" s="4" t="n"/>
      <c r="F55" s="4" t="n"/>
      <c r="G55" s="4" t="n"/>
      <c r="H55" s="4" t="n"/>
    </row>
    <row r="56">
      <c r="A56" s="5" t="n"/>
      <c r="B56" s="4" t="n"/>
      <c r="C56" s="7" t="n"/>
      <c r="D56" s="4" t="n"/>
      <c r="E56" s="4" t="n"/>
      <c r="F56" s="4" t="n"/>
      <c r="G56" s="4" t="n"/>
      <c r="H56" s="4" t="n"/>
    </row>
    <row r="57">
      <c r="A57" s="5" t="n"/>
      <c r="B57" s="4" t="n"/>
      <c r="C57" s="7" t="n"/>
      <c r="D57" s="4" t="n"/>
      <c r="E57" s="4" t="n"/>
      <c r="F57" s="4" t="n"/>
      <c r="G57" s="4" t="n"/>
      <c r="H57" s="4" t="n"/>
    </row>
    <row r="58">
      <c r="A58" s="5" t="n"/>
      <c r="B58" s="4" t="n"/>
      <c r="C58" s="7" t="n"/>
      <c r="D58" s="4" t="n"/>
      <c r="E58" s="4" t="n"/>
      <c r="F58" s="4" t="n"/>
      <c r="G58" s="4" t="n"/>
      <c r="H58" s="4" t="n"/>
    </row>
    <row r="59">
      <c r="A59" s="5" t="n"/>
      <c r="B59" s="4" t="n"/>
      <c r="C59" s="7" t="n"/>
      <c r="D59" s="4" t="n"/>
      <c r="E59" s="4" t="n"/>
      <c r="F59" s="4" t="n"/>
      <c r="G59" s="4" t="n"/>
      <c r="H59" s="4" t="n"/>
    </row>
    <row r="60">
      <c r="A60" s="5" t="n"/>
      <c r="B60" s="4" t="n"/>
      <c r="C60" s="7" t="n"/>
      <c r="D60" s="4" t="n"/>
      <c r="E60" s="4" t="n"/>
      <c r="F60" s="4" t="n"/>
      <c r="G60" s="4" t="n"/>
      <c r="H60" s="4" t="n"/>
    </row>
    <row r="61">
      <c r="A61" s="5" t="n"/>
      <c r="B61" s="4" t="n"/>
      <c r="C61" s="7" t="n"/>
      <c r="D61" s="4" t="n"/>
      <c r="E61" s="4" t="n"/>
      <c r="F61" s="4" t="n"/>
      <c r="G61" s="4" t="n"/>
      <c r="H61" s="4" t="n"/>
    </row>
    <row r="62">
      <c r="A62" s="5" t="n"/>
      <c r="B62" s="4" t="n"/>
      <c r="C62" s="7" t="n"/>
      <c r="D62" s="4" t="n"/>
      <c r="E62" s="4" t="n"/>
      <c r="F62" s="4" t="n"/>
      <c r="G62" s="4" t="n"/>
      <c r="H62" s="4" t="n"/>
    </row>
    <row r="63">
      <c r="A63" s="5" t="n"/>
      <c r="B63" s="4" t="n"/>
      <c r="C63" s="7" t="n"/>
      <c r="D63" s="4" t="n"/>
      <c r="E63" s="4" t="n"/>
      <c r="F63" s="4" t="n"/>
      <c r="G63" s="4" t="n"/>
      <c r="H63" s="4" t="n"/>
    </row>
    <row r="64">
      <c r="A64" s="5" t="n"/>
      <c r="B64" s="4" t="n"/>
      <c r="C64" s="7" t="n"/>
      <c r="D64" s="4" t="n"/>
      <c r="E64" s="4" t="n"/>
      <c r="F64" s="4" t="n"/>
      <c r="G64" s="4" t="n"/>
      <c r="H64" s="4" t="n"/>
    </row>
    <row r="65">
      <c r="A65" s="5" t="n"/>
      <c r="B65" s="4" t="n"/>
      <c r="C65" s="7" t="n"/>
      <c r="D65" s="4" t="n"/>
      <c r="E65" s="4" t="n"/>
      <c r="F65" s="4" t="n"/>
      <c r="G65" s="4" t="n"/>
      <c r="H65" s="4" t="n"/>
    </row>
    <row r="66">
      <c r="A66" s="5" t="n"/>
      <c r="B66" s="4" t="n"/>
      <c r="C66" s="7" t="n"/>
      <c r="D66" s="4" t="n"/>
      <c r="E66" s="4" t="n"/>
      <c r="F66" s="4" t="n"/>
      <c r="G66" s="4" t="n"/>
      <c r="H66" s="4" t="n"/>
    </row>
    <row r="67">
      <c r="A67" s="5" t="n"/>
      <c r="B67" s="4" t="n"/>
      <c r="C67" s="7" t="n"/>
      <c r="D67" s="4" t="n"/>
      <c r="E67" s="4" t="n"/>
      <c r="F67" s="4" t="n"/>
      <c r="G67" s="4" t="n"/>
      <c r="H67" s="4" t="n"/>
    </row>
    <row r="68">
      <c r="A68" s="5" t="n"/>
      <c r="B68" s="4" t="n"/>
      <c r="C68" s="7" t="n"/>
      <c r="D68" s="4" t="n"/>
      <c r="E68" s="4" t="n"/>
      <c r="F68" s="4" t="n"/>
      <c r="G68" s="4" t="n"/>
      <c r="H68" s="4" t="n"/>
    </row>
    <row r="69">
      <c r="A69" s="5" t="n"/>
      <c r="B69" s="4" t="n"/>
      <c r="C69" s="7" t="n"/>
      <c r="D69" s="4" t="n"/>
      <c r="E69" s="4" t="n"/>
      <c r="F69" s="4" t="n"/>
      <c r="G69" s="4" t="n"/>
      <c r="H69" s="4" t="n"/>
    </row>
    <row r="70">
      <c r="A70" s="5" t="n"/>
      <c r="B70" s="4" t="n"/>
      <c r="C70" s="7" t="n"/>
      <c r="D70" s="4" t="n"/>
      <c r="E70" s="4" t="n"/>
      <c r="F70" s="4" t="n"/>
      <c r="G70" s="4" t="n"/>
      <c r="H70" s="4" t="n"/>
    </row>
    <row r="71">
      <c r="A71" s="5" t="n"/>
      <c r="B71" s="4" t="n"/>
      <c r="C71" s="7" t="n"/>
      <c r="D71" s="4" t="n"/>
      <c r="E71" s="4" t="n"/>
      <c r="F71" s="4" t="n"/>
      <c r="G71" s="4" t="n"/>
      <c r="H71" s="4" t="n"/>
    </row>
    <row r="72">
      <c r="A72" s="5" t="n"/>
      <c r="B72" s="4" t="n"/>
      <c r="C72" s="7" t="n"/>
      <c r="D72" s="4" t="n"/>
      <c r="E72" s="4" t="n"/>
      <c r="F72" s="4" t="n"/>
      <c r="G72" s="4" t="n"/>
      <c r="H72" s="4" t="n"/>
    </row>
    <row r="73">
      <c r="A73" s="5" t="n"/>
      <c r="B73" s="4" t="n"/>
      <c r="C73" s="7" t="n"/>
      <c r="D73" s="4" t="n"/>
      <c r="E73" s="4" t="n"/>
      <c r="F73" s="4" t="n"/>
      <c r="G73" s="4" t="n"/>
      <c r="H73" s="4" t="n"/>
    </row>
    <row r="74">
      <c r="A74" s="5" t="n"/>
      <c r="B74" s="4" t="n"/>
      <c r="C74" s="7" t="n"/>
      <c r="D74" s="4" t="n"/>
      <c r="E74" s="4" t="n"/>
      <c r="F74" s="4" t="n"/>
      <c r="G74" s="4" t="n"/>
      <c r="H74" s="4" t="n"/>
    </row>
    <row r="75">
      <c r="A75" s="5" t="n"/>
      <c r="B75" s="4" t="n"/>
      <c r="C75" s="7" t="n"/>
      <c r="D75" s="4" t="n"/>
      <c r="E75" s="4" t="n"/>
      <c r="F75" s="4" t="n"/>
      <c r="G75" s="4" t="n"/>
      <c r="H75" s="4" t="n"/>
    </row>
    <row r="76">
      <c r="A76" s="5" t="n"/>
      <c r="B76" s="4" t="n"/>
      <c r="C76" s="7" t="n"/>
      <c r="D76" s="4" t="n"/>
      <c r="E76" s="4" t="n"/>
      <c r="F76" s="4" t="n"/>
      <c r="G76" s="4" t="n"/>
      <c r="H76" s="4" t="n"/>
    </row>
    <row r="77">
      <c r="A77" s="5" t="n"/>
      <c r="B77" s="4" t="n"/>
      <c r="C77" s="7" t="n"/>
      <c r="D77" s="4" t="n"/>
      <c r="E77" s="4" t="n"/>
      <c r="F77" s="4" t="n"/>
      <c r="G77" s="4" t="n"/>
      <c r="H77" s="4" t="n"/>
    </row>
    <row r="78">
      <c r="A78" s="5" t="n"/>
      <c r="B78" s="4" t="n"/>
      <c r="C78" s="7" t="n"/>
      <c r="D78" s="4" t="n"/>
      <c r="E78" s="4" t="n"/>
      <c r="F78" s="4" t="n"/>
      <c r="G78" s="4" t="n"/>
      <c r="H78" s="4" t="n"/>
    </row>
    <row r="79">
      <c r="A79" s="5" t="n"/>
      <c r="B79" s="4" t="n"/>
      <c r="C79" s="7" t="n"/>
      <c r="D79" s="4" t="n"/>
      <c r="E79" s="4" t="n"/>
      <c r="F79" s="4" t="n"/>
      <c r="G79" s="4" t="n"/>
      <c r="H79" s="4" t="n"/>
    </row>
    <row r="80">
      <c r="A80" s="5" t="n"/>
      <c r="B80" s="4" t="n"/>
      <c r="C80" s="7" t="n"/>
      <c r="D80" s="4" t="n"/>
      <c r="E80" s="4" t="n"/>
      <c r="F80" s="4" t="n"/>
      <c r="G80" s="4" t="n"/>
      <c r="H80" s="4" t="n"/>
    </row>
    <row r="81">
      <c r="A81" s="5" t="n"/>
      <c r="B81" s="4" t="n"/>
      <c r="C81" s="7" t="n"/>
      <c r="D81" s="4" t="n"/>
      <c r="E81" s="4" t="n"/>
      <c r="F81" s="4" t="n"/>
      <c r="G81" s="4" t="n"/>
      <c r="H81" s="4" t="n"/>
    </row>
    <row r="82">
      <c r="A82" s="5" t="n"/>
      <c r="B82" s="4" t="n"/>
      <c r="C82" s="7" t="n"/>
      <c r="D82" s="4" t="n"/>
      <c r="E82" s="4" t="n"/>
      <c r="F82" s="4" t="n"/>
      <c r="G82" s="4" t="n"/>
      <c r="H82" s="4" t="n"/>
    </row>
    <row r="83">
      <c r="A83" s="5" t="n"/>
      <c r="B83" s="4" t="n"/>
      <c r="C83" s="7" t="n"/>
      <c r="D83" s="4" t="n"/>
      <c r="E83" s="4" t="n"/>
      <c r="F83" s="4" t="n"/>
      <c r="G83" s="4" t="n"/>
      <c r="H83" s="4" t="n"/>
    </row>
    <row r="84">
      <c r="A84" s="5" t="n"/>
      <c r="B84" s="4" t="n"/>
      <c r="C84" s="7" t="n"/>
      <c r="D84" s="4" t="n"/>
      <c r="E84" s="4" t="n"/>
      <c r="F84" s="4" t="n"/>
      <c r="G84" s="4" t="n"/>
      <c r="H84" s="4" t="n"/>
    </row>
    <row r="85">
      <c r="A85" s="5" t="n"/>
      <c r="B85" s="4" t="n"/>
      <c r="C85" s="7" t="n"/>
      <c r="D85" s="4" t="n"/>
      <c r="E85" s="4" t="n"/>
      <c r="F85" s="4" t="n"/>
      <c r="G85" s="4" t="n"/>
      <c r="H85" s="4" t="n"/>
    </row>
    <row r="86">
      <c r="A86" s="5" t="n"/>
      <c r="B86" s="4" t="n"/>
      <c r="C86" s="7" t="n"/>
      <c r="D86" s="4" t="n"/>
      <c r="E86" s="4" t="n"/>
      <c r="F86" s="4" t="n"/>
      <c r="G86" s="4" t="n"/>
      <c r="H86" s="4" t="n"/>
    </row>
    <row r="87">
      <c r="A87" s="5" t="n"/>
      <c r="B87" s="4" t="n"/>
      <c r="C87" s="7" t="n"/>
      <c r="D87" s="4" t="n"/>
      <c r="E87" s="4" t="n"/>
      <c r="F87" s="4" t="n"/>
      <c r="G87" s="4" t="n"/>
      <c r="H87" s="4" t="n"/>
    </row>
    <row r="88">
      <c r="A88" s="5" t="n"/>
      <c r="B88" s="4" t="n"/>
      <c r="C88" s="7" t="n"/>
      <c r="D88" s="4" t="n"/>
      <c r="E88" s="4" t="n"/>
      <c r="F88" s="4" t="n"/>
      <c r="G88" s="4" t="n"/>
      <c r="H88" s="4" t="n"/>
    </row>
    <row r="89">
      <c r="A89" s="5" t="n"/>
      <c r="B89" s="4" t="n"/>
      <c r="C89" s="7" t="n"/>
      <c r="D89" s="4" t="n"/>
      <c r="E89" s="4" t="n"/>
      <c r="F89" s="4" t="n"/>
      <c r="G89" s="4" t="n"/>
      <c r="H89" s="4" t="n"/>
    </row>
    <row r="90">
      <c r="A90" s="5" t="n"/>
      <c r="B90" s="4" t="n"/>
      <c r="C90" s="7" t="n"/>
      <c r="D90" s="4" t="n"/>
      <c r="E90" s="4" t="n"/>
      <c r="F90" s="4" t="n"/>
      <c r="G90" s="4" t="n"/>
      <c r="H90" s="4" t="n"/>
    </row>
    <row r="91">
      <c r="A91" s="5" t="n"/>
      <c r="B91" s="4" t="n"/>
      <c r="C91" s="7" t="n"/>
      <c r="D91" s="4" t="n"/>
      <c r="E91" s="4" t="n"/>
      <c r="F91" s="4" t="n"/>
      <c r="G91" s="4" t="n"/>
      <c r="H91" s="4" t="n"/>
    </row>
    <row r="92">
      <c r="A92" s="5" t="n"/>
      <c r="B92" s="4" t="n"/>
      <c r="C92" s="7" t="n"/>
      <c r="D92" s="4" t="n"/>
      <c r="E92" s="4" t="n"/>
      <c r="F92" s="4" t="n"/>
      <c r="G92" s="4" t="n"/>
      <c r="H92" s="4" t="n"/>
    </row>
    <row r="93">
      <c r="A93" s="5" t="n"/>
      <c r="B93" s="4" t="n"/>
      <c r="C93" s="7" t="n"/>
      <c r="D93" s="4" t="n"/>
      <c r="E93" s="4" t="n"/>
      <c r="F93" s="4" t="n"/>
      <c r="G93" s="4" t="n"/>
      <c r="H93" s="4" t="n"/>
    </row>
    <row r="94">
      <c r="A94" s="5" t="n"/>
      <c r="B94" s="4" t="n"/>
      <c r="C94" s="7" t="n"/>
      <c r="D94" s="4" t="n"/>
      <c r="E94" s="4" t="n"/>
      <c r="F94" s="4" t="n"/>
      <c r="G94" s="4" t="n"/>
      <c r="H94" s="4" t="n"/>
    </row>
    <row r="95">
      <c r="A95" s="5" t="n"/>
      <c r="B95" s="4" t="n"/>
      <c r="C95" s="7" t="n"/>
      <c r="D95" s="4" t="n"/>
      <c r="E95" s="4" t="n"/>
      <c r="F95" s="4" t="n"/>
      <c r="G95" s="4" t="n"/>
      <c r="H95" s="4" t="n"/>
    </row>
    <row r="96">
      <c r="A96" s="5" t="n"/>
      <c r="B96" s="4" t="n"/>
      <c r="C96" s="7" t="n"/>
      <c r="D96" s="4" t="n"/>
      <c r="E96" s="4" t="n"/>
      <c r="F96" s="4" t="n"/>
      <c r="G96" s="4" t="n"/>
      <c r="H96" s="4" t="n"/>
    </row>
    <row r="97">
      <c r="A97" s="5" t="n"/>
      <c r="B97" s="4" t="n"/>
      <c r="C97" s="7" t="n"/>
      <c r="D97" s="4" t="n"/>
      <c r="E97" s="4" t="n"/>
      <c r="F97" s="4" t="n"/>
      <c r="G97" s="4" t="n"/>
      <c r="H97" s="4" t="n"/>
    </row>
    <row r="98">
      <c r="A98" s="5" t="n"/>
      <c r="B98" s="4" t="n"/>
      <c r="C98" s="7" t="n"/>
      <c r="D98" s="4" t="n"/>
      <c r="E98" s="4" t="n"/>
      <c r="F98" s="4" t="n"/>
      <c r="G98" s="4" t="n"/>
      <c r="H98" s="4" t="n"/>
    </row>
    <row r="99">
      <c r="A99" s="5" t="n"/>
      <c r="B99" s="4" t="n"/>
      <c r="C99" s="7" t="n"/>
      <c r="D99" s="4" t="n"/>
      <c r="E99" s="4" t="n"/>
      <c r="F99" s="4" t="n"/>
      <c r="G99" s="4" t="n"/>
      <c r="H99" s="4" t="n"/>
    </row>
    <row r="100">
      <c r="A100" s="5" t="n"/>
      <c r="B100" s="4" t="n"/>
      <c r="C100" s="7" t="n"/>
      <c r="D100" s="4" t="n"/>
      <c r="E100" s="4" t="n"/>
      <c r="F100" s="4" t="n"/>
      <c r="G100" s="4" t="n"/>
      <c r="H100" s="4" t="n"/>
    </row>
    <row r="101">
      <c r="A101" s="6" t="n"/>
      <c r="C101" s="8" t="n"/>
    </row>
    <row r="102">
      <c r="A102" s="6" t="n"/>
      <c r="C102" s="8" t="n"/>
    </row>
    <row r="103">
      <c r="A103" s="6" t="n"/>
      <c r="C103" s="8" t="n"/>
    </row>
    <row r="104">
      <c r="A104" s="6" t="n"/>
      <c r="C104" s="8" t="n"/>
    </row>
    <row r="105">
      <c r="A105" s="6" t="n"/>
      <c r="C105" s="8" t="n"/>
    </row>
    <row r="106">
      <c r="A106" s="6" t="n"/>
      <c r="C106" s="8" t="n"/>
    </row>
    <row r="107">
      <c r="A107" s="6" t="n"/>
      <c r="C107" s="8" t="n"/>
    </row>
    <row r="108">
      <c r="A108" s="6" t="n"/>
      <c r="C108" s="8" t="n"/>
    </row>
    <row r="109">
      <c r="A109" s="6" t="n"/>
      <c r="C109" s="8" t="n"/>
    </row>
    <row r="110">
      <c r="A110" s="6" t="n"/>
      <c r="C110" s="8" t="n"/>
    </row>
    <row r="111">
      <c r="A111" s="6" t="n"/>
      <c r="C111" s="8" t="n"/>
    </row>
    <row r="112">
      <c r="A112" s="6" t="n"/>
      <c r="C112" s="8" t="n"/>
    </row>
    <row r="113">
      <c r="A113" s="6" t="n"/>
      <c r="C113" s="8" t="n"/>
    </row>
    <row r="114">
      <c r="A114" s="6" t="n"/>
      <c r="C114" s="8" t="n"/>
    </row>
    <row r="115">
      <c r="A115" s="6" t="n"/>
      <c r="C115" s="8" t="n"/>
    </row>
    <row r="116">
      <c r="A116" s="6" t="n"/>
      <c r="C116" s="8" t="n"/>
    </row>
    <row r="117">
      <c r="A117" s="6" t="n"/>
      <c r="C117" s="8" t="n"/>
    </row>
    <row r="118">
      <c r="A118" s="6" t="n"/>
      <c r="C118" s="8" t="n"/>
    </row>
    <row r="119">
      <c r="A119" s="6" t="n"/>
      <c r="C119" s="8" t="n"/>
    </row>
    <row r="120">
      <c r="A120" s="6" t="n"/>
      <c r="C120" s="8" t="n"/>
    </row>
    <row r="121">
      <c r="A121" s="6" t="n"/>
      <c r="C121" s="8" t="n"/>
    </row>
    <row r="122">
      <c r="A122" s="6" t="n"/>
      <c r="C122" s="8" t="n"/>
    </row>
    <row r="123">
      <c r="A123" s="6" t="n"/>
      <c r="C123" s="8" t="n"/>
    </row>
    <row r="124">
      <c r="A124" s="6" t="n"/>
      <c r="C124" s="8" t="n"/>
    </row>
    <row r="125">
      <c r="A125" s="6" t="n"/>
      <c r="C125" s="8" t="n"/>
    </row>
    <row r="126">
      <c r="A126" s="6" t="n"/>
      <c r="C126" s="8" t="n"/>
    </row>
    <row r="127">
      <c r="A127" s="6" t="n"/>
      <c r="C127" s="8" t="n"/>
    </row>
    <row r="128">
      <c r="A128" s="6" t="n"/>
      <c r="C128" s="8" t="n"/>
    </row>
    <row r="129">
      <c r="A129" s="6" t="n"/>
      <c r="C129" s="8" t="n"/>
    </row>
    <row r="130">
      <c r="A130" s="6" t="n"/>
      <c r="C130" s="8" t="n"/>
    </row>
    <row r="131">
      <c r="A131" s="6" t="n"/>
      <c r="C131" s="8" t="n"/>
    </row>
    <row r="132">
      <c r="A132" s="6" t="n"/>
      <c r="C132" s="8" t="n"/>
    </row>
    <row r="133">
      <c r="A133" s="6" t="n"/>
      <c r="C133" s="8" t="n"/>
    </row>
    <row r="134">
      <c r="A134" s="6" t="n"/>
      <c r="C134" s="8" t="n"/>
    </row>
    <row r="135">
      <c r="A135" s="6" t="n"/>
      <c r="C135" s="8" t="n"/>
    </row>
    <row r="136">
      <c r="A136" s="6" t="n"/>
      <c r="C136" s="8" t="n"/>
    </row>
    <row r="137">
      <c r="A137" s="6" t="n"/>
      <c r="C137" s="8" t="n"/>
    </row>
    <row r="138">
      <c r="A138" s="6" t="n"/>
      <c r="C138" s="8" t="n"/>
    </row>
    <row r="139">
      <c r="A139" s="6" t="n"/>
      <c r="C139" s="8" t="n"/>
    </row>
    <row r="140">
      <c r="A140" s="6" t="n"/>
      <c r="C140" s="8" t="n"/>
    </row>
    <row r="141">
      <c r="A141" s="6" t="n"/>
      <c r="C141" s="8" t="n"/>
    </row>
    <row r="142">
      <c r="A142" s="6" t="n"/>
      <c r="C142" s="8" t="n"/>
    </row>
    <row r="143">
      <c r="A143" s="6" t="n"/>
      <c r="C143" s="8" t="n"/>
    </row>
    <row r="144">
      <c r="A144" s="6" t="n"/>
      <c r="C144" s="8" t="n"/>
    </row>
    <row r="145">
      <c r="A145" s="6" t="n"/>
      <c r="C145" s="8" t="n"/>
    </row>
    <row r="146">
      <c r="A146" s="6" t="n"/>
      <c r="C146" s="8" t="n"/>
    </row>
    <row r="147">
      <c r="A147" s="6" t="n"/>
      <c r="C147" s="8" t="n"/>
    </row>
    <row r="148">
      <c r="A148" s="6" t="n"/>
      <c r="C148" s="8" t="n"/>
    </row>
    <row r="149">
      <c r="A149" s="6" t="n"/>
      <c r="C149" s="8" t="n"/>
    </row>
    <row r="150">
      <c r="A150" s="6" t="n"/>
      <c r="C150" s="8" t="n"/>
    </row>
    <row r="151">
      <c r="A151" s="6" t="n"/>
      <c r="C151" s="8" t="n"/>
    </row>
    <row r="152">
      <c r="A152" s="6" t="n"/>
      <c r="C152" s="8" t="n"/>
    </row>
    <row r="153">
      <c r="A153" s="6" t="n"/>
      <c r="C153" s="8" t="n"/>
    </row>
    <row r="154">
      <c r="A154" s="6" t="n"/>
      <c r="C154" s="8" t="n"/>
    </row>
    <row r="155">
      <c r="A155" s="6" t="n"/>
      <c r="C155" s="8" t="n"/>
    </row>
    <row r="156">
      <c r="A156" s="6" t="n"/>
      <c r="C156" s="8" t="n"/>
    </row>
    <row r="157">
      <c r="A157" s="6" t="n"/>
      <c r="C157" s="8" t="n"/>
    </row>
    <row r="158">
      <c r="A158" s="6" t="n"/>
      <c r="C158" s="8" t="n"/>
    </row>
    <row r="159">
      <c r="A159" s="6" t="n"/>
      <c r="C159" s="8" t="n"/>
    </row>
    <row r="160">
      <c r="A160" s="6" t="n"/>
      <c r="C160" s="8" t="n"/>
    </row>
    <row r="161">
      <c r="A161" s="6" t="n"/>
      <c r="C161" s="8" t="n"/>
    </row>
    <row r="162">
      <c r="A162" s="6" t="n"/>
      <c r="C162" s="8" t="n"/>
    </row>
    <row r="163">
      <c r="A163" s="6" t="n"/>
      <c r="C163" s="8" t="n"/>
    </row>
    <row r="164">
      <c r="A164" s="6" t="n"/>
      <c r="C164" s="8" t="n"/>
    </row>
    <row r="165">
      <c r="A165" s="6" t="n"/>
      <c r="C165" s="8" t="n"/>
    </row>
    <row r="166">
      <c r="A166" s="6" t="n"/>
      <c r="C166" s="8" t="n"/>
    </row>
    <row r="167">
      <c r="A167" s="6" t="n"/>
      <c r="C167" s="8" t="n"/>
    </row>
    <row r="168">
      <c r="A168" s="6" t="n"/>
      <c r="C168" s="8" t="n"/>
    </row>
    <row r="169">
      <c r="A169" s="6" t="n"/>
      <c r="C169" s="8" t="n"/>
    </row>
    <row r="170">
      <c r="A170" s="6" t="n"/>
      <c r="C170" s="8" t="n"/>
    </row>
    <row r="171">
      <c r="A171" s="6" t="n"/>
      <c r="C171" s="8" t="n"/>
    </row>
    <row r="172">
      <c r="A172" s="6" t="n"/>
      <c r="C172" s="8" t="n"/>
    </row>
    <row r="173">
      <c r="A173" s="6" t="n"/>
      <c r="C173" s="8" t="n"/>
    </row>
    <row r="174">
      <c r="A174" s="6" t="n"/>
      <c r="C174" s="8" t="n"/>
    </row>
    <row r="175">
      <c r="A175" s="6" t="n"/>
      <c r="C175" s="8" t="n"/>
    </row>
    <row r="176">
      <c r="A176" s="6" t="n"/>
      <c r="C176" s="8" t="n"/>
    </row>
    <row r="177">
      <c r="A177" s="6" t="n"/>
      <c r="C177" s="8" t="n"/>
    </row>
    <row r="178">
      <c r="A178" s="6" t="n"/>
      <c r="C178" s="8" t="n"/>
    </row>
    <row r="179">
      <c r="A179" s="6" t="n"/>
      <c r="C179" s="8" t="n"/>
    </row>
    <row r="180">
      <c r="A180" s="6" t="n"/>
      <c r="C180" s="8" t="n"/>
    </row>
    <row r="181">
      <c r="A181" s="6" t="n"/>
      <c r="C181" s="8" t="n"/>
    </row>
    <row r="182">
      <c r="A182" s="6" t="n"/>
      <c r="C182" s="8" t="n"/>
    </row>
    <row r="183">
      <c r="A183" s="6" t="n"/>
      <c r="C183" s="8" t="n"/>
    </row>
    <row r="184">
      <c r="A184" s="6" t="n"/>
      <c r="C184" s="8" t="n"/>
    </row>
    <row r="185">
      <c r="A185" s="6" t="n"/>
      <c r="C185" s="8" t="n"/>
    </row>
    <row r="186">
      <c r="A186" s="6" t="n"/>
      <c r="C186" s="8" t="n"/>
    </row>
    <row r="187">
      <c r="A187" s="6" t="n"/>
      <c r="C187" s="8" t="n"/>
    </row>
    <row r="188">
      <c r="A188" s="6" t="n"/>
      <c r="C188" s="8" t="n"/>
    </row>
    <row r="189">
      <c r="A189" s="6" t="n"/>
      <c r="C189" s="8" t="n"/>
    </row>
    <row r="190">
      <c r="A190" s="6" t="n"/>
      <c r="C190" s="8" t="n"/>
    </row>
    <row r="191">
      <c r="A191" s="6" t="n"/>
      <c r="C191" s="8" t="n"/>
    </row>
    <row r="192">
      <c r="A192" s="6" t="n"/>
      <c r="C192" s="8" t="n"/>
    </row>
    <row r="193">
      <c r="A193" s="6" t="n"/>
      <c r="C193" s="8" t="n"/>
    </row>
    <row r="194">
      <c r="A194" s="6" t="n"/>
      <c r="C194" s="8" t="n"/>
    </row>
    <row r="195">
      <c r="A195" s="6" t="n"/>
      <c r="C195" s="8" t="n"/>
    </row>
    <row r="196">
      <c r="A196" s="6" t="n"/>
      <c r="C196" s="8" t="n"/>
    </row>
    <row r="197">
      <c r="A197" s="6" t="n"/>
      <c r="C197" s="8" t="n"/>
    </row>
    <row r="198">
      <c r="A198" s="6" t="n"/>
      <c r="C198" s="8" t="n"/>
    </row>
    <row r="199">
      <c r="A199" s="6" t="n"/>
      <c r="C199" s="8" t="n"/>
    </row>
    <row r="200">
      <c r="A200" s="6" t="n"/>
      <c r="C200" s="8" t="n"/>
    </row>
    <row r="201">
      <c r="A201" s="6" t="n"/>
      <c r="C201" s="8" t="n"/>
    </row>
    <row r="202">
      <c r="A202" s="6" t="n"/>
      <c r="C202" s="8" t="n"/>
    </row>
    <row r="203">
      <c r="A203" s="6" t="n"/>
      <c r="C203" s="8" t="n"/>
    </row>
    <row r="204">
      <c r="A204" s="6" t="n"/>
      <c r="C204" s="8" t="n"/>
    </row>
    <row r="205">
      <c r="A205" s="6" t="n"/>
      <c r="C205" s="8" t="n"/>
    </row>
    <row r="206">
      <c r="A206" s="6" t="n"/>
      <c r="C206" s="8" t="n"/>
    </row>
    <row r="207">
      <c r="A207" s="6" t="n"/>
      <c r="C207" s="8" t="n"/>
    </row>
    <row r="208">
      <c r="A208" s="6" t="n"/>
      <c r="C208" s="8" t="n"/>
    </row>
    <row r="209">
      <c r="A209" s="6" t="n"/>
      <c r="C209" s="8" t="n"/>
    </row>
    <row r="210">
      <c r="A210" s="6" t="n"/>
      <c r="C210" s="8" t="n"/>
    </row>
    <row r="211">
      <c r="A211" s="6" t="n"/>
      <c r="C211" s="8" t="n"/>
    </row>
    <row r="212">
      <c r="A212" s="6" t="n"/>
      <c r="C212" s="8" t="n"/>
    </row>
    <row r="213">
      <c r="A213" s="6" t="n"/>
      <c r="C213" s="8" t="n"/>
    </row>
    <row r="214">
      <c r="A214" s="6" t="n"/>
      <c r="C214" s="8" t="n"/>
    </row>
    <row r="215">
      <c r="A215" s="6" t="n"/>
      <c r="C215" s="8" t="n"/>
    </row>
    <row r="216">
      <c r="A216" s="6" t="n"/>
      <c r="C216" s="8" t="n"/>
    </row>
    <row r="217">
      <c r="A217" s="6" t="n"/>
      <c r="C217" s="8" t="n"/>
    </row>
    <row r="218">
      <c r="A218" s="6" t="n"/>
      <c r="C218" s="8" t="n"/>
    </row>
    <row r="219">
      <c r="A219" s="6" t="n"/>
      <c r="C219" s="8" t="n"/>
    </row>
    <row r="220">
      <c r="A220" s="6" t="n"/>
      <c r="C220" s="8" t="n"/>
    </row>
    <row r="221">
      <c r="A221" s="6" t="n"/>
      <c r="C221" s="8" t="n"/>
    </row>
    <row r="222">
      <c r="A222" s="6" t="n"/>
      <c r="C222" s="8" t="n"/>
    </row>
    <row r="223">
      <c r="A223" s="6" t="n"/>
      <c r="C223" s="8" t="n"/>
    </row>
    <row r="224">
      <c r="A224" s="6" t="n"/>
      <c r="C224" s="8" t="n"/>
    </row>
    <row r="225">
      <c r="A225" s="6" t="n"/>
      <c r="C225" s="8" t="n"/>
    </row>
    <row r="226">
      <c r="A226" s="6" t="n"/>
      <c r="C226" s="8" t="n"/>
    </row>
    <row r="227">
      <c r="A227" s="6" t="n"/>
      <c r="C227" s="8" t="n"/>
    </row>
    <row r="228">
      <c r="A228" s="6" t="n"/>
      <c r="C228" s="8" t="n"/>
    </row>
    <row r="229">
      <c r="A229" s="6" t="n"/>
      <c r="C229" s="8" t="n"/>
    </row>
    <row r="230">
      <c r="A230" s="6" t="n"/>
      <c r="C230" s="8" t="n"/>
    </row>
    <row r="231">
      <c r="A231" s="6" t="n"/>
      <c r="C231" s="8" t="n"/>
    </row>
    <row r="232">
      <c r="A232" s="6" t="n"/>
      <c r="C232" s="8" t="n"/>
    </row>
    <row r="233">
      <c r="A233" s="6" t="n"/>
      <c r="C233" s="8" t="n"/>
    </row>
    <row r="234">
      <c r="A234" s="6" t="n"/>
      <c r="C234" s="8" t="n"/>
    </row>
    <row r="235">
      <c r="A235" s="6" t="n"/>
      <c r="C235" s="8" t="n"/>
    </row>
    <row r="236">
      <c r="A236" s="6" t="n"/>
      <c r="C236" s="8" t="n"/>
    </row>
    <row r="237">
      <c r="A237" s="6" t="n"/>
      <c r="C237" s="8" t="n"/>
    </row>
    <row r="238">
      <c r="A238" s="6" t="n"/>
      <c r="C238" s="8" t="n"/>
    </row>
    <row r="239">
      <c r="A239" s="6" t="n"/>
      <c r="C239" s="8" t="n"/>
    </row>
    <row r="240">
      <c r="A240" s="6" t="n"/>
      <c r="C240" s="8" t="n"/>
    </row>
    <row r="241">
      <c r="A241" s="6" t="n"/>
      <c r="C241" s="8" t="n"/>
    </row>
    <row r="242">
      <c r="A242" s="6" t="n"/>
      <c r="C242" s="8" t="n"/>
    </row>
    <row r="243">
      <c r="A243" s="6" t="n"/>
      <c r="C243" s="8" t="n"/>
    </row>
    <row r="244">
      <c r="A244" s="6" t="n"/>
      <c r="C244" s="8" t="n"/>
    </row>
    <row r="245">
      <c r="A245" s="6" t="n"/>
      <c r="C245" s="8" t="n"/>
    </row>
    <row r="246">
      <c r="A246" s="6" t="n"/>
      <c r="C246" s="8" t="n"/>
    </row>
    <row r="247">
      <c r="A247" s="6" t="n"/>
      <c r="C247" s="8" t="n"/>
    </row>
    <row r="248">
      <c r="A248" s="6" t="n"/>
      <c r="C248" s="8" t="n"/>
    </row>
    <row r="249">
      <c r="A249" s="6" t="n"/>
      <c r="C249" s="8" t="n"/>
    </row>
    <row r="250">
      <c r="A250" s="6" t="n"/>
      <c r="C250" s="8" t="n"/>
    </row>
    <row r="251">
      <c r="A251" s="6" t="n"/>
      <c r="C251" s="8" t="n"/>
    </row>
    <row r="252">
      <c r="A252" s="6" t="n"/>
      <c r="C252" s="8" t="n"/>
    </row>
    <row r="253">
      <c r="A253" s="6" t="n"/>
      <c r="C253" s="8" t="n"/>
    </row>
    <row r="254">
      <c r="A254" s="6" t="n"/>
      <c r="C254" s="8" t="n"/>
    </row>
    <row r="255">
      <c r="A255" s="6" t="n"/>
      <c r="C255" s="8" t="n"/>
    </row>
    <row r="256">
      <c r="A256" s="6" t="n"/>
      <c r="C256" s="8" t="n"/>
    </row>
    <row r="257">
      <c r="A257" s="6" t="n"/>
      <c r="C257" s="8" t="n"/>
    </row>
    <row r="258">
      <c r="A258" s="6" t="n"/>
      <c r="C258" s="8" t="n"/>
    </row>
    <row r="259">
      <c r="A259" s="6" t="n"/>
      <c r="C259" s="8" t="n"/>
    </row>
    <row r="260">
      <c r="A260" s="6" t="n"/>
      <c r="C260" s="8" t="n"/>
    </row>
    <row r="261">
      <c r="A261" s="6" t="n"/>
      <c r="C261" s="8" t="n"/>
    </row>
    <row r="262">
      <c r="A262" s="6" t="n"/>
      <c r="C262" s="8" t="n"/>
    </row>
    <row r="263">
      <c r="A263" s="6" t="n"/>
      <c r="C263" s="8" t="n"/>
    </row>
    <row r="264">
      <c r="A264" s="6" t="n"/>
      <c r="C264" s="8" t="n"/>
    </row>
    <row r="265">
      <c r="A265" s="6" t="n"/>
      <c r="C265" s="8" t="n"/>
    </row>
    <row r="266">
      <c r="A266" s="6" t="n"/>
      <c r="C266" s="8" t="n"/>
    </row>
    <row r="267">
      <c r="A267" s="6" t="n"/>
      <c r="C267" s="8" t="n"/>
    </row>
    <row r="268">
      <c r="A268" s="6" t="n"/>
      <c r="C268" s="8" t="n"/>
    </row>
    <row r="269">
      <c r="A269" s="6" t="n"/>
      <c r="C269" s="8" t="n"/>
    </row>
    <row r="270">
      <c r="A270" s="6" t="n"/>
      <c r="C270" s="8" t="n"/>
    </row>
    <row r="271">
      <c r="A271" s="6" t="n"/>
      <c r="C271" s="8" t="n"/>
    </row>
    <row r="272">
      <c r="A272" s="6" t="n"/>
      <c r="C272" s="8" t="n"/>
    </row>
    <row r="273">
      <c r="A273" s="6" t="n"/>
      <c r="C273" s="8" t="n"/>
    </row>
    <row r="274">
      <c r="A274" s="6" t="n"/>
      <c r="C274" s="8" t="n"/>
    </row>
    <row r="275">
      <c r="A275" s="6" t="n"/>
      <c r="C275" s="8" t="n"/>
    </row>
    <row r="276">
      <c r="A276" s="6" t="n"/>
      <c r="C276" s="8" t="n"/>
    </row>
    <row r="277">
      <c r="A277" s="6" t="n"/>
      <c r="C277" s="8" t="n"/>
    </row>
    <row r="278">
      <c r="A278" s="6" t="n"/>
      <c r="C278" s="8" t="n"/>
    </row>
    <row r="279">
      <c r="A279" s="6" t="n"/>
      <c r="C279" s="8" t="n"/>
    </row>
    <row r="280">
      <c r="A280" s="6" t="n"/>
      <c r="C280" s="8" t="n"/>
    </row>
    <row r="281">
      <c r="A281" s="6" t="n"/>
      <c r="C281" s="8" t="n"/>
    </row>
    <row r="282">
      <c r="A282" s="6" t="n"/>
      <c r="C282" s="8" t="n"/>
    </row>
    <row r="283">
      <c r="A283" s="6" t="n"/>
      <c r="C283" s="8" t="n"/>
    </row>
    <row r="284">
      <c r="A284" s="6" t="n"/>
      <c r="C284" s="8" t="n"/>
    </row>
    <row r="285">
      <c r="A285" s="6" t="n"/>
      <c r="C285" s="8" t="n"/>
    </row>
    <row r="286">
      <c r="A286" s="6" t="n"/>
      <c r="C286" s="8" t="n"/>
    </row>
    <row r="287">
      <c r="A287" s="6" t="n"/>
      <c r="C287" s="8" t="n"/>
    </row>
    <row r="288">
      <c r="A288" s="6" t="n"/>
      <c r="C288" s="8" t="n"/>
    </row>
    <row r="289">
      <c r="A289" s="6" t="n"/>
      <c r="C289" s="8" t="n"/>
    </row>
    <row r="290">
      <c r="A290" s="6" t="n"/>
      <c r="C290" s="8" t="n"/>
    </row>
    <row r="291">
      <c r="A291" s="6" t="n"/>
      <c r="C291" s="8" t="n"/>
    </row>
    <row r="292">
      <c r="A292" s="6" t="n"/>
      <c r="C292" s="8" t="n"/>
    </row>
    <row r="293">
      <c r="A293" s="6" t="n"/>
      <c r="C293" s="8" t="n"/>
    </row>
    <row r="294">
      <c r="A294" s="6" t="n"/>
      <c r="C294" s="8" t="n"/>
    </row>
    <row r="295">
      <c r="A295" s="6" t="n"/>
      <c r="C295" s="8" t="n"/>
    </row>
    <row r="296">
      <c r="A296" s="6" t="n"/>
      <c r="C296" s="8" t="n"/>
    </row>
    <row r="297">
      <c r="A297" s="6" t="n"/>
      <c r="C297" s="8" t="n"/>
    </row>
    <row r="298">
      <c r="A298" s="6" t="n"/>
      <c r="C298" s="8" t="n"/>
    </row>
    <row r="299">
      <c r="A299" s="6" t="n"/>
      <c r="C299" s="8" t="n"/>
    </row>
    <row r="300">
      <c r="A300" s="6" t="n"/>
      <c r="C300" s="8" t="n"/>
    </row>
    <row r="301">
      <c r="A301" s="6" t="n"/>
      <c r="C301" s="8" t="n"/>
    </row>
    <row r="302">
      <c r="A302" s="6" t="n"/>
      <c r="C302" s="8" t="n"/>
    </row>
    <row r="303">
      <c r="A303" s="6" t="n"/>
      <c r="C303" s="8" t="n"/>
    </row>
    <row r="304">
      <c r="A304" s="6" t="n"/>
      <c r="C304" s="8" t="n"/>
    </row>
    <row r="305">
      <c r="A305" s="6" t="n"/>
      <c r="C305" s="8" t="n"/>
    </row>
    <row r="306">
      <c r="A306" s="6" t="n"/>
      <c r="C306" s="8" t="n"/>
    </row>
    <row r="307">
      <c r="A307" s="6" t="n"/>
      <c r="C307" s="8" t="n"/>
    </row>
    <row r="308">
      <c r="A308" s="6" t="n"/>
      <c r="C308" s="8" t="n"/>
    </row>
    <row r="309">
      <c r="A309" s="6" t="n"/>
      <c r="C309" s="8" t="n"/>
    </row>
    <row r="310">
      <c r="A310" s="6" t="n"/>
      <c r="C310" s="8" t="n"/>
    </row>
    <row r="311">
      <c r="A311" s="6" t="n"/>
      <c r="C311" s="8" t="n"/>
    </row>
    <row r="312">
      <c r="A312" s="6" t="n"/>
      <c r="C312" s="8" t="n"/>
    </row>
    <row r="313">
      <c r="A313" s="6" t="n"/>
      <c r="C313" s="8" t="n"/>
    </row>
    <row r="314">
      <c r="A314" s="6" t="n"/>
      <c r="C314" s="8" t="n"/>
    </row>
    <row r="315">
      <c r="A315" s="6" t="n"/>
      <c r="C315" s="8" t="n"/>
    </row>
    <row r="316">
      <c r="A316" s="6" t="n"/>
      <c r="C316" s="8" t="n"/>
    </row>
    <row r="317">
      <c r="A317" s="6" t="n"/>
      <c r="C317" s="8" t="n"/>
    </row>
    <row r="318">
      <c r="A318" s="6" t="n"/>
      <c r="C318" s="8" t="n"/>
    </row>
    <row r="319">
      <c r="A319" s="6" t="n"/>
      <c r="C319" s="8" t="n"/>
    </row>
    <row r="320">
      <c r="A320" s="6" t="n"/>
      <c r="C320" s="8" t="n"/>
    </row>
    <row r="321">
      <c r="A321" s="6" t="n"/>
      <c r="C321" s="8" t="n"/>
    </row>
    <row r="322">
      <c r="A322" s="6" t="n"/>
      <c r="C322" s="8" t="n"/>
    </row>
    <row r="323">
      <c r="A323" s="6" t="n"/>
      <c r="C323" s="8" t="n"/>
    </row>
    <row r="324">
      <c r="A324" s="6" t="n"/>
      <c r="C324" s="8" t="n"/>
    </row>
    <row r="325">
      <c r="A325" s="6" t="n"/>
      <c r="C325" s="8" t="n"/>
    </row>
    <row r="326">
      <c r="A326" s="6" t="n"/>
      <c r="C326" s="8" t="n"/>
    </row>
    <row r="327">
      <c r="A327" s="6" t="n"/>
      <c r="C327" s="8" t="n"/>
    </row>
    <row r="328">
      <c r="A328" s="6" t="n"/>
      <c r="C328" s="8" t="n"/>
    </row>
    <row r="329">
      <c r="A329" s="6" t="n"/>
      <c r="C329" s="8" t="n"/>
    </row>
    <row r="330">
      <c r="A330" s="6" t="n"/>
      <c r="C330" s="8" t="n"/>
    </row>
    <row r="331">
      <c r="A331" s="6" t="n"/>
      <c r="C331" s="8" t="n"/>
    </row>
    <row r="332">
      <c r="A332" s="6" t="n"/>
      <c r="C332" s="8" t="n"/>
    </row>
    <row r="333">
      <c r="A333" s="6" t="n"/>
      <c r="C333" s="8" t="n"/>
    </row>
    <row r="334">
      <c r="A334" s="6" t="n"/>
      <c r="C334" s="8" t="n"/>
    </row>
    <row r="335">
      <c r="A335" s="6" t="n"/>
      <c r="C335" s="8" t="n"/>
    </row>
    <row r="336">
      <c r="A336" s="6" t="n"/>
      <c r="C336" s="8" t="n"/>
    </row>
    <row r="337">
      <c r="A337" s="6" t="n"/>
      <c r="C337" s="8" t="n"/>
    </row>
    <row r="338">
      <c r="A338" s="6" t="n"/>
      <c r="C338" s="8" t="n"/>
    </row>
    <row r="339">
      <c r="A339" s="6" t="n"/>
      <c r="C339" s="8" t="n"/>
    </row>
    <row r="340">
      <c r="A340" s="6" t="n"/>
      <c r="C340" s="8" t="n"/>
    </row>
    <row r="341">
      <c r="A341" s="6" t="n"/>
      <c r="C341" s="8" t="n"/>
    </row>
    <row r="342">
      <c r="A342" s="6" t="n"/>
      <c r="C342" s="8" t="n"/>
    </row>
    <row r="343">
      <c r="A343" s="6" t="n"/>
      <c r="C343" s="8" t="n"/>
    </row>
    <row r="344">
      <c r="A344" s="6" t="n"/>
      <c r="C344" s="8" t="n"/>
    </row>
    <row r="345">
      <c r="A345" s="6" t="n"/>
      <c r="C345" s="8" t="n"/>
    </row>
    <row r="346">
      <c r="A346" s="6" t="n"/>
      <c r="C346" s="8" t="n"/>
    </row>
    <row r="347">
      <c r="A347" s="6" t="n"/>
      <c r="C347" s="8" t="n"/>
    </row>
    <row r="348">
      <c r="A348" s="6" t="n"/>
      <c r="C348" s="8" t="n"/>
    </row>
    <row r="349">
      <c r="A349" s="6" t="n"/>
      <c r="C349" s="8" t="n"/>
    </row>
    <row r="350">
      <c r="A350" s="6" t="n"/>
      <c r="C350" s="8" t="n"/>
    </row>
    <row r="351">
      <c r="A351" s="6" t="n"/>
      <c r="C351" s="8" t="n"/>
    </row>
    <row r="352">
      <c r="A352" s="6" t="n"/>
      <c r="C352" s="8" t="n"/>
    </row>
    <row r="353">
      <c r="A353" s="6" t="n"/>
      <c r="C353" s="8" t="n"/>
    </row>
    <row r="354">
      <c r="A354" s="6" t="n"/>
      <c r="C354" s="8" t="n"/>
    </row>
    <row r="355">
      <c r="A355" s="6" t="n"/>
      <c r="C355" s="8" t="n"/>
    </row>
    <row r="356">
      <c r="A356" s="6" t="n"/>
      <c r="C356" s="8" t="n"/>
    </row>
    <row r="357">
      <c r="A357" s="6" t="n"/>
      <c r="C357" s="8" t="n"/>
    </row>
    <row r="358">
      <c r="A358" s="6" t="n"/>
      <c r="C358" s="8" t="n"/>
    </row>
    <row r="359">
      <c r="A359" s="6" t="n"/>
      <c r="C359" s="8" t="n"/>
    </row>
    <row r="360">
      <c r="A360" s="6" t="n"/>
      <c r="C360" s="8" t="n"/>
    </row>
    <row r="361">
      <c r="A361" s="6" t="n"/>
      <c r="C361" s="8" t="n"/>
    </row>
    <row r="362">
      <c r="A362" s="6" t="n"/>
      <c r="C362" s="8" t="n"/>
    </row>
    <row r="363">
      <c r="A363" s="6" t="n"/>
      <c r="C363" s="8" t="n"/>
    </row>
    <row r="364">
      <c r="A364" s="6" t="n"/>
      <c r="C364" s="8" t="n"/>
    </row>
    <row r="365">
      <c r="A365" s="6" t="n"/>
      <c r="C365" s="8" t="n"/>
    </row>
    <row r="366">
      <c r="A366" s="6" t="n"/>
      <c r="C366" s="8" t="n"/>
    </row>
    <row r="367">
      <c r="A367" s="6" t="n"/>
      <c r="C367" s="8" t="n"/>
    </row>
    <row r="368">
      <c r="A368" s="6" t="n"/>
      <c r="C368" s="8" t="n"/>
    </row>
    <row r="369">
      <c r="A369" s="6" t="n"/>
      <c r="C369" s="8" t="n"/>
    </row>
    <row r="370">
      <c r="A370" s="6" t="n"/>
      <c r="C370" s="8" t="n"/>
    </row>
    <row r="371">
      <c r="A371" s="6" t="n"/>
      <c r="C371" s="8" t="n"/>
    </row>
    <row r="372">
      <c r="A372" s="6" t="n"/>
      <c r="C372" s="8" t="n"/>
    </row>
    <row r="373">
      <c r="A373" s="6" t="n"/>
      <c r="C373" s="8" t="n"/>
    </row>
    <row r="374">
      <c r="A374" s="6" t="n"/>
      <c r="C374" s="8" t="n"/>
    </row>
    <row r="375">
      <c r="A375" s="6" t="n"/>
      <c r="C375" s="8" t="n"/>
    </row>
    <row r="376">
      <c r="A376" s="6" t="n"/>
      <c r="C376" s="8" t="n"/>
    </row>
    <row r="377">
      <c r="A377" s="6" t="n"/>
      <c r="C377" s="8" t="n"/>
    </row>
    <row r="378">
      <c r="A378" s="6" t="n"/>
      <c r="C378" s="8" t="n"/>
    </row>
    <row r="379">
      <c r="A379" s="6" t="n"/>
      <c r="C379" s="8" t="n"/>
    </row>
    <row r="380">
      <c r="A380" s="6" t="n"/>
      <c r="C380" s="8" t="n"/>
    </row>
    <row r="381">
      <c r="A381" s="6" t="n"/>
      <c r="C381" s="8" t="n"/>
    </row>
    <row r="382">
      <c r="A382" s="6" t="n"/>
      <c r="C382" s="8" t="n"/>
    </row>
    <row r="383">
      <c r="A383" s="6" t="n"/>
      <c r="C383" s="8" t="n"/>
    </row>
    <row r="384">
      <c r="A384" s="6" t="n"/>
      <c r="C384" s="8" t="n"/>
    </row>
    <row r="385">
      <c r="A385" s="6" t="n"/>
      <c r="C385" s="8" t="n"/>
    </row>
    <row r="386">
      <c r="A386" s="6" t="n"/>
      <c r="C386" s="8" t="n"/>
    </row>
    <row r="387">
      <c r="A387" s="6" t="n"/>
      <c r="C387" s="8" t="n"/>
    </row>
    <row r="388">
      <c r="A388" s="6" t="n"/>
      <c r="C388" s="8" t="n"/>
    </row>
    <row r="389">
      <c r="A389" s="6" t="n"/>
      <c r="C389" s="8" t="n"/>
    </row>
    <row r="390">
      <c r="A390" s="6" t="n"/>
      <c r="C390" s="8" t="n"/>
    </row>
    <row r="391">
      <c r="A391" s="6" t="n"/>
      <c r="C391" s="8" t="n"/>
    </row>
    <row r="392">
      <c r="A392" s="6" t="n"/>
      <c r="C392" s="8" t="n"/>
    </row>
    <row r="393">
      <c r="A393" s="6" t="n"/>
      <c r="C393" s="8" t="n"/>
    </row>
    <row r="394">
      <c r="A394" s="6" t="n"/>
      <c r="C394" s="8" t="n"/>
    </row>
    <row r="395">
      <c r="A395" s="6" t="n"/>
      <c r="C395" s="8" t="n"/>
    </row>
    <row r="396">
      <c r="A396" s="6" t="n"/>
      <c r="C396" s="8" t="n"/>
    </row>
    <row r="397">
      <c r="A397" s="6" t="n"/>
      <c r="C397" s="8" t="n"/>
    </row>
    <row r="398">
      <c r="A398" s="6" t="n"/>
      <c r="C398" s="8" t="n"/>
    </row>
    <row r="399">
      <c r="A399" s="6" t="n"/>
      <c r="C399" s="8" t="n"/>
    </row>
    <row r="400">
      <c r="A400" s="6" t="n"/>
      <c r="C400" s="8" t="n"/>
    </row>
    <row r="401">
      <c r="A401" s="6" t="n"/>
      <c r="C401" s="8" t="n"/>
    </row>
  </sheetData>
  <dataValidations count="2">
    <dataValidation sqref="F2:F401" showDropDown="0" showInputMessage="0" showErrorMessage="0" allowBlank="1" type="list">
      <formula1>=StaffNames</formula1>
    </dataValidation>
    <dataValidation sqref="G2:G401" showDropDown="0" showInputMessage="0" showErrorMessage="0" allowBlank="1" type="list">
      <formula1>=StaffNames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18" customWidth="1" min="4" max="4"/>
    <col width="22" customWidth="1" min="5" max="5"/>
    <col width="14" customWidth="1" min="6" max="6"/>
    <col width="14" customWidth="1" min="7" max="7"/>
    <col width="18" customWidth="1" min="8" max="8"/>
    <col width="22" customWidth="1" min="9" max="9"/>
    <col width="14" customWidth="1" min="10" max="10"/>
    <col width="18" customWidth="1" min="11" max="11"/>
    <col width="24" customWidth="1" min="12" max="12"/>
  </cols>
  <sheetData>
    <row r="1" ht="28" customHeight="1">
      <c r="A1" s="3" t="inlineStr">
        <is>
          <t>Recon Date</t>
        </is>
      </c>
      <c r="B1" s="3" t="inlineStr">
        <is>
          <t>Bank Statement Balance</t>
        </is>
      </c>
      <c r="C1" s="3" t="inlineStr">
        <is>
          <t>Cash Book Balance</t>
        </is>
      </c>
      <c r="D1" s="3" t="inlineStr">
        <is>
          <t>Deposits in Transit</t>
        </is>
      </c>
      <c r="E1" s="3" t="inlineStr">
        <is>
          <t>Outstanding Withdrawals</t>
        </is>
      </c>
      <c r="F1" s="3" t="inlineStr">
        <is>
          <t>Bank Charges</t>
        </is>
      </c>
      <c r="G1" s="3" t="inlineStr">
        <is>
          <t>Interest Earned</t>
        </is>
      </c>
      <c r="H1" s="3" t="inlineStr">
        <is>
          <t>Adjusted Bank Balance</t>
        </is>
      </c>
      <c r="I1" s="3" t="inlineStr">
        <is>
          <t>Adjusted Cash Book Balance</t>
        </is>
      </c>
      <c r="J1" s="3" t="inlineStr">
        <is>
          <t>Difference</t>
        </is>
      </c>
      <c r="K1" s="3" t="inlineStr">
        <is>
          <t>Reviewed By</t>
        </is>
      </c>
      <c r="L1" s="3" t="inlineStr">
        <is>
          <t>Notes</t>
        </is>
      </c>
    </row>
    <row r="2">
      <c r="A2" s="5" t="n"/>
      <c r="B2" s="7" t="n"/>
      <c r="C2" s="7" t="n"/>
      <c r="D2" s="7" t="n"/>
      <c r="E2" s="7" t="n"/>
      <c r="F2" s="7" t="n"/>
      <c r="G2" s="7" t="n"/>
      <c r="H2" s="7">
        <f>IF($A2="","", $B2+IF($D2="",0,$D2)-IF($E2="",0,$E2)-IF($F2="",0,$F2)+IF($G2="",0,$G2))</f>
        <v/>
      </c>
      <c r="I2" s="7">
        <f>IF($A2="","", $C2-IF($E2="",0,$E2)-IF($F2="",0,$F2)+IF($G2="",0,$G2))</f>
        <v/>
      </c>
      <c r="J2" s="7">
        <f>IF($A2="","", $H2-$I2)</f>
        <v/>
      </c>
      <c r="K2" s="4" t="n"/>
      <c r="L2" s="4" t="n"/>
    </row>
    <row r="3">
      <c r="A3" s="5" t="n"/>
      <c r="B3" s="7" t="n"/>
      <c r="C3" s="7" t="n"/>
      <c r="D3" s="7" t="n"/>
      <c r="E3" s="7" t="n"/>
      <c r="F3" s="7" t="n"/>
      <c r="G3" s="7" t="n"/>
      <c r="H3" s="7">
        <f>IF($A3="","", $B3+IF($D3="",0,$D3)-IF($E3="",0,$E3)-IF($F3="",0,$F3)+IF($G3="",0,$G3))</f>
        <v/>
      </c>
      <c r="I3" s="7">
        <f>IF($A3="","", $C3-IF($E3="",0,$E3)-IF($F3="",0,$F3)+IF($G3="",0,$G3))</f>
        <v/>
      </c>
      <c r="J3" s="7">
        <f>IF($A3="","", $H3-$I3)</f>
        <v/>
      </c>
      <c r="K3" s="4" t="n"/>
      <c r="L3" s="4" t="n"/>
    </row>
    <row r="4">
      <c r="A4" s="5" t="n"/>
      <c r="B4" s="7" t="n"/>
      <c r="C4" s="7" t="n"/>
      <c r="D4" s="7" t="n"/>
      <c r="E4" s="7" t="n"/>
      <c r="F4" s="7" t="n"/>
      <c r="G4" s="7" t="n"/>
      <c r="H4" s="7">
        <f>IF($A4="","", $B4+IF($D4="",0,$D4)-IF($E4="",0,$E4)-IF($F4="",0,$F4)+IF($G4="",0,$G4))</f>
        <v/>
      </c>
      <c r="I4" s="7">
        <f>IF($A4="","", $C4-IF($E4="",0,$E4)-IF($F4="",0,$F4)+IF($G4="",0,$G4))</f>
        <v/>
      </c>
      <c r="J4" s="7">
        <f>IF($A4="","", $H4-$I4)</f>
        <v/>
      </c>
      <c r="K4" s="4" t="n"/>
      <c r="L4" s="4" t="n"/>
    </row>
    <row r="5">
      <c r="A5" s="5" t="n"/>
      <c r="B5" s="7" t="n"/>
      <c r="C5" s="7" t="n"/>
      <c r="D5" s="7" t="n"/>
      <c r="E5" s="7" t="n"/>
      <c r="F5" s="7" t="n"/>
      <c r="G5" s="7" t="n"/>
      <c r="H5" s="7">
        <f>IF($A5="","", $B5+IF($D5="",0,$D5)-IF($E5="",0,$E5)-IF($F5="",0,$F5)+IF($G5="",0,$G5))</f>
        <v/>
      </c>
      <c r="I5" s="7">
        <f>IF($A5="","", $C5-IF($E5="",0,$E5)-IF($F5="",0,$F5)+IF($G5="",0,$G5))</f>
        <v/>
      </c>
      <c r="J5" s="7">
        <f>IF($A5="","", $H5-$I5)</f>
        <v/>
      </c>
      <c r="K5" s="4" t="n"/>
      <c r="L5" s="4" t="n"/>
    </row>
    <row r="6">
      <c r="A6" s="5" t="n"/>
      <c r="B6" s="7" t="n"/>
      <c r="C6" s="7" t="n"/>
      <c r="D6" s="7" t="n"/>
      <c r="E6" s="7" t="n"/>
      <c r="F6" s="7" t="n"/>
      <c r="G6" s="7" t="n"/>
      <c r="H6" s="7">
        <f>IF($A6="","", $B6+IF($D6="",0,$D6)-IF($E6="",0,$E6)-IF($F6="",0,$F6)+IF($G6="",0,$G6))</f>
        <v/>
      </c>
      <c r="I6" s="7">
        <f>IF($A6="","", $C6-IF($E6="",0,$E6)-IF($F6="",0,$F6)+IF($G6="",0,$G6))</f>
        <v/>
      </c>
      <c r="J6" s="7">
        <f>IF($A6="","", $H6-$I6)</f>
        <v/>
      </c>
      <c r="K6" s="4" t="n"/>
      <c r="L6" s="4" t="n"/>
    </row>
    <row r="7">
      <c r="A7" s="5" t="n"/>
      <c r="B7" s="7" t="n"/>
      <c r="C7" s="7" t="n"/>
      <c r="D7" s="7" t="n"/>
      <c r="E7" s="7" t="n"/>
      <c r="F7" s="7" t="n"/>
      <c r="G7" s="7" t="n"/>
      <c r="H7" s="7">
        <f>IF($A7="","", $B7+IF($D7="",0,$D7)-IF($E7="",0,$E7)-IF($F7="",0,$F7)+IF($G7="",0,$G7))</f>
        <v/>
      </c>
      <c r="I7" s="7">
        <f>IF($A7="","", $C7-IF($E7="",0,$E7)-IF($F7="",0,$F7)+IF($G7="",0,$G7))</f>
        <v/>
      </c>
      <c r="J7" s="7">
        <f>IF($A7="","", $H7-$I7)</f>
        <v/>
      </c>
      <c r="K7" s="4" t="n"/>
      <c r="L7" s="4" t="n"/>
    </row>
    <row r="8">
      <c r="A8" s="5" t="n"/>
      <c r="B8" s="7" t="n"/>
      <c r="C8" s="7" t="n"/>
      <c r="D8" s="7" t="n"/>
      <c r="E8" s="7" t="n"/>
      <c r="F8" s="7" t="n"/>
      <c r="G8" s="7" t="n"/>
      <c r="H8" s="7">
        <f>IF($A8="","", $B8+IF($D8="",0,$D8)-IF($E8="",0,$E8)-IF($F8="",0,$F8)+IF($G8="",0,$G8))</f>
        <v/>
      </c>
      <c r="I8" s="7">
        <f>IF($A8="","", $C8-IF($E8="",0,$E8)-IF($F8="",0,$F8)+IF($G8="",0,$G8))</f>
        <v/>
      </c>
      <c r="J8" s="7">
        <f>IF($A8="","", $H8-$I8)</f>
        <v/>
      </c>
      <c r="K8" s="4" t="n"/>
      <c r="L8" s="4" t="n"/>
    </row>
    <row r="9">
      <c r="A9" s="5" t="n"/>
      <c r="B9" s="7" t="n"/>
      <c r="C9" s="7" t="n"/>
      <c r="D9" s="7" t="n"/>
      <c r="E9" s="7" t="n"/>
      <c r="F9" s="7" t="n"/>
      <c r="G9" s="7" t="n"/>
      <c r="H9" s="7">
        <f>IF($A9="","", $B9+IF($D9="",0,$D9)-IF($E9="",0,$E9)-IF($F9="",0,$F9)+IF($G9="",0,$G9))</f>
        <v/>
      </c>
      <c r="I9" s="7">
        <f>IF($A9="","", $C9-IF($E9="",0,$E9)-IF($F9="",0,$F9)+IF($G9="",0,$G9))</f>
        <v/>
      </c>
      <c r="J9" s="7">
        <f>IF($A9="","", $H9-$I9)</f>
        <v/>
      </c>
      <c r="K9" s="4" t="n"/>
      <c r="L9" s="4" t="n"/>
    </row>
    <row r="10">
      <c r="A10" s="5" t="n"/>
      <c r="B10" s="7" t="n"/>
      <c r="C10" s="7" t="n"/>
      <c r="D10" s="7" t="n"/>
      <c r="E10" s="7" t="n"/>
      <c r="F10" s="7" t="n"/>
      <c r="G10" s="7" t="n"/>
      <c r="H10" s="7">
        <f>IF($A10="","", $B10+IF($D10="",0,$D10)-IF($E10="",0,$E10)-IF($F10="",0,$F10)+IF($G10="",0,$G10))</f>
        <v/>
      </c>
      <c r="I10" s="7">
        <f>IF($A10="","", $C10-IF($E10="",0,$E10)-IF($F10="",0,$F10)+IF($G10="",0,$G10))</f>
        <v/>
      </c>
      <c r="J10" s="7">
        <f>IF($A10="","", $H10-$I10)</f>
        <v/>
      </c>
      <c r="K10" s="4" t="n"/>
      <c r="L10" s="4" t="n"/>
    </row>
    <row r="11">
      <c r="A11" s="5" t="n"/>
      <c r="B11" s="7" t="n"/>
      <c r="C11" s="7" t="n"/>
      <c r="D11" s="7" t="n"/>
      <c r="E11" s="7" t="n"/>
      <c r="F11" s="7" t="n"/>
      <c r="G11" s="7" t="n"/>
      <c r="H11" s="7">
        <f>IF($A11="","", $B11+IF($D11="",0,$D11)-IF($E11="",0,$E11)-IF($F11="",0,$F11)+IF($G11="",0,$G11))</f>
        <v/>
      </c>
      <c r="I11" s="7">
        <f>IF($A11="","", $C11-IF($E11="",0,$E11)-IF($F11="",0,$F11)+IF($G11="",0,$G11))</f>
        <v/>
      </c>
      <c r="J11" s="7">
        <f>IF($A11="","", $H11-$I11)</f>
        <v/>
      </c>
      <c r="K11" s="4" t="n"/>
      <c r="L11" s="4" t="n"/>
    </row>
    <row r="12">
      <c r="A12" s="5" t="n"/>
      <c r="B12" s="7" t="n"/>
      <c r="C12" s="7" t="n"/>
      <c r="D12" s="7" t="n"/>
      <c r="E12" s="7" t="n"/>
      <c r="F12" s="7" t="n"/>
      <c r="G12" s="7" t="n"/>
      <c r="H12" s="7">
        <f>IF($A12="","", $B12+IF($D12="",0,$D12)-IF($E12="",0,$E12)-IF($F12="",0,$F12)+IF($G12="",0,$G12))</f>
        <v/>
      </c>
      <c r="I12" s="7">
        <f>IF($A12="","", $C12-IF($E12="",0,$E12)-IF($F12="",0,$F12)+IF($G12="",0,$G12))</f>
        <v/>
      </c>
      <c r="J12" s="7">
        <f>IF($A12="","", $H12-$I12)</f>
        <v/>
      </c>
      <c r="K12" s="4" t="n"/>
      <c r="L12" s="4" t="n"/>
    </row>
    <row r="13">
      <c r="A13" s="5" t="n"/>
      <c r="B13" s="7" t="n"/>
      <c r="C13" s="7" t="n"/>
      <c r="D13" s="7" t="n"/>
      <c r="E13" s="7" t="n"/>
      <c r="F13" s="7" t="n"/>
      <c r="G13" s="7" t="n"/>
      <c r="H13" s="7">
        <f>IF($A13="","", $B13+IF($D13="",0,$D13)-IF($E13="",0,$E13)-IF($F13="",0,$F13)+IF($G13="",0,$G13))</f>
        <v/>
      </c>
      <c r="I13" s="7">
        <f>IF($A13="","", $C13-IF($E13="",0,$E13)-IF($F13="",0,$F13)+IF($G13="",0,$G13))</f>
        <v/>
      </c>
      <c r="J13" s="7">
        <f>IF($A13="","", $H13-$I13)</f>
        <v/>
      </c>
      <c r="K13" s="4" t="n"/>
      <c r="L13" s="4" t="n"/>
    </row>
    <row r="14">
      <c r="A14" s="5" t="n"/>
      <c r="B14" s="7" t="n"/>
      <c r="C14" s="7" t="n"/>
      <c r="D14" s="7" t="n"/>
      <c r="E14" s="7" t="n"/>
      <c r="F14" s="7" t="n"/>
      <c r="G14" s="7" t="n"/>
      <c r="H14" s="7">
        <f>IF($A14="","", $B14+IF($D14="",0,$D14)-IF($E14="",0,$E14)-IF($F14="",0,$F14)+IF($G14="",0,$G14))</f>
        <v/>
      </c>
      <c r="I14" s="7">
        <f>IF($A14="","", $C14-IF($E14="",0,$E14)-IF($F14="",0,$F14)+IF($G14="",0,$G14))</f>
        <v/>
      </c>
      <c r="J14" s="7">
        <f>IF($A14="","", $H14-$I14)</f>
        <v/>
      </c>
      <c r="K14" s="4" t="n"/>
      <c r="L14" s="4" t="n"/>
    </row>
    <row r="15">
      <c r="A15" s="5" t="n"/>
      <c r="B15" s="7" t="n"/>
      <c r="C15" s="7" t="n"/>
      <c r="D15" s="7" t="n"/>
      <c r="E15" s="7" t="n"/>
      <c r="F15" s="7" t="n"/>
      <c r="G15" s="7" t="n"/>
      <c r="H15" s="7">
        <f>IF($A15="","", $B15+IF($D15="",0,$D15)-IF($E15="",0,$E15)-IF($F15="",0,$F15)+IF($G15="",0,$G15))</f>
        <v/>
      </c>
      <c r="I15" s="7">
        <f>IF($A15="","", $C15-IF($E15="",0,$E15)-IF($F15="",0,$F15)+IF($G15="",0,$G15))</f>
        <v/>
      </c>
      <c r="J15" s="7">
        <f>IF($A15="","", $H15-$I15)</f>
        <v/>
      </c>
      <c r="K15" s="4" t="n"/>
      <c r="L15" s="4" t="n"/>
    </row>
    <row r="16">
      <c r="A16" s="5" t="n"/>
      <c r="B16" s="7" t="n"/>
      <c r="C16" s="7" t="n"/>
      <c r="D16" s="7" t="n"/>
      <c r="E16" s="7" t="n"/>
      <c r="F16" s="7" t="n"/>
      <c r="G16" s="7" t="n"/>
      <c r="H16" s="7">
        <f>IF($A16="","", $B16+IF($D16="",0,$D16)-IF($E16="",0,$E16)-IF($F16="",0,$F16)+IF($G16="",0,$G16))</f>
        <v/>
      </c>
      <c r="I16" s="7">
        <f>IF($A16="","", $C16-IF($E16="",0,$E16)-IF($F16="",0,$F16)+IF($G16="",0,$G16))</f>
        <v/>
      </c>
      <c r="J16" s="7">
        <f>IF($A16="","", $H16-$I16)</f>
        <v/>
      </c>
      <c r="K16" s="4" t="n"/>
      <c r="L16" s="4" t="n"/>
    </row>
    <row r="17">
      <c r="A17" s="5" t="n"/>
      <c r="B17" s="7" t="n"/>
      <c r="C17" s="7" t="n"/>
      <c r="D17" s="7" t="n"/>
      <c r="E17" s="7" t="n"/>
      <c r="F17" s="7" t="n"/>
      <c r="G17" s="7" t="n"/>
      <c r="H17" s="7">
        <f>IF($A17="","", $B17+IF($D17="",0,$D17)-IF($E17="",0,$E17)-IF($F17="",0,$F17)+IF($G17="",0,$G17))</f>
        <v/>
      </c>
      <c r="I17" s="7">
        <f>IF($A17="","", $C17-IF($E17="",0,$E17)-IF($F17="",0,$F17)+IF($G17="",0,$G17))</f>
        <v/>
      </c>
      <c r="J17" s="7">
        <f>IF($A17="","", $H17-$I17)</f>
        <v/>
      </c>
      <c r="K17" s="4" t="n"/>
      <c r="L17" s="4" t="n"/>
    </row>
    <row r="18">
      <c r="A18" s="5" t="n"/>
      <c r="B18" s="7" t="n"/>
      <c r="C18" s="7" t="n"/>
      <c r="D18" s="7" t="n"/>
      <c r="E18" s="7" t="n"/>
      <c r="F18" s="7" t="n"/>
      <c r="G18" s="7" t="n"/>
      <c r="H18" s="7">
        <f>IF($A18="","", $B18+IF($D18="",0,$D18)-IF($E18="",0,$E18)-IF($F18="",0,$F18)+IF($G18="",0,$G18))</f>
        <v/>
      </c>
      <c r="I18" s="7">
        <f>IF($A18="","", $C18-IF($E18="",0,$E18)-IF($F18="",0,$F18)+IF($G18="",0,$G18))</f>
        <v/>
      </c>
      <c r="J18" s="7">
        <f>IF($A18="","", $H18-$I18)</f>
        <v/>
      </c>
      <c r="K18" s="4" t="n"/>
      <c r="L18" s="4" t="n"/>
    </row>
    <row r="19">
      <c r="A19" s="5" t="n"/>
      <c r="B19" s="7" t="n"/>
      <c r="C19" s="7" t="n"/>
      <c r="D19" s="7" t="n"/>
      <c r="E19" s="7" t="n"/>
      <c r="F19" s="7" t="n"/>
      <c r="G19" s="7" t="n"/>
      <c r="H19" s="7">
        <f>IF($A19="","", $B19+IF($D19="",0,$D19)-IF($E19="",0,$E19)-IF($F19="",0,$F19)+IF($G19="",0,$G19))</f>
        <v/>
      </c>
      <c r="I19" s="7">
        <f>IF($A19="","", $C19-IF($E19="",0,$E19)-IF($F19="",0,$F19)+IF($G19="",0,$G19))</f>
        <v/>
      </c>
      <c r="J19" s="7">
        <f>IF($A19="","", $H19-$I19)</f>
        <v/>
      </c>
      <c r="K19" s="4" t="n"/>
      <c r="L19" s="4" t="n"/>
    </row>
    <row r="20">
      <c r="A20" s="5" t="n"/>
      <c r="B20" s="7" t="n"/>
      <c r="C20" s="7" t="n"/>
      <c r="D20" s="7" t="n"/>
      <c r="E20" s="7" t="n"/>
      <c r="F20" s="7" t="n"/>
      <c r="G20" s="7" t="n"/>
      <c r="H20" s="7">
        <f>IF($A20="","", $B20+IF($D20="",0,$D20)-IF($E20="",0,$E20)-IF($F20="",0,$F20)+IF($G20="",0,$G20))</f>
        <v/>
      </c>
      <c r="I20" s="7">
        <f>IF($A20="","", $C20-IF($E20="",0,$E20)-IF($F20="",0,$F20)+IF($G20="",0,$G20))</f>
        <v/>
      </c>
      <c r="J20" s="7">
        <f>IF($A20="","", $H20-$I20)</f>
        <v/>
      </c>
      <c r="K20" s="4" t="n"/>
      <c r="L20" s="4" t="n"/>
    </row>
    <row r="21">
      <c r="A21" s="5" t="n"/>
      <c r="B21" s="7" t="n"/>
      <c r="C21" s="7" t="n"/>
      <c r="D21" s="7" t="n"/>
      <c r="E21" s="7" t="n"/>
      <c r="F21" s="7" t="n"/>
      <c r="G21" s="7" t="n"/>
      <c r="H21" s="7">
        <f>IF($A21="","", $B21+IF($D21="",0,$D21)-IF($E21="",0,$E21)-IF($F21="",0,$F21)+IF($G21="",0,$G21))</f>
        <v/>
      </c>
      <c r="I21" s="7">
        <f>IF($A21="","", $C21-IF($E21="",0,$E21)-IF($F21="",0,$F21)+IF($G21="",0,$G21))</f>
        <v/>
      </c>
      <c r="J21" s="7">
        <f>IF($A21="","", $H21-$I21)</f>
        <v/>
      </c>
      <c r="K21" s="4" t="n"/>
      <c r="L21" s="4" t="n"/>
    </row>
    <row r="22">
      <c r="A22" s="5" t="n"/>
      <c r="B22" s="7" t="n"/>
      <c r="C22" s="7" t="n"/>
      <c r="D22" s="7" t="n"/>
      <c r="E22" s="7" t="n"/>
      <c r="F22" s="7" t="n"/>
      <c r="G22" s="7" t="n"/>
      <c r="H22" s="7">
        <f>IF($A22="","", $B22+IF($D22="",0,$D22)-IF($E22="",0,$E22)-IF($F22="",0,$F22)+IF($G22="",0,$G22))</f>
        <v/>
      </c>
      <c r="I22" s="7">
        <f>IF($A22="","", $C22-IF($E22="",0,$E22)-IF($F22="",0,$F22)+IF($G22="",0,$G22))</f>
        <v/>
      </c>
      <c r="J22" s="7">
        <f>IF($A22="","", $H22-$I22)</f>
        <v/>
      </c>
      <c r="K22" s="4" t="n"/>
      <c r="L22" s="4" t="n"/>
    </row>
    <row r="23">
      <c r="A23" s="5" t="n"/>
      <c r="B23" s="7" t="n"/>
      <c r="C23" s="7" t="n"/>
      <c r="D23" s="7" t="n"/>
      <c r="E23" s="7" t="n"/>
      <c r="F23" s="7" t="n"/>
      <c r="G23" s="7" t="n"/>
      <c r="H23" s="7">
        <f>IF($A23="","", $B23+IF($D23="",0,$D23)-IF($E23="",0,$E23)-IF($F23="",0,$F23)+IF($G23="",0,$G23))</f>
        <v/>
      </c>
      <c r="I23" s="7">
        <f>IF($A23="","", $C23-IF($E23="",0,$E23)-IF($F23="",0,$F23)+IF($G23="",0,$G23))</f>
        <v/>
      </c>
      <c r="J23" s="7">
        <f>IF($A23="","", $H23-$I23)</f>
        <v/>
      </c>
      <c r="K23" s="4" t="n"/>
      <c r="L23" s="4" t="n"/>
    </row>
    <row r="24">
      <c r="A24" s="5" t="n"/>
      <c r="B24" s="7" t="n"/>
      <c r="C24" s="7" t="n"/>
      <c r="D24" s="7" t="n"/>
      <c r="E24" s="7" t="n"/>
      <c r="F24" s="7" t="n"/>
      <c r="G24" s="7" t="n"/>
      <c r="H24" s="7">
        <f>IF($A24="","", $B24+IF($D24="",0,$D24)-IF($E24="",0,$E24)-IF($F24="",0,$F24)+IF($G24="",0,$G24))</f>
        <v/>
      </c>
      <c r="I24" s="7">
        <f>IF($A24="","", $C24-IF($E24="",0,$E24)-IF($F24="",0,$F24)+IF($G24="",0,$G24))</f>
        <v/>
      </c>
      <c r="J24" s="7">
        <f>IF($A24="","", $H24-$I24)</f>
        <v/>
      </c>
      <c r="K24" s="4" t="n"/>
      <c r="L24" s="4" t="n"/>
    </row>
    <row r="25">
      <c r="A25" s="5" t="n"/>
      <c r="B25" s="7" t="n"/>
      <c r="C25" s="7" t="n"/>
      <c r="D25" s="7" t="n"/>
      <c r="E25" s="7" t="n"/>
      <c r="F25" s="7" t="n"/>
      <c r="G25" s="7" t="n"/>
      <c r="H25" s="7">
        <f>IF($A25="","", $B25+IF($D25="",0,$D25)-IF($E25="",0,$E25)-IF($F25="",0,$F25)+IF($G25="",0,$G25))</f>
        <v/>
      </c>
      <c r="I25" s="7">
        <f>IF($A25="","", $C25-IF($E25="",0,$E25)-IF($F25="",0,$F25)+IF($G25="",0,$G25))</f>
        <v/>
      </c>
      <c r="J25" s="7">
        <f>IF($A25="","", $H25-$I25)</f>
        <v/>
      </c>
      <c r="K25" s="4" t="n"/>
      <c r="L25" s="4" t="n"/>
    </row>
    <row r="26">
      <c r="A26" s="5" t="n"/>
      <c r="B26" s="7" t="n"/>
      <c r="C26" s="7" t="n"/>
      <c r="D26" s="7" t="n"/>
      <c r="E26" s="7" t="n"/>
      <c r="F26" s="7" t="n"/>
      <c r="G26" s="7" t="n"/>
      <c r="H26" s="7">
        <f>IF($A26="","", $B26+IF($D26="",0,$D26)-IF($E26="",0,$E26)-IF($F26="",0,$F26)+IF($G26="",0,$G26))</f>
        <v/>
      </c>
      <c r="I26" s="7">
        <f>IF($A26="","", $C26-IF($E26="",0,$E26)-IF($F26="",0,$F26)+IF($G26="",0,$G26))</f>
        <v/>
      </c>
      <c r="J26" s="7">
        <f>IF($A26="","", $H26-$I26)</f>
        <v/>
      </c>
      <c r="K26" s="4" t="n"/>
      <c r="L26" s="4" t="n"/>
    </row>
    <row r="27">
      <c r="A27" s="5" t="n"/>
      <c r="B27" s="7" t="n"/>
      <c r="C27" s="7" t="n"/>
      <c r="D27" s="7" t="n"/>
      <c r="E27" s="7" t="n"/>
      <c r="F27" s="7" t="n"/>
      <c r="G27" s="7" t="n"/>
      <c r="H27" s="7">
        <f>IF($A27="","", $B27+IF($D27="",0,$D27)-IF($E27="",0,$E27)-IF($F27="",0,$F27)+IF($G27="",0,$G27))</f>
        <v/>
      </c>
      <c r="I27" s="7">
        <f>IF($A27="","", $C27-IF($E27="",0,$E27)-IF($F27="",0,$F27)+IF($G27="",0,$G27))</f>
        <v/>
      </c>
      <c r="J27" s="7">
        <f>IF($A27="","", $H27-$I27)</f>
        <v/>
      </c>
      <c r="K27" s="4" t="n"/>
      <c r="L27" s="4" t="n"/>
    </row>
    <row r="28">
      <c r="A28" s="5" t="n"/>
      <c r="B28" s="7" t="n"/>
      <c r="C28" s="7" t="n"/>
      <c r="D28" s="7" t="n"/>
      <c r="E28" s="7" t="n"/>
      <c r="F28" s="7" t="n"/>
      <c r="G28" s="7" t="n"/>
      <c r="H28" s="7">
        <f>IF($A28="","", $B28+IF($D28="",0,$D28)-IF($E28="",0,$E28)-IF($F28="",0,$F28)+IF($G28="",0,$G28))</f>
        <v/>
      </c>
      <c r="I28" s="7">
        <f>IF($A28="","", $C28-IF($E28="",0,$E28)-IF($F28="",0,$F28)+IF($G28="",0,$G28))</f>
        <v/>
      </c>
      <c r="J28" s="7">
        <f>IF($A28="","", $H28-$I28)</f>
        <v/>
      </c>
      <c r="K28" s="4" t="n"/>
      <c r="L28" s="4" t="n"/>
    </row>
    <row r="29">
      <c r="A29" s="5" t="n"/>
      <c r="B29" s="7" t="n"/>
      <c r="C29" s="7" t="n"/>
      <c r="D29" s="7" t="n"/>
      <c r="E29" s="7" t="n"/>
      <c r="F29" s="7" t="n"/>
      <c r="G29" s="7" t="n"/>
      <c r="H29" s="7">
        <f>IF($A29="","", $B29+IF($D29="",0,$D29)-IF($E29="",0,$E29)-IF($F29="",0,$F29)+IF($G29="",0,$G29))</f>
        <v/>
      </c>
      <c r="I29" s="7">
        <f>IF($A29="","", $C29-IF($E29="",0,$E29)-IF($F29="",0,$F29)+IF($G29="",0,$G29))</f>
        <v/>
      </c>
      <c r="J29" s="7">
        <f>IF($A29="","", $H29-$I29)</f>
        <v/>
      </c>
      <c r="K29" s="4" t="n"/>
      <c r="L29" s="4" t="n"/>
    </row>
    <row r="30">
      <c r="A30" s="5" t="n"/>
      <c r="B30" s="7" t="n"/>
      <c r="C30" s="7" t="n"/>
      <c r="D30" s="7" t="n"/>
      <c r="E30" s="7" t="n"/>
      <c r="F30" s="7" t="n"/>
      <c r="G30" s="7" t="n"/>
      <c r="H30" s="7">
        <f>IF($A30="","", $B30+IF($D30="",0,$D30)-IF($E30="",0,$E30)-IF($F30="",0,$F30)+IF($G30="",0,$G30))</f>
        <v/>
      </c>
      <c r="I30" s="7">
        <f>IF($A30="","", $C30-IF($E30="",0,$E30)-IF($F30="",0,$F30)+IF($G30="",0,$G30))</f>
        <v/>
      </c>
      <c r="J30" s="7">
        <f>IF($A30="","", $H30-$I30)</f>
        <v/>
      </c>
      <c r="K30" s="4" t="n"/>
      <c r="L30" s="4" t="n"/>
    </row>
    <row r="31">
      <c r="A31" s="5" t="n"/>
      <c r="B31" s="7" t="n"/>
      <c r="C31" s="7" t="n"/>
      <c r="D31" s="7" t="n"/>
      <c r="E31" s="7" t="n"/>
      <c r="F31" s="7" t="n"/>
      <c r="G31" s="7" t="n"/>
      <c r="H31" s="7">
        <f>IF($A31="","", $B31+IF($D31="",0,$D31)-IF($E31="",0,$E31)-IF($F31="",0,$F31)+IF($G31="",0,$G31))</f>
        <v/>
      </c>
      <c r="I31" s="7">
        <f>IF($A31="","", $C31-IF($E31="",0,$E31)-IF($F31="",0,$F31)+IF($G31="",0,$G31))</f>
        <v/>
      </c>
      <c r="J31" s="7">
        <f>IF($A31="","", $H31-$I31)</f>
        <v/>
      </c>
      <c r="K31" s="4" t="n"/>
      <c r="L31" s="4" t="n"/>
    </row>
    <row r="32">
      <c r="A32" s="5" t="n"/>
      <c r="B32" s="7" t="n"/>
      <c r="C32" s="7" t="n"/>
      <c r="D32" s="7" t="n"/>
      <c r="E32" s="7" t="n"/>
      <c r="F32" s="7" t="n"/>
      <c r="G32" s="7" t="n"/>
      <c r="H32" s="7">
        <f>IF($A32="","", $B32+IF($D32="",0,$D32)-IF($E32="",0,$E32)-IF($F32="",0,$F32)+IF($G32="",0,$G32))</f>
        <v/>
      </c>
      <c r="I32" s="7">
        <f>IF($A32="","", $C32-IF($E32="",0,$E32)-IF($F32="",0,$F32)+IF($G32="",0,$G32))</f>
        <v/>
      </c>
      <c r="J32" s="7">
        <f>IF($A32="","", $H32-$I32)</f>
        <v/>
      </c>
      <c r="K32" s="4" t="n"/>
      <c r="L32" s="4" t="n"/>
    </row>
    <row r="33">
      <c r="A33" s="5" t="n"/>
      <c r="B33" s="7" t="n"/>
      <c r="C33" s="7" t="n"/>
      <c r="D33" s="7" t="n"/>
      <c r="E33" s="7" t="n"/>
      <c r="F33" s="7" t="n"/>
      <c r="G33" s="7" t="n"/>
      <c r="H33" s="7">
        <f>IF($A33="","", $B33+IF($D33="",0,$D33)-IF($E33="",0,$E33)-IF($F33="",0,$F33)+IF($G33="",0,$G33))</f>
        <v/>
      </c>
      <c r="I33" s="7">
        <f>IF($A33="","", $C33-IF($E33="",0,$E33)-IF($F33="",0,$F33)+IF($G33="",0,$G33))</f>
        <v/>
      </c>
      <c r="J33" s="7">
        <f>IF($A33="","", $H33-$I33)</f>
        <v/>
      </c>
      <c r="K33" s="4" t="n"/>
      <c r="L33" s="4" t="n"/>
    </row>
    <row r="34">
      <c r="A34" s="5" t="n"/>
      <c r="B34" s="7" t="n"/>
      <c r="C34" s="7" t="n"/>
      <c r="D34" s="7" t="n"/>
      <c r="E34" s="7" t="n"/>
      <c r="F34" s="7" t="n"/>
      <c r="G34" s="7" t="n"/>
      <c r="H34" s="7">
        <f>IF($A34="","", $B34+IF($D34="",0,$D34)-IF($E34="",0,$E34)-IF($F34="",0,$F34)+IF($G34="",0,$G34))</f>
        <v/>
      </c>
      <c r="I34" s="7">
        <f>IF($A34="","", $C34-IF($E34="",0,$E34)-IF($F34="",0,$F34)+IF($G34="",0,$G34))</f>
        <v/>
      </c>
      <c r="J34" s="7">
        <f>IF($A34="","", $H34-$I34)</f>
        <v/>
      </c>
      <c r="K34" s="4" t="n"/>
      <c r="L34" s="4" t="n"/>
    </row>
    <row r="35">
      <c r="A35" s="5" t="n"/>
      <c r="B35" s="7" t="n"/>
      <c r="C35" s="7" t="n"/>
      <c r="D35" s="7" t="n"/>
      <c r="E35" s="7" t="n"/>
      <c r="F35" s="7" t="n"/>
      <c r="G35" s="7" t="n"/>
      <c r="H35" s="7">
        <f>IF($A35="","", $B35+IF($D35="",0,$D35)-IF($E35="",0,$E35)-IF($F35="",0,$F35)+IF($G35="",0,$G35))</f>
        <v/>
      </c>
      <c r="I35" s="7">
        <f>IF($A35="","", $C35-IF($E35="",0,$E35)-IF($F35="",0,$F35)+IF($G35="",0,$G35))</f>
        <v/>
      </c>
      <c r="J35" s="7">
        <f>IF($A35="","", $H35-$I35)</f>
        <v/>
      </c>
      <c r="K35" s="4" t="n"/>
      <c r="L35" s="4" t="n"/>
    </row>
    <row r="36">
      <c r="A36" s="5" t="n"/>
      <c r="B36" s="7" t="n"/>
      <c r="C36" s="7" t="n"/>
      <c r="D36" s="7" t="n"/>
      <c r="E36" s="7" t="n"/>
      <c r="F36" s="7" t="n"/>
      <c r="G36" s="7" t="n"/>
      <c r="H36" s="7">
        <f>IF($A36="","", $B36+IF($D36="",0,$D36)-IF($E36="",0,$E36)-IF($F36="",0,$F36)+IF($G36="",0,$G36))</f>
        <v/>
      </c>
      <c r="I36" s="7">
        <f>IF($A36="","", $C36-IF($E36="",0,$E36)-IF($F36="",0,$F36)+IF($G36="",0,$G36))</f>
        <v/>
      </c>
      <c r="J36" s="7">
        <f>IF($A36="","", $H36-$I36)</f>
        <v/>
      </c>
      <c r="K36" s="4" t="n"/>
      <c r="L36" s="4" t="n"/>
    </row>
    <row r="37">
      <c r="A37" s="5" t="n"/>
      <c r="B37" s="7" t="n"/>
      <c r="C37" s="7" t="n"/>
      <c r="D37" s="7" t="n"/>
      <c r="E37" s="7" t="n"/>
      <c r="F37" s="7" t="n"/>
      <c r="G37" s="7" t="n"/>
      <c r="H37" s="7">
        <f>IF($A37="","", $B37+IF($D37="",0,$D37)-IF($E37="",0,$E37)-IF($F37="",0,$F37)+IF($G37="",0,$G37))</f>
        <v/>
      </c>
      <c r="I37" s="7">
        <f>IF($A37="","", $C37-IF($E37="",0,$E37)-IF($F37="",0,$F37)+IF($G37="",0,$G37))</f>
        <v/>
      </c>
      <c r="J37" s="7">
        <f>IF($A37="","", $H37-$I37)</f>
        <v/>
      </c>
      <c r="K37" s="4" t="n"/>
      <c r="L37" s="4" t="n"/>
    </row>
    <row r="38">
      <c r="A38" s="5" t="n"/>
      <c r="B38" s="7" t="n"/>
      <c r="C38" s="7" t="n"/>
      <c r="D38" s="7" t="n"/>
      <c r="E38" s="7" t="n"/>
      <c r="F38" s="7" t="n"/>
      <c r="G38" s="7" t="n"/>
      <c r="H38" s="7">
        <f>IF($A38="","", $B38+IF($D38="",0,$D38)-IF($E38="",0,$E38)-IF($F38="",0,$F38)+IF($G38="",0,$G38))</f>
        <v/>
      </c>
      <c r="I38" s="7">
        <f>IF($A38="","", $C38-IF($E38="",0,$E38)-IF($F38="",0,$F38)+IF($G38="",0,$G38))</f>
        <v/>
      </c>
      <c r="J38" s="7">
        <f>IF($A38="","", $H38-$I38)</f>
        <v/>
      </c>
      <c r="K38" s="4" t="n"/>
      <c r="L38" s="4" t="n"/>
    </row>
    <row r="39">
      <c r="A39" s="5" t="n"/>
      <c r="B39" s="7" t="n"/>
      <c r="C39" s="7" t="n"/>
      <c r="D39" s="7" t="n"/>
      <c r="E39" s="7" t="n"/>
      <c r="F39" s="7" t="n"/>
      <c r="G39" s="7" t="n"/>
      <c r="H39" s="7">
        <f>IF($A39="","", $B39+IF($D39="",0,$D39)-IF($E39="",0,$E39)-IF($F39="",0,$F39)+IF($G39="",0,$G39))</f>
        <v/>
      </c>
      <c r="I39" s="7">
        <f>IF($A39="","", $C39-IF($E39="",0,$E39)-IF($F39="",0,$F39)+IF($G39="",0,$G39))</f>
        <v/>
      </c>
      <c r="J39" s="7">
        <f>IF($A39="","", $H39-$I39)</f>
        <v/>
      </c>
      <c r="K39" s="4" t="n"/>
      <c r="L39" s="4" t="n"/>
    </row>
    <row r="40">
      <c r="A40" s="5" t="n"/>
      <c r="B40" s="7" t="n"/>
      <c r="C40" s="7" t="n"/>
      <c r="D40" s="7" t="n"/>
      <c r="E40" s="7" t="n"/>
      <c r="F40" s="7" t="n"/>
      <c r="G40" s="7" t="n"/>
      <c r="H40" s="7">
        <f>IF($A40="","", $B40+IF($D40="",0,$D40)-IF($E40="",0,$E40)-IF($F40="",0,$F40)+IF($G40="",0,$G40))</f>
        <v/>
      </c>
      <c r="I40" s="7">
        <f>IF($A40="","", $C40-IF($E40="",0,$E40)-IF($F40="",0,$F40)+IF($G40="",0,$G40))</f>
        <v/>
      </c>
      <c r="J40" s="7">
        <f>IF($A40="","", $H40-$I40)</f>
        <v/>
      </c>
      <c r="K40" s="4" t="n"/>
      <c r="L40" s="4" t="n"/>
    </row>
    <row r="41">
      <c r="A41" s="5" t="n"/>
      <c r="B41" s="7" t="n"/>
      <c r="C41" s="7" t="n"/>
      <c r="D41" s="7" t="n"/>
      <c r="E41" s="7" t="n"/>
      <c r="F41" s="7" t="n"/>
      <c r="G41" s="7" t="n"/>
      <c r="H41" s="7">
        <f>IF($A41="","", $B41+IF($D41="",0,$D41)-IF($E41="",0,$E41)-IF($F41="",0,$F41)+IF($G41="",0,$G41))</f>
        <v/>
      </c>
      <c r="I41" s="7">
        <f>IF($A41="","", $C41-IF($E41="",0,$E41)-IF($F41="",0,$F41)+IF($G41="",0,$G41))</f>
        <v/>
      </c>
      <c r="J41" s="7">
        <f>IF($A41="","", $H41-$I41)</f>
        <v/>
      </c>
      <c r="K41" s="4" t="n"/>
      <c r="L41" s="4" t="n"/>
    </row>
    <row r="42">
      <c r="A42" s="5" t="n"/>
      <c r="B42" s="7" t="n"/>
      <c r="C42" s="7" t="n"/>
      <c r="D42" s="7" t="n"/>
      <c r="E42" s="7" t="n"/>
      <c r="F42" s="7" t="n"/>
      <c r="G42" s="7" t="n"/>
      <c r="H42" s="7">
        <f>IF($A42="","", $B42+IF($D42="",0,$D42)-IF($E42="",0,$E42)-IF($F42="",0,$F42)+IF($G42="",0,$G42))</f>
        <v/>
      </c>
      <c r="I42" s="7">
        <f>IF($A42="","", $C42-IF($E42="",0,$E42)-IF($F42="",0,$F42)+IF($G42="",0,$G42))</f>
        <v/>
      </c>
      <c r="J42" s="7">
        <f>IF($A42="","", $H42-$I42)</f>
        <v/>
      </c>
      <c r="K42" s="4" t="n"/>
      <c r="L42" s="4" t="n"/>
    </row>
    <row r="43">
      <c r="A43" s="5" t="n"/>
      <c r="B43" s="7" t="n"/>
      <c r="C43" s="7" t="n"/>
      <c r="D43" s="7" t="n"/>
      <c r="E43" s="7" t="n"/>
      <c r="F43" s="7" t="n"/>
      <c r="G43" s="7" t="n"/>
      <c r="H43" s="7">
        <f>IF($A43="","", $B43+IF($D43="",0,$D43)-IF($E43="",0,$E43)-IF($F43="",0,$F43)+IF($G43="",0,$G43))</f>
        <v/>
      </c>
      <c r="I43" s="7">
        <f>IF($A43="","", $C43-IF($E43="",0,$E43)-IF($F43="",0,$F43)+IF($G43="",0,$G43))</f>
        <v/>
      </c>
      <c r="J43" s="7">
        <f>IF($A43="","", $H43-$I43)</f>
        <v/>
      </c>
      <c r="K43" s="4" t="n"/>
      <c r="L43" s="4" t="n"/>
    </row>
    <row r="44">
      <c r="A44" s="5" t="n"/>
      <c r="B44" s="7" t="n"/>
      <c r="C44" s="7" t="n"/>
      <c r="D44" s="7" t="n"/>
      <c r="E44" s="7" t="n"/>
      <c r="F44" s="7" t="n"/>
      <c r="G44" s="7" t="n"/>
      <c r="H44" s="7">
        <f>IF($A44="","", $B44+IF($D44="",0,$D44)-IF($E44="",0,$E44)-IF($F44="",0,$F44)+IF($G44="",0,$G44))</f>
        <v/>
      </c>
      <c r="I44" s="7">
        <f>IF($A44="","", $C44-IF($E44="",0,$E44)-IF($F44="",0,$F44)+IF($G44="",0,$G44))</f>
        <v/>
      </c>
      <c r="J44" s="7">
        <f>IF($A44="","", $H44-$I44)</f>
        <v/>
      </c>
      <c r="K44" s="4" t="n"/>
      <c r="L44" s="4" t="n"/>
    </row>
    <row r="45">
      <c r="A45" s="5" t="n"/>
      <c r="B45" s="7" t="n"/>
      <c r="C45" s="7" t="n"/>
      <c r="D45" s="7" t="n"/>
      <c r="E45" s="7" t="n"/>
      <c r="F45" s="7" t="n"/>
      <c r="G45" s="7" t="n"/>
      <c r="H45" s="7">
        <f>IF($A45="","", $B45+IF($D45="",0,$D45)-IF($E45="",0,$E45)-IF($F45="",0,$F45)+IF($G45="",0,$G45))</f>
        <v/>
      </c>
      <c r="I45" s="7">
        <f>IF($A45="","", $C45-IF($E45="",0,$E45)-IF($F45="",0,$F45)+IF($G45="",0,$G45))</f>
        <v/>
      </c>
      <c r="J45" s="7">
        <f>IF($A45="","", $H45-$I45)</f>
        <v/>
      </c>
      <c r="K45" s="4" t="n"/>
      <c r="L45" s="4" t="n"/>
    </row>
    <row r="46">
      <c r="A46" s="5" t="n"/>
      <c r="B46" s="7" t="n"/>
      <c r="C46" s="7" t="n"/>
      <c r="D46" s="7" t="n"/>
      <c r="E46" s="7" t="n"/>
      <c r="F46" s="7" t="n"/>
      <c r="G46" s="7" t="n"/>
      <c r="H46" s="7">
        <f>IF($A46="","", $B46+IF($D46="",0,$D46)-IF($E46="",0,$E46)-IF($F46="",0,$F46)+IF($G46="",0,$G46))</f>
        <v/>
      </c>
      <c r="I46" s="7">
        <f>IF($A46="","", $C46-IF($E46="",0,$E46)-IF($F46="",0,$F46)+IF($G46="",0,$G46))</f>
        <v/>
      </c>
      <c r="J46" s="7">
        <f>IF($A46="","", $H46-$I46)</f>
        <v/>
      </c>
      <c r="K46" s="4" t="n"/>
      <c r="L46" s="4" t="n"/>
    </row>
    <row r="47">
      <c r="A47" s="5" t="n"/>
      <c r="B47" s="7" t="n"/>
      <c r="C47" s="7" t="n"/>
      <c r="D47" s="7" t="n"/>
      <c r="E47" s="7" t="n"/>
      <c r="F47" s="7" t="n"/>
      <c r="G47" s="7" t="n"/>
      <c r="H47" s="7">
        <f>IF($A47="","", $B47+IF($D47="",0,$D47)-IF($E47="",0,$E47)-IF($F47="",0,$F47)+IF($G47="",0,$G47))</f>
        <v/>
      </c>
      <c r="I47" s="7">
        <f>IF($A47="","", $C47-IF($E47="",0,$E47)-IF($F47="",0,$F47)+IF($G47="",0,$G47))</f>
        <v/>
      </c>
      <c r="J47" s="7">
        <f>IF($A47="","", $H47-$I47)</f>
        <v/>
      </c>
      <c r="K47" s="4" t="n"/>
      <c r="L47" s="4" t="n"/>
    </row>
    <row r="48">
      <c r="A48" s="5" t="n"/>
      <c r="B48" s="7" t="n"/>
      <c r="C48" s="7" t="n"/>
      <c r="D48" s="7" t="n"/>
      <c r="E48" s="7" t="n"/>
      <c r="F48" s="7" t="n"/>
      <c r="G48" s="7" t="n"/>
      <c r="H48" s="7">
        <f>IF($A48="","", $B48+IF($D48="",0,$D48)-IF($E48="",0,$E48)-IF($F48="",0,$F48)+IF($G48="",0,$G48))</f>
        <v/>
      </c>
      <c r="I48" s="7">
        <f>IF($A48="","", $C48-IF($E48="",0,$E48)-IF($F48="",0,$F48)+IF($G48="",0,$G48))</f>
        <v/>
      </c>
      <c r="J48" s="7">
        <f>IF($A48="","", $H48-$I48)</f>
        <v/>
      </c>
      <c r="K48" s="4" t="n"/>
      <c r="L48" s="4" t="n"/>
    </row>
    <row r="49">
      <c r="A49" s="5" t="n"/>
      <c r="B49" s="7" t="n"/>
      <c r="C49" s="7" t="n"/>
      <c r="D49" s="7" t="n"/>
      <c r="E49" s="7" t="n"/>
      <c r="F49" s="7" t="n"/>
      <c r="G49" s="7" t="n"/>
      <c r="H49" s="7">
        <f>IF($A49="","", $B49+IF($D49="",0,$D49)-IF($E49="",0,$E49)-IF($F49="",0,$F49)+IF($G49="",0,$G49))</f>
        <v/>
      </c>
      <c r="I49" s="7">
        <f>IF($A49="","", $C49-IF($E49="",0,$E49)-IF($F49="",0,$F49)+IF($G49="",0,$G49))</f>
        <v/>
      </c>
      <c r="J49" s="7">
        <f>IF($A49="","", $H49-$I49)</f>
        <v/>
      </c>
      <c r="K49" s="4" t="n"/>
      <c r="L49" s="4" t="n"/>
    </row>
    <row r="50">
      <c r="A50" s="5" t="n"/>
      <c r="B50" s="7" t="n"/>
      <c r="C50" s="7" t="n"/>
      <c r="D50" s="7" t="n"/>
      <c r="E50" s="7" t="n"/>
      <c r="F50" s="7" t="n"/>
      <c r="G50" s="7" t="n"/>
      <c r="H50" s="7">
        <f>IF($A50="","", $B50+IF($D50="",0,$D50)-IF($E50="",0,$E50)-IF($F50="",0,$F50)+IF($G50="",0,$G50))</f>
        <v/>
      </c>
      <c r="I50" s="7">
        <f>IF($A50="","", $C50-IF($E50="",0,$E50)-IF($F50="",0,$F50)+IF($G50="",0,$G50))</f>
        <v/>
      </c>
      <c r="J50" s="7">
        <f>IF($A50="","", $H50-$I50)</f>
        <v/>
      </c>
      <c r="K50" s="4" t="n"/>
      <c r="L50" s="4" t="n"/>
    </row>
    <row r="51">
      <c r="A51" s="5" t="n"/>
      <c r="B51" s="7" t="n"/>
      <c r="C51" s="7" t="n"/>
      <c r="D51" s="7" t="n"/>
      <c r="E51" s="7" t="n"/>
      <c r="F51" s="7" t="n"/>
      <c r="G51" s="7" t="n"/>
      <c r="H51" s="7">
        <f>IF($A51="","", $B51+IF($D51="",0,$D51)-IF($E51="",0,$E51)-IF($F51="",0,$F51)+IF($G51="",0,$G51))</f>
        <v/>
      </c>
      <c r="I51" s="7">
        <f>IF($A51="","", $C51-IF($E51="",0,$E51)-IF($F51="",0,$F51)+IF($G51="",0,$G51))</f>
        <v/>
      </c>
      <c r="J51" s="7">
        <f>IF($A51="","", $H51-$I51)</f>
        <v/>
      </c>
      <c r="K51" s="4" t="n"/>
      <c r="L51" s="4" t="n"/>
    </row>
    <row r="52">
      <c r="A52" s="5" t="n"/>
      <c r="B52" s="7" t="n"/>
      <c r="C52" s="7" t="n"/>
      <c r="D52" s="7" t="n"/>
      <c r="E52" s="7" t="n"/>
      <c r="F52" s="7" t="n"/>
      <c r="G52" s="7" t="n"/>
      <c r="H52" s="7">
        <f>IF($A52="","", $B52+IF($D52="",0,$D52)-IF($E52="",0,$E52)-IF($F52="",0,$F52)+IF($G52="",0,$G52))</f>
        <v/>
      </c>
      <c r="I52" s="7">
        <f>IF($A52="","", $C52-IF($E52="",0,$E52)-IF($F52="",0,$F52)+IF($G52="",0,$G52))</f>
        <v/>
      </c>
      <c r="J52" s="7">
        <f>IF($A52="","", $H52-$I52)</f>
        <v/>
      </c>
      <c r="K52" s="4" t="n"/>
      <c r="L52" s="4" t="n"/>
    </row>
    <row r="53">
      <c r="A53" s="5" t="n"/>
      <c r="B53" s="7" t="n"/>
      <c r="C53" s="7" t="n"/>
      <c r="D53" s="7" t="n"/>
      <c r="E53" s="7" t="n"/>
      <c r="F53" s="7" t="n"/>
      <c r="G53" s="7" t="n"/>
      <c r="H53" s="7">
        <f>IF($A53="","", $B53+IF($D53="",0,$D53)-IF($E53="",0,$E53)-IF($F53="",0,$F53)+IF($G53="",0,$G53))</f>
        <v/>
      </c>
      <c r="I53" s="7">
        <f>IF($A53="","", $C53-IF($E53="",0,$E53)-IF($F53="",0,$F53)+IF($G53="",0,$G53))</f>
        <v/>
      </c>
      <c r="J53" s="7">
        <f>IF($A53="","", $H53-$I53)</f>
        <v/>
      </c>
      <c r="K53" s="4" t="n"/>
      <c r="L53" s="4" t="n"/>
    </row>
    <row r="54">
      <c r="A54" s="5" t="n"/>
      <c r="B54" s="7" t="n"/>
      <c r="C54" s="7" t="n"/>
      <c r="D54" s="7" t="n"/>
      <c r="E54" s="7" t="n"/>
      <c r="F54" s="7" t="n"/>
      <c r="G54" s="7" t="n"/>
      <c r="H54" s="7">
        <f>IF($A54="","", $B54+IF($D54="",0,$D54)-IF($E54="",0,$E54)-IF($F54="",0,$F54)+IF($G54="",0,$G54))</f>
        <v/>
      </c>
      <c r="I54" s="7">
        <f>IF($A54="","", $C54-IF($E54="",0,$E54)-IF($F54="",0,$F54)+IF($G54="",0,$G54))</f>
        <v/>
      </c>
      <c r="J54" s="7">
        <f>IF($A54="","", $H54-$I54)</f>
        <v/>
      </c>
      <c r="K54" s="4" t="n"/>
      <c r="L54" s="4" t="n"/>
    </row>
    <row r="55">
      <c r="A55" s="5" t="n"/>
      <c r="B55" s="7" t="n"/>
      <c r="C55" s="7" t="n"/>
      <c r="D55" s="7" t="n"/>
      <c r="E55" s="7" t="n"/>
      <c r="F55" s="7" t="n"/>
      <c r="G55" s="7" t="n"/>
      <c r="H55" s="7">
        <f>IF($A55="","", $B55+IF($D55="",0,$D55)-IF($E55="",0,$E55)-IF($F55="",0,$F55)+IF($G55="",0,$G55))</f>
        <v/>
      </c>
      <c r="I55" s="7">
        <f>IF($A55="","", $C55-IF($E55="",0,$E55)-IF($F55="",0,$F55)+IF($G55="",0,$G55))</f>
        <v/>
      </c>
      <c r="J55" s="7">
        <f>IF($A55="","", $H55-$I55)</f>
        <v/>
      </c>
      <c r="K55" s="4" t="n"/>
      <c r="L55" s="4" t="n"/>
    </row>
    <row r="56">
      <c r="A56" s="5" t="n"/>
      <c r="B56" s="7" t="n"/>
      <c r="C56" s="7" t="n"/>
      <c r="D56" s="7" t="n"/>
      <c r="E56" s="7" t="n"/>
      <c r="F56" s="7" t="n"/>
      <c r="G56" s="7" t="n"/>
      <c r="H56" s="7">
        <f>IF($A56="","", $B56+IF($D56="",0,$D56)-IF($E56="",0,$E56)-IF($F56="",0,$F56)+IF($G56="",0,$G56))</f>
        <v/>
      </c>
      <c r="I56" s="7">
        <f>IF($A56="","", $C56-IF($E56="",0,$E56)-IF($F56="",0,$F56)+IF($G56="",0,$G56))</f>
        <v/>
      </c>
      <c r="J56" s="7">
        <f>IF($A56="","", $H56-$I56)</f>
        <v/>
      </c>
      <c r="K56" s="4" t="n"/>
      <c r="L56" s="4" t="n"/>
    </row>
    <row r="57">
      <c r="A57" s="5" t="n"/>
      <c r="B57" s="7" t="n"/>
      <c r="C57" s="7" t="n"/>
      <c r="D57" s="7" t="n"/>
      <c r="E57" s="7" t="n"/>
      <c r="F57" s="7" t="n"/>
      <c r="G57" s="7" t="n"/>
      <c r="H57" s="7">
        <f>IF($A57="","", $B57+IF($D57="",0,$D57)-IF($E57="",0,$E57)-IF($F57="",0,$F57)+IF($G57="",0,$G57))</f>
        <v/>
      </c>
      <c r="I57" s="7">
        <f>IF($A57="","", $C57-IF($E57="",0,$E57)-IF($F57="",0,$F57)+IF($G57="",0,$G57))</f>
        <v/>
      </c>
      <c r="J57" s="7">
        <f>IF($A57="","", $H57-$I57)</f>
        <v/>
      </c>
      <c r="K57" s="4" t="n"/>
      <c r="L57" s="4" t="n"/>
    </row>
    <row r="58">
      <c r="A58" s="5" t="n"/>
      <c r="B58" s="7" t="n"/>
      <c r="C58" s="7" t="n"/>
      <c r="D58" s="7" t="n"/>
      <c r="E58" s="7" t="n"/>
      <c r="F58" s="7" t="n"/>
      <c r="G58" s="7" t="n"/>
      <c r="H58" s="7">
        <f>IF($A58="","", $B58+IF($D58="",0,$D58)-IF($E58="",0,$E58)-IF($F58="",0,$F58)+IF($G58="",0,$G58))</f>
        <v/>
      </c>
      <c r="I58" s="7">
        <f>IF($A58="","", $C58-IF($E58="",0,$E58)-IF($F58="",0,$F58)+IF($G58="",0,$G58))</f>
        <v/>
      </c>
      <c r="J58" s="7">
        <f>IF($A58="","", $H58-$I58)</f>
        <v/>
      </c>
      <c r="K58" s="4" t="n"/>
      <c r="L58" s="4" t="n"/>
    </row>
    <row r="59">
      <c r="A59" s="5" t="n"/>
      <c r="B59" s="7" t="n"/>
      <c r="C59" s="7" t="n"/>
      <c r="D59" s="7" t="n"/>
      <c r="E59" s="7" t="n"/>
      <c r="F59" s="7" t="n"/>
      <c r="G59" s="7" t="n"/>
      <c r="H59" s="7">
        <f>IF($A59="","", $B59+IF($D59="",0,$D59)-IF($E59="",0,$E59)-IF($F59="",0,$F59)+IF($G59="",0,$G59))</f>
        <v/>
      </c>
      <c r="I59" s="7">
        <f>IF($A59="","", $C59-IF($E59="",0,$E59)-IF($F59="",0,$F59)+IF($G59="",0,$G59))</f>
        <v/>
      </c>
      <c r="J59" s="7">
        <f>IF($A59="","", $H59-$I59)</f>
        <v/>
      </c>
      <c r="K59" s="4" t="n"/>
      <c r="L59" s="4" t="n"/>
    </row>
    <row r="60">
      <c r="A60" s="5" t="n"/>
      <c r="B60" s="7" t="n"/>
      <c r="C60" s="7" t="n"/>
      <c r="D60" s="7" t="n"/>
      <c r="E60" s="7" t="n"/>
      <c r="F60" s="7" t="n"/>
      <c r="G60" s="7" t="n"/>
      <c r="H60" s="7">
        <f>IF($A60="","", $B60+IF($D60="",0,$D60)-IF($E60="",0,$E60)-IF($F60="",0,$F60)+IF($G60="",0,$G60))</f>
        <v/>
      </c>
      <c r="I60" s="7">
        <f>IF($A60="","", $C60-IF($E60="",0,$E60)-IF($F60="",0,$F60)+IF($G60="",0,$G60))</f>
        <v/>
      </c>
      <c r="J60" s="7">
        <f>IF($A60="","", $H60-$I60)</f>
        <v/>
      </c>
      <c r="K60" s="4" t="n"/>
      <c r="L60" s="4" t="n"/>
    </row>
    <row r="61">
      <c r="A61" s="5" t="n"/>
      <c r="B61" s="7" t="n"/>
      <c r="C61" s="7" t="n"/>
      <c r="D61" s="7" t="n"/>
      <c r="E61" s="7" t="n"/>
      <c r="F61" s="7" t="n"/>
      <c r="G61" s="7" t="n"/>
      <c r="H61" s="7">
        <f>IF($A61="","", $B61+IF($D61="",0,$D61)-IF($E61="",0,$E61)-IF($F61="",0,$F61)+IF($G61="",0,$G61))</f>
        <v/>
      </c>
      <c r="I61" s="7">
        <f>IF($A61="","", $C61-IF($E61="",0,$E61)-IF($F61="",0,$F61)+IF($G61="",0,$G61))</f>
        <v/>
      </c>
      <c r="J61" s="7">
        <f>IF($A61="","", $H61-$I61)</f>
        <v/>
      </c>
      <c r="K61" s="4" t="n"/>
      <c r="L61" s="4" t="n"/>
    </row>
    <row r="62">
      <c r="A62" s="5" t="n"/>
      <c r="B62" s="7" t="n"/>
      <c r="C62" s="7" t="n"/>
      <c r="D62" s="7" t="n"/>
      <c r="E62" s="7" t="n"/>
      <c r="F62" s="7" t="n"/>
      <c r="G62" s="7" t="n"/>
      <c r="H62" s="7">
        <f>IF($A62="","", $B62+IF($D62="",0,$D62)-IF($E62="",0,$E62)-IF($F62="",0,$F62)+IF($G62="",0,$G62))</f>
        <v/>
      </c>
      <c r="I62" s="7">
        <f>IF($A62="","", $C62-IF($E62="",0,$E62)-IF($F62="",0,$F62)+IF($G62="",0,$G62))</f>
        <v/>
      </c>
      <c r="J62" s="7">
        <f>IF($A62="","", $H62-$I62)</f>
        <v/>
      </c>
      <c r="K62" s="4" t="n"/>
      <c r="L62" s="4" t="n"/>
    </row>
    <row r="63">
      <c r="A63" s="5" t="n"/>
      <c r="B63" s="7" t="n"/>
      <c r="C63" s="7" t="n"/>
      <c r="D63" s="7" t="n"/>
      <c r="E63" s="7" t="n"/>
      <c r="F63" s="7" t="n"/>
      <c r="G63" s="7" t="n"/>
      <c r="H63" s="7">
        <f>IF($A63="","", $B63+IF($D63="",0,$D63)-IF($E63="",0,$E63)-IF($F63="",0,$F63)+IF($G63="",0,$G63))</f>
        <v/>
      </c>
      <c r="I63" s="7">
        <f>IF($A63="","", $C63-IF($E63="",0,$E63)-IF($F63="",0,$F63)+IF($G63="",0,$G63))</f>
        <v/>
      </c>
      <c r="J63" s="7">
        <f>IF($A63="","", $H63-$I63)</f>
        <v/>
      </c>
      <c r="K63" s="4" t="n"/>
      <c r="L63" s="4" t="n"/>
    </row>
    <row r="64">
      <c r="A64" s="5" t="n"/>
      <c r="B64" s="7" t="n"/>
      <c r="C64" s="7" t="n"/>
      <c r="D64" s="7" t="n"/>
      <c r="E64" s="7" t="n"/>
      <c r="F64" s="7" t="n"/>
      <c r="G64" s="7" t="n"/>
      <c r="H64" s="7">
        <f>IF($A64="","", $B64+IF($D64="",0,$D64)-IF($E64="",0,$E64)-IF($F64="",0,$F64)+IF($G64="",0,$G64))</f>
        <v/>
      </c>
      <c r="I64" s="7">
        <f>IF($A64="","", $C64-IF($E64="",0,$E64)-IF($F64="",0,$F64)+IF($G64="",0,$G64))</f>
        <v/>
      </c>
      <c r="J64" s="7">
        <f>IF($A64="","", $H64-$I64)</f>
        <v/>
      </c>
      <c r="K64" s="4" t="n"/>
      <c r="L64" s="4" t="n"/>
    </row>
    <row r="65">
      <c r="A65" s="5" t="n"/>
      <c r="B65" s="7" t="n"/>
      <c r="C65" s="7" t="n"/>
      <c r="D65" s="7" t="n"/>
      <c r="E65" s="7" t="n"/>
      <c r="F65" s="7" t="n"/>
      <c r="G65" s="7" t="n"/>
      <c r="H65" s="7">
        <f>IF($A65="","", $B65+IF($D65="",0,$D65)-IF($E65="",0,$E65)-IF($F65="",0,$F65)+IF($G65="",0,$G65))</f>
        <v/>
      </c>
      <c r="I65" s="7">
        <f>IF($A65="","", $C65-IF($E65="",0,$E65)-IF($F65="",0,$F65)+IF($G65="",0,$G65))</f>
        <v/>
      </c>
      <c r="J65" s="7">
        <f>IF($A65="","", $H65-$I65)</f>
        <v/>
      </c>
      <c r="K65" s="4" t="n"/>
      <c r="L65" s="4" t="n"/>
    </row>
    <row r="66">
      <c r="A66" s="5" t="n"/>
      <c r="B66" s="7" t="n"/>
      <c r="C66" s="7" t="n"/>
      <c r="D66" s="7" t="n"/>
      <c r="E66" s="7" t="n"/>
      <c r="F66" s="7" t="n"/>
      <c r="G66" s="7" t="n"/>
      <c r="H66" s="7">
        <f>IF($A66="","", $B66+IF($D66="",0,$D66)-IF($E66="",0,$E66)-IF($F66="",0,$F66)+IF($G66="",0,$G66))</f>
        <v/>
      </c>
      <c r="I66" s="7">
        <f>IF($A66="","", $C66-IF($E66="",0,$E66)-IF($F66="",0,$F66)+IF($G66="",0,$G66))</f>
        <v/>
      </c>
      <c r="J66" s="7">
        <f>IF($A66="","", $H66-$I66)</f>
        <v/>
      </c>
      <c r="K66" s="4" t="n"/>
      <c r="L66" s="4" t="n"/>
    </row>
    <row r="67">
      <c r="A67" s="5" t="n"/>
      <c r="B67" s="7" t="n"/>
      <c r="C67" s="7" t="n"/>
      <c r="D67" s="7" t="n"/>
      <c r="E67" s="7" t="n"/>
      <c r="F67" s="7" t="n"/>
      <c r="G67" s="7" t="n"/>
      <c r="H67" s="7">
        <f>IF($A67="","", $B67+IF($D67="",0,$D67)-IF($E67="",0,$E67)-IF($F67="",0,$F67)+IF($G67="",0,$G67))</f>
        <v/>
      </c>
      <c r="I67" s="7">
        <f>IF($A67="","", $C67-IF($E67="",0,$E67)-IF($F67="",0,$F67)+IF($G67="",0,$G67))</f>
        <v/>
      </c>
      <c r="J67" s="7">
        <f>IF($A67="","", $H67-$I67)</f>
        <v/>
      </c>
      <c r="K67" s="4" t="n"/>
      <c r="L67" s="4" t="n"/>
    </row>
    <row r="68">
      <c r="A68" s="5" t="n"/>
      <c r="B68" s="7" t="n"/>
      <c r="C68" s="7" t="n"/>
      <c r="D68" s="7" t="n"/>
      <c r="E68" s="7" t="n"/>
      <c r="F68" s="7" t="n"/>
      <c r="G68" s="7" t="n"/>
      <c r="H68" s="7">
        <f>IF($A68="","", $B68+IF($D68="",0,$D68)-IF($E68="",0,$E68)-IF($F68="",0,$F68)+IF($G68="",0,$G68))</f>
        <v/>
      </c>
      <c r="I68" s="7">
        <f>IF($A68="","", $C68-IF($E68="",0,$E68)-IF($F68="",0,$F68)+IF($G68="",0,$G68))</f>
        <v/>
      </c>
      <c r="J68" s="7">
        <f>IF($A68="","", $H68-$I68)</f>
        <v/>
      </c>
      <c r="K68" s="4" t="n"/>
      <c r="L68" s="4" t="n"/>
    </row>
    <row r="69">
      <c r="A69" s="5" t="n"/>
      <c r="B69" s="7" t="n"/>
      <c r="C69" s="7" t="n"/>
      <c r="D69" s="7" t="n"/>
      <c r="E69" s="7" t="n"/>
      <c r="F69" s="7" t="n"/>
      <c r="G69" s="7" t="n"/>
      <c r="H69" s="7">
        <f>IF($A69="","", $B69+IF($D69="",0,$D69)-IF($E69="",0,$E69)-IF($F69="",0,$F69)+IF($G69="",0,$G69))</f>
        <v/>
      </c>
      <c r="I69" s="7">
        <f>IF($A69="","", $C69-IF($E69="",0,$E69)-IF($F69="",0,$F69)+IF($G69="",0,$G69))</f>
        <v/>
      </c>
      <c r="J69" s="7">
        <f>IF($A69="","", $H69-$I69)</f>
        <v/>
      </c>
      <c r="K69" s="4" t="n"/>
      <c r="L69" s="4" t="n"/>
    </row>
    <row r="70">
      <c r="A70" s="5" t="n"/>
      <c r="B70" s="7" t="n"/>
      <c r="C70" s="7" t="n"/>
      <c r="D70" s="7" t="n"/>
      <c r="E70" s="7" t="n"/>
      <c r="F70" s="7" t="n"/>
      <c r="G70" s="7" t="n"/>
      <c r="H70" s="7">
        <f>IF($A70="","", $B70+IF($D70="",0,$D70)-IF($E70="",0,$E70)-IF($F70="",0,$F70)+IF($G70="",0,$G70))</f>
        <v/>
      </c>
      <c r="I70" s="7">
        <f>IF($A70="","", $C70-IF($E70="",0,$E70)-IF($F70="",0,$F70)+IF($G70="",0,$G70))</f>
        <v/>
      </c>
      <c r="J70" s="7">
        <f>IF($A70="","", $H70-$I70)</f>
        <v/>
      </c>
      <c r="K70" s="4" t="n"/>
      <c r="L70" s="4" t="n"/>
    </row>
    <row r="71">
      <c r="A71" s="5" t="n"/>
      <c r="B71" s="7" t="n"/>
      <c r="C71" s="7" t="n"/>
      <c r="D71" s="7" t="n"/>
      <c r="E71" s="7" t="n"/>
      <c r="F71" s="7" t="n"/>
      <c r="G71" s="7" t="n"/>
      <c r="H71" s="7">
        <f>IF($A71="","", $B71+IF($D71="",0,$D71)-IF($E71="",0,$E71)-IF($F71="",0,$F71)+IF($G71="",0,$G71))</f>
        <v/>
      </c>
      <c r="I71" s="7">
        <f>IF($A71="","", $C71-IF($E71="",0,$E71)-IF($F71="",0,$F71)+IF($G71="",0,$G71))</f>
        <v/>
      </c>
      <c r="J71" s="7">
        <f>IF($A71="","", $H71-$I71)</f>
        <v/>
      </c>
      <c r="K71" s="4" t="n"/>
      <c r="L71" s="4" t="n"/>
    </row>
    <row r="72">
      <c r="A72" s="5" t="n"/>
      <c r="B72" s="7" t="n"/>
      <c r="C72" s="7" t="n"/>
      <c r="D72" s="7" t="n"/>
      <c r="E72" s="7" t="n"/>
      <c r="F72" s="7" t="n"/>
      <c r="G72" s="7" t="n"/>
      <c r="H72" s="7">
        <f>IF($A72="","", $B72+IF($D72="",0,$D72)-IF($E72="",0,$E72)-IF($F72="",0,$F72)+IF($G72="",0,$G72))</f>
        <v/>
      </c>
      <c r="I72" s="7">
        <f>IF($A72="","", $C72-IF($E72="",0,$E72)-IF($F72="",0,$F72)+IF($G72="",0,$G72))</f>
        <v/>
      </c>
      <c r="J72" s="7">
        <f>IF($A72="","", $H72-$I72)</f>
        <v/>
      </c>
      <c r="K72" s="4" t="n"/>
      <c r="L72" s="4" t="n"/>
    </row>
    <row r="73">
      <c r="A73" s="5" t="n"/>
      <c r="B73" s="7" t="n"/>
      <c r="C73" s="7" t="n"/>
      <c r="D73" s="7" t="n"/>
      <c r="E73" s="7" t="n"/>
      <c r="F73" s="7" t="n"/>
      <c r="G73" s="7" t="n"/>
      <c r="H73" s="7">
        <f>IF($A73="","", $B73+IF($D73="",0,$D73)-IF($E73="",0,$E73)-IF($F73="",0,$F73)+IF($G73="",0,$G73))</f>
        <v/>
      </c>
      <c r="I73" s="7">
        <f>IF($A73="","", $C73-IF($E73="",0,$E73)-IF($F73="",0,$F73)+IF($G73="",0,$G73))</f>
        <v/>
      </c>
      <c r="J73" s="7">
        <f>IF($A73="","", $H73-$I73)</f>
        <v/>
      </c>
      <c r="K73" s="4" t="n"/>
      <c r="L73" s="4" t="n"/>
    </row>
    <row r="74">
      <c r="A74" s="5" t="n"/>
      <c r="B74" s="7" t="n"/>
      <c r="C74" s="7" t="n"/>
      <c r="D74" s="7" t="n"/>
      <c r="E74" s="7" t="n"/>
      <c r="F74" s="7" t="n"/>
      <c r="G74" s="7" t="n"/>
      <c r="H74" s="7">
        <f>IF($A74="","", $B74+IF($D74="",0,$D74)-IF($E74="",0,$E74)-IF($F74="",0,$F74)+IF($G74="",0,$G74))</f>
        <v/>
      </c>
      <c r="I74" s="7">
        <f>IF($A74="","", $C74-IF($E74="",0,$E74)-IF($F74="",0,$F74)+IF($G74="",0,$G74))</f>
        <v/>
      </c>
      <c r="J74" s="7">
        <f>IF($A74="","", $H74-$I74)</f>
        <v/>
      </c>
      <c r="K74" s="4" t="n"/>
      <c r="L74" s="4" t="n"/>
    </row>
    <row r="75">
      <c r="A75" s="5" t="n"/>
      <c r="B75" s="7" t="n"/>
      <c r="C75" s="7" t="n"/>
      <c r="D75" s="7" t="n"/>
      <c r="E75" s="7" t="n"/>
      <c r="F75" s="7" t="n"/>
      <c r="G75" s="7" t="n"/>
      <c r="H75" s="7">
        <f>IF($A75="","", $B75+IF($D75="",0,$D75)-IF($E75="",0,$E75)-IF($F75="",0,$F75)+IF($G75="",0,$G75))</f>
        <v/>
      </c>
      <c r="I75" s="7">
        <f>IF($A75="","", $C75-IF($E75="",0,$E75)-IF($F75="",0,$F75)+IF($G75="",0,$G75))</f>
        <v/>
      </c>
      <c r="J75" s="7">
        <f>IF($A75="","", $H75-$I75)</f>
        <v/>
      </c>
      <c r="K75" s="4" t="n"/>
      <c r="L75" s="4" t="n"/>
    </row>
    <row r="76">
      <c r="A76" s="5" t="n"/>
      <c r="B76" s="7" t="n"/>
      <c r="C76" s="7" t="n"/>
      <c r="D76" s="7" t="n"/>
      <c r="E76" s="7" t="n"/>
      <c r="F76" s="7" t="n"/>
      <c r="G76" s="7" t="n"/>
      <c r="H76" s="7">
        <f>IF($A76="","", $B76+IF($D76="",0,$D76)-IF($E76="",0,$E76)-IF($F76="",0,$F76)+IF($G76="",0,$G76))</f>
        <v/>
      </c>
      <c r="I76" s="7">
        <f>IF($A76="","", $C76-IF($E76="",0,$E76)-IF($F76="",0,$F76)+IF($G76="",0,$G76))</f>
        <v/>
      </c>
      <c r="J76" s="7">
        <f>IF($A76="","", $H76-$I76)</f>
        <v/>
      </c>
      <c r="K76" s="4" t="n"/>
      <c r="L76" s="4" t="n"/>
    </row>
    <row r="77">
      <c r="A77" s="5" t="n"/>
      <c r="B77" s="7" t="n"/>
      <c r="C77" s="7" t="n"/>
      <c r="D77" s="7" t="n"/>
      <c r="E77" s="7" t="n"/>
      <c r="F77" s="7" t="n"/>
      <c r="G77" s="7" t="n"/>
      <c r="H77" s="7">
        <f>IF($A77="","", $B77+IF($D77="",0,$D77)-IF($E77="",0,$E77)-IF($F77="",0,$F77)+IF($G77="",0,$G77))</f>
        <v/>
      </c>
      <c r="I77" s="7">
        <f>IF($A77="","", $C77-IF($E77="",0,$E77)-IF($F77="",0,$F77)+IF($G77="",0,$G77))</f>
        <v/>
      </c>
      <c r="J77" s="7">
        <f>IF($A77="","", $H77-$I77)</f>
        <v/>
      </c>
      <c r="K77" s="4" t="n"/>
      <c r="L77" s="4" t="n"/>
    </row>
    <row r="78">
      <c r="A78" s="5" t="n"/>
      <c r="B78" s="7" t="n"/>
      <c r="C78" s="7" t="n"/>
      <c r="D78" s="7" t="n"/>
      <c r="E78" s="7" t="n"/>
      <c r="F78" s="7" t="n"/>
      <c r="G78" s="7" t="n"/>
      <c r="H78" s="7">
        <f>IF($A78="","", $B78+IF($D78="",0,$D78)-IF($E78="",0,$E78)-IF($F78="",0,$F78)+IF($G78="",0,$G78))</f>
        <v/>
      </c>
      <c r="I78" s="7">
        <f>IF($A78="","", $C78-IF($E78="",0,$E78)-IF($F78="",0,$F78)+IF($G78="",0,$G78))</f>
        <v/>
      </c>
      <c r="J78" s="7">
        <f>IF($A78="","", $H78-$I78)</f>
        <v/>
      </c>
      <c r="K78" s="4" t="n"/>
      <c r="L78" s="4" t="n"/>
    </row>
    <row r="79">
      <c r="A79" s="5" t="n"/>
      <c r="B79" s="7" t="n"/>
      <c r="C79" s="7" t="n"/>
      <c r="D79" s="7" t="n"/>
      <c r="E79" s="7" t="n"/>
      <c r="F79" s="7" t="n"/>
      <c r="G79" s="7" t="n"/>
      <c r="H79" s="7">
        <f>IF($A79="","", $B79+IF($D79="",0,$D79)-IF($E79="",0,$E79)-IF($F79="",0,$F79)+IF($G79="",0,$G79))</f>
        <v/>
      </c>
      <c r="I79" s="7">
        <f>IF($A79="","", $C79-IF($E79="",0,$E79)-IF($F79="",0,$F79)+IF($G79="",0,$G79))</f>
        <v/>
      </c>
      <c r="J79" s="7">
        <f>IF($A79="","", $H79-$I79)</f>
        <v/>
      </c>
      <c r="K79" s="4" t="n"/>
      <c r="L79" s="4" t="n"/>
    </row>
    <row r="80">
      <c r="A80" s="5" t="n"/>
      <c r="B80" s="7" t="n"/>
      <c r="C80" s="7" t="n"/>
      <c r="D80" s="7" t="n"/>
      <c r="E80" s="7" t="n"/>
      <c r="F80" s="7" t="n"/>
      <c r="G80" s="7" t="n"/>
      <c r="H80" s="7">
        <f>IF($A80="","", $B80+IF($D80="",0,$D80)-IF($E80="",0,$E80)-IF($F80="",0,$F80)+IF($G80="",0,$G80))</f>
        <v/>
      </c>
      <c r="I80" s="7">
        <f>IF($A80="","", $C80-IF($E80="",0,$E80)-IF($F80="",0,$F80)+IF($G80="",0,$G80))</f>
        <v/>
      </c>
      <c r="J80" s="7">
        <f>IF($A80="","", $H80-$I80)</f>
        <v/>
      </c>
      <c r="K80" s="4" t="n"/>
      <c r="L80" s="4" t="n"/>
    </row>
    <row r="81">
      <c r="A81" s="5" t="n"/>
      <c r="B81" s="7" t="n"/>
      <c r="C81" s="7" t="n"/>
      <c r="D81" s="7" t="n"/>
      <c r="E81" s="7" t="n"/>
      <c r="F81" s="7" t="n"/>
      <c r="G81" s="7" t="n"/>
      <c r="H81" s="7">
        <f>IF($A81="","", $B81+IF($D81="",0,$D81)-IF($E81="",0,$E81)-IF($F81="",0,$F81)+IF($G81="",0,$G81))</f>
        <v/>
      </c>
      <c r="I81" s="7">
        <f>IF($A81="","", $C81-IF($E81="",0,$E81)-IF($F81="",0,$F81)+IF($G81="",0,$G81))</f>
        <v/>
      </c>
      <c r="J81" s="7">
        <f>IF($A81="","", $H81-$I81)</f>
        <v/>
      </c>
      <c r="K81" s="4" t="n"/>
      <c r="L81" s="4" t="n"/>
    </row>
  </sheetData>
  <dataValidations count="1">
    <dataValidation sqref="K2:K81" showDropDown="0" showInputMessage="0" showErrorMessage="0" allowBlank="1" type="list">
      <formula1>=StaffNames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4" customWidth="1" min="4" max="4"/>
    <col width="18" customWidth="1" min="5" max="5"/>
    <col width="14" customWidth="1" min="6" max="6"/>
    <col width="18" customWidth="1" min="7" max="7"/>
    <col width="18" customWidth="1" min="8" max="8"/>
    <col width="12" customWidth="1" min="9" max="9"/>
    <col width="16" customWidth="1" min="10" max="10"/>
    <col width="24" customWidth="1" min="11" max="11"/>
  </cols>
  <sheetData>
    <row r="1" ht="28" customHeight="1">
      <c r="A1" s="3" t="inlineStr">
        <is>
          <t>As of Date</t>
        </is>
      </c>
      <c r="B1" s="3" t="inlineStr">
        <is>
          <t>Loan ID</t>
        </is>
      </c>
      <c r="C1" s="3" t="inlineStr">
        <is>
          <t>Client/Group ID</t>
        </is>
      </c>
      <c r="D1" s="3" t="inlineStr">
        <is>
          <t>Days Past Due</t>
        </is>
      </c>
      <c r="E1" s="3" t="inlineStr">
        <is>
          <t>Outstanding Balance</t>
        </is>
      </c>
      <c r="F1" s="3" t="inlineStr">
        <is>
          <t>Bucket</t>
        </is>
      </c>
      <c r="G1" s="3" t="inlineStr">
        <is>
          <t>Action Owner</t>
        </is>
      </c>
      <c r="H1" s="3" t="inlineStr">
        <is>
          <t>Next Action</t>
        </is>
      </c>
      <c r="I1" s="3" t="inlineStr">
        <is>
          <t>Status</t>
        </is>
      </c>
      <c r="J1" s="3" t="inlineStr">
        <is>
          <t>Promise To Pay Date</t>
        </is>
      </c>
      <c r="K1" s="3" t="inlineStr">
        <is>
          <t>Notes</t>
        </is>
      </c>
    </row>
    <row r="2">
      <c r="A2" s="5" t="n"/>
      <c r="B2" s="4" t="n"/>
      <c r="C2" s="4" t="n"/>
      <c r="D2" s="4">
        <f>IF($B2="","", MAXIFS(Repayment_Ledger!$J$2:$J$801,Repayment_Ledger!$A$2:$A$801,$B2))</f>
        <v/>
      </c>
      <c r="E2" s="7">
        <f>IF($B2="","", XLOOKUP($B2,Loan_Register!$A$2:$A$301,Loan_Register!$P$2:$P$301,""))</f>
        <v/>
      </c>
      <c r="F2" s="4">
        <f>IF($D2="","", IF($D2=0,"Current", IF($D2&lt;=7,"Early", IF($D2&lt;=30,"Watchlist", IF($D2&lt;=90,"Serious","Critical")))))</f>
        <v/>
      </c>
      <c r="G2" s="4" t="n"/>
      <c r="H2" s="4" t="n"/>
      <c r="I2" s="4" t="n"/>
      <c r="J2" s="5" t="n"/>
      <c r="K2" s="4" t="n"/>
    </row>
    <row r="3">
      <c r="A3" s="5" t="n"/>
      <c r="B3" s="4" t="n"/>
      <c r="C3" s="4" t="n"/>
      <c r="D3" s="4">
        <f>IF($B3="","", MAXIFS(Repayment_Ledger!$J$2:$J$801,Repayment_Ledger!$A$2:$A$801,$B3))</f>
        <v/>
      </c>
      <c r="E3" s="7">
        <f>IF($B3="","", XLOOKUP($B3,Loan_Register!$A$2:$A$301,Loan_Register!$P$2:$P$301,""))</f>
        <v/>
      </c>
      <c r="F3" s="4">
        <f>IF($D3="","", IF($D3=0,"Current", IF($D3&lt;=7,"Early", IF($D3&lt;=30,"Watchlist", IF($D3&lt;=90,"Serious","Critical")))))</f>
        <v/>
      </c>
      <c r="G3" s="4" t="n"/>
      <c r="H3" s="4" t="n"/>
      <c r="I3" s="4" t="n"/>
      <c r="J3" s="5" t="n"/>
      <c r="K3" s="4" t="n"/>
    </row>
    <row r="4">
      <c r="A4" s="5" t="n"/>
      <c r="B4" s="4" t="n"/>
      <c r="C4" s="4" t="n"/>
      <c r="D4" s="4">
        <f>IF($B4="","", MAXIFS(Repayment_Ledger!$J$2:$J$801,Repayment_Ledger!$A$2:$A$801,$B4))</f>
        <v/>
      </c>
      <c r="E4" s="7">
        <f>IF($B4="","", XLOOKUP($B4,Loan_Register!$A$2:$A$301,Loan_Register!$P$2:$P$301,""))</f>
        <v/>
      </c>
      <c r="F4" s="4">
        <f>IF($D4="","", IF($D4=0,"Current", IF($D4&lt;=7,"Early", IF($D4&lt;=30,"Watchlist", IF($D4&lt;=90,"Serious","Critical")))))</f>
        <v/>
      </c>
      <c r="G4" s="4" t="n"/>
      <c r="H4" s="4" t="n"/>
      <c r="I4" s="4" t="n"/>
      <c r="J4" s="5" t="n"/>
      <c r="K4" s="4" t="n"/>
    </row>
    <row r="5">
      <c r="A5" s="5" t="n"/>
      <c r="B5" s="4" t="n"/>
      <c r="C5" s="4" t="n"/>
      <c r="D5" s="4">
        <f>IF($B5="","", MAXIFS(Repayment_Ledger!$J$2:$J$801,Repayment_Ledger!$A$2:$A$801,$B5))</f>
        <v/>
      </c>
      <c r="E5" s="7">
        <f>IF($B5="","", XLOOKUP($B5,Loan_Register!$A$2:$A$301,Loan_Register!$P$2:$P$301,""))</f>
        <v/>
      </c>
      <c r="F5" s="4">
        <f>IF($D5="","", IF($D5=0,"Current", IF($D5&lt;=7,"Early", IF($D5&lt;=30,"Watchlist", IF($D5&lt;=90,"Serious","Critical")))))</f>
        <v/>
      </c>
      <c r="G5" s="4" t="n"/>
      <c r="H5" s="4" t="n"/>
      <c r="I5" s="4" t="n"/>
      <c r="J5" s="5" t="n"/>
      <c r="K5" s="4" t="n"/>
    </row>
    <row r="6">
      <c r="A6" s="5" t="n"/>
      <c r="B6" s="4" t="n"/>
      <c r="C6" s="4" t="n"/>
      <c r="D6" s="4">
        <f>IF($B6="","", MAXIFS(Repayment_Ledger!$J$2:$J$801,Repayment_Ledger!$A$2:$A$801,$B6))</f>
        <v/>
      </c>
      <c r="E6" s="7">
        <f>IF($B6="","", XLOOKUP($B6,Loan_Register!$A$2:$A$301,Loan_Register!$P$2:$P$301,""))</f>
        <v/>
      </c>
      <c r="F6" s="4">
        <f>IF($D6="","", IF($D6=0,"Current", IF($D6&lt;=7,"Early", IF($D6&lt;=30,"Watchlist", IF($D6&lt;=90,"Serious","Critical")))))</f>
        <v/>
      </c>
      <c r="G6" s="4" t="n"/>
      <c r="H6" s="4" t="n"/>
      <c r="I6" s="4" t="n"/>
      <c r="J6" s="5" t="n"/>
      <c r="K6" s="4" t="n"/>
    </row>
    <row r="7">
      <c r="A7" s="5" t="n"/>
      <c r="B7" s="4" t="n"/>
      <c r="C7" s="4" t="n"/>
      <c r="D7" s="4">
        <f>IF($B7="","", MAXIFS(Repayment_Ledger!$J$2:$J$801,Repayment_Ledger!$A$2:$A$801,$B7))</f>
        <v/>
      </c>
      <c r="E7" s="7">
        <f>IF($B7="","", XLOOKUP($B7,Loan_Register!$A$2:$A$301,Loan_Register!$P$2:$P$301,""))</f>
        <v/>
      </c>
      <c r="F7" s="4">
        <f>IF($D7="","", IF($D7=0,"Current", IF($D7&lt;=7,"Early", IF($D7&lt;=30,"Watchlist", IF($D7&lt;=90,"Serious","Critical")))))</f>
        <v/>
      </c>
      <c r="G7" s="4" t="n"/>
      <c r="H7" s="4" t="n"/>
      <c r="I7" s="4" t="n"/>
      <c r="J7" s="5" t="n"/>
      <c r="K7" s="4" t="n"/>
    </row>
    <row r="8">
      <c r="A8" s="5" t="n"/>
      <c r="B8" s="4" t="n"/>
      <c r="C8" s="4" t="n"/>
      <c r="D8" s="4">
        <f>IF($B8="","", MAXIFS(Repayment_Ledger!$J$2:$J$801,Repayment_Ledger!$A$2:$A$801,$B8))</f>
        <v/>
      </c>
      <c r="E8" s="7">
        <f>IF($B8="","", XLOOKUP($B8,Loan_Register!$A$2:$A$301,Loan_Register!$P$2:$P$301,""))</f>
        <v/>
      </c>
      <c r="F8" s="4">
        <f>IF($D8="","", IF($D8=0,"Current", IF($D8&lt;=7,"Early", IF($D8&lt;=30,"Watchlist", IF($D8&lt;=90,"Serious","Critical")))))</f>
        <v/>
      </c>
      <c r="G8" s="4" t="n"/>
      <c r="H8" s="4" t="n"/>
      <c r="I8" s="4" t="n"/>
      <c r="J8" s="5" t="n"/>
      <c r="K8" s="4" t="n"/>
    </row>
    <row r="9">
      <c r="A9" s="5" t="n"/>
      <c r="B9" s="4" t="n"/>
      <c r="C9" s="4" t="n"/>
      <c r="D9" s="4">
        <f>IF($B9="","", MAXIFS(Repayment_Ledger!$J$2:$J$801,Repayment_Ledger!$A$2:$A$801,$B9))</f>
        <v/>
      </c>
      <c r="E9" s="7">
        <f>IF($B9="","", XLOOKUP($B9,Loan_Register!$A$2:$A$301,Loan_Register!$P$2:$P$301,""))</f>
        <v/>
      </c>
      <c r="F9" s="4">
        <f>IF($D9="","", IF($D9=0,"Current", IF($D9&lt;=7,"Early", IF($D9&lt;=30,"Watchlist", IF($D9&lt;=90,"Serious","Critical")))))</f>
        <v/>
      </c>
      <c r="G9" s="4" t="n"/>
      <c r="H9" s="4" t="n"/>
      <c r="I9" s="4" t="n"/>
      <c r="J9" s="5" t="n"/>
      <c r="K9" s="4" t="n"/>
    </row>
    <row r="10">
      <c r="A10" s="5" t="n"/>
      <c r="B10" s="4" t="n"/>
      <c r="C10" s="4" t="n"/>
      <c r="D10" s="4">
        <f>IF($B10="","", MAXIFS(Repayment_Ledger!$J$2:$J$801,Repayment_Ledger!$A$2:$A$801,$B10))</f>
        <v/>
      </c>
      <c r="E10" s="7">
        <f>IF($B10="","", XLOOKUP($B10,Loan_Register!$A$2:$A$301,Loan_Register!$P$2:$P$301,""))</f>
        <v/>
      </c>
      <c r="F10" s="4">
        <f>IF($D10="","", IF($D10=0,"Current", IF($D10&lt;=7,"Early", IF($D10&lt;=30,"Watchlist", IF($D10&lt;=90,"Serious","Critical")))))</f>
        <v/>
      </c>
      <c r="G10" s="4" t="n"/>
      <c r="H10" s="4" t="n"/>
      <c r="I10" s="4" t="n"/>
      <c r="J10" s="5" t="n"/>
      <c r="K10" s="4" t="n"/>
    </row>
    <row r="11">
      <c r="A11" s="5" t="n"/>
      <c r="B11" s="4" t="n"/>
      <c r="C11" s="4" t="n"/>
      <c r="D11" s="4">
        <f>IF($B11="","", MAXIFS(Repayment_Ledger!$J$2:$J$801,Repayment_Ledger!$A$2:$A$801,$B11))</f>
        <v/>
      </c>
      <c r="E11" s="7">
        <f>IF($B11="","", XLOOKUP($B11,Loan_Register!$A$2:$A$301,Loan_Register!$P$2:$P$301,""))</f>
        <v/>
      </c>
      <c r="F11" s="4">
        <f>IF($D11="","", IF($D11=0,"Current", IF($D11&lt;=7,"Early", IF($D11&lt;=30,"Watchlist", IF($D11&lt;=90,"Serious","Critical")))))</f>
        <v/>
      </c>
      <c r="G11" s="4" t="n"/>
      <c r="H11" s="4" t="n"/>
      <c r="I11" s="4" t="n"/>
      <c r="J11" s="5" t="n"/>
      <c r="K11" s="4" t="n"/>
    </row>
    <row r="12">
      <c r="A12" s="5" t="n"/>
      <c r="B12" s="4" t="n"/>
      <c r="C12" s="4" t="n"/>
      <c r="D12" s="4">
        <f>IF($B12="","", MAXIFS(Repayment_Ledger!$J$2:$J$801,Repayment_Ledger!$A$2:$A$801,$B12))</f>
        <v/>
      </c>
      <c r="E12" s="7">
        <f>IF($B12="","", XLOOKUP($B12,Loan_Register!$A$2:$A$301,Loan_Register!$P$2:$P$301,""))</f>
        <v/>
      </c>
      <c r="F12" s="4">
        <f>IF($D12="","", IF($D12=0,"Current", IF($D12&lt;=7,"Early", IF($D12&lt;=30,"Watchlist", IF($D12&lt;=90,"Serious","Critical")))))</f>
        <v/>
      </c>
      <c r="G12" s="4" t="n"/>
      <c r="H12" s="4" t="n"/>
      <c r="I12" s="4" t="n"/>
      <c r="J12" s="5" t="n"/>
      <c r="K12" s="4" t="n"/>
    </row>
    <row r="13">
      <c r="A13" s="5" t="n"/>
      <c r="B13" s="4" t="n"/>
      <c r="C13" s="4" t="n"/>
      <c r="D13" s="4">
        <f>IF($B13="","", MAXIFS(Repayment_Ledger!$J$2:$J$801,Repayment_Ledger!$A$2:$A$801,$B13))</f>
        <v/>
      </c>
      <c r="E13" s="7">
        <f>IF($B13="","", XLOOKUP($B13,Loan_Register!$A$2:$A$301,Loan_Register!$P$2:$P$301,""))</f>
        <v/>
      </c>
      <c r="F13" s="4">
        <f>IF($D13="","", IF($D13=0,"Current", IF($D13&lt;=7,"Early", IF($D13&lt;=30,"Watchlist", IF($D13&lt;=90,"Serious","Critical")))))</f>
        <v/>
      </c>
      <c r="G13" s="4" t="n"/>
      <c r="H13" s="4" t="n"/>
      <c r="I13" s="4" t="n"/>
      <c r="J13" s="5" t="n"/>
      <c r="K13" s="4" t="n"/>
    </row>
    <row r="14">
      <c r="A14" s="5" t="n"/>
      <c r="B14" s="4" t="n"/>
      <c r="C14" s="4" t="n"/>
      <c r="D14" s="4">
        <f>IF($B14="","", MAXIFS(Repayment_Ledger!$J$2:$J$801,Repayment_Ledger!$A$2:$A$801,$B14))</f>
        <v/>
      </c>
      <c r="E14" s="7">
        <f>IF($B14="","", XLOOKUP($B14,Loan_Register!$A$2:$A$301,Loan_Register!$P$2:$P$301,""))</f>
        <v/>
      </c>
      <c r="F14" s="4">
        <f>IF($D14="","", IF($D14=0,"Current", IF($D14&lt;=7,"Early", IF($D14&lt;=30,"Watchlist", IF($D14&lt;=90,"Serious","Critical")))))</f>
        <v/>
      </c>
      <c r="G14" s="4" t="n"/>
      <c r="H14" s="4" t="n"/>
      <c r="I14" s="4" t="n"/>
      <c r="J14" s="5" t="n"/>
      <c r="K14" s="4" t="n"/>
    </row>
    <row r="15">
      <c r="A15" s="5" t="n"/>
      <c r="B15" s="4" t="n"/>
      <c r="C15" s="4" t="n"/>
      <c r="D15" s="4">
        <f>IF($B15="","", MAXIFS(Repayment_Ledger!$J$2:$J$801,Repayment_Ledger!$A$2:$A$801,$B15))</f>
        <v/>
      </c>
      <c r="E15" s="7">
        <f>IF($B15="","", XLOOKUP($B15,Loan_Register!$A$2:$A$301,Loan_Register!$P$2:$P$301,""))</f>
        <v/>
      </c>
      <c r="F15" s="4">
        <f>IF($D15="","", IF($D15=0,"Current", IF($D15&lt;=7,"Early", IF($D15&lt;=30,"Watchlist", IF($D15&lt;=90,"Serious","Critical")))))</f>
        <v/>
      </c>
      <c r="G15" s="4" t="n"/>
      <c r="H15" s="4" t="n"/>
      <c r="I15" s="4" t="n"/>
      <c r="J15" s="5" t="n"/>
      <c r="K15" s="4" t="n"/>
    </row>
    <row r="16">
      <c r="A16" s="5" t="n"/>
      <c r="B16" s="4" t="n"/>
      <c r="C16" s="4" t="n"/>
      <c r="D16" s="4">
        <f>IF($B16="","", MAXIFS(Repayment_Ledger!$J$2:$J$801,Repayment_Ledger!$A$2:$A$801,$B16))</f>
        <v/>
      </c>
      <c r="E16" s="7">
        <f>IF($B16="","", XLOOKUP($B16,Loan_Register!$A$2:$A$301,Loan_Register!$P$2:$P$301,""))</f>
        <v/>
      </c>
      <c r="F16" s="4">
        <f>IF($D16="","", IF($D16=0,"Current", IF($D16&lt;=7,"Early", IF($D16&lt;=30,"Watchlist", IF($D16&lt;=90,"Serious","Critical")))))</f>
        <v/>
      </c>
      <c r="G16" s="4" t="n"/>
      <c r="H16" s="4" t="n"/>
      <c r="I16" s="4" t="n"/>
      <c r="J16" s="5" t="n"/>
      <c r="K16" s="4" t="n"/>
    </row>
    <row r="17">
      <c r="A17" s="5" t="n"/>
      <c r="B17" s="4" t="n"/>
      <c r="C17" s="4" t="n"/>
      <c r="D17" s="4">
        <f>IF($B17="","", MAXIFS(Repayment_Ledger!$J$2:$J$801,Repayment_Ledger!$A$2:$A$801,$B17))</f>
        <v/>
      </c>
      <c r="E17" s="7">
        <f>IF($B17="","", XLOOKUP($B17,Loan_Register!$A$2:$A$301,Loan_Register!$P$2:$P$301,""))</f>
        <v/>
      </c>
      <c r="F17" s="4">
        <f>IF($D17="","", IF($D17=0,"Current", IF($D17&lt;=7,"Early", IF($D17&lt;=30,"Watchlist", IF($D17&lt;=90,"Serious","Critical")))))</f>
        <v/>
      </c>
      <c r="G17" s="4" t="n"/>
      <c r="H17" s="4" t="n"/>
      <c r="I17" s="4" t="n"/>
      <c r="J17" s="5" t="n"/>
      <c r="K17" s="4" t="n"/>
    </row>
    <row r="18">
      <c r="A18" s="5" t="n"/>
      <c r="B18" s="4" t="n"/>
      <c r="C18" s="4" t="n"/>
      <c r="D18" s="4">
        <f>IF($B18="","", MAXIFS(Repayment_Ledger!$J$2:$J$801,Repayment_Ledger!$A$2:$A$801,$B18))</f>
        <v/>
      </c>
      <c r="E18" s="7">
        <f>IF($B18="","", XLOOKUP($B18,Loan_Register!$A$2:$A$301,Loan_Register!$P$2:$P$301,""))</f>
        <v/>
      </c>
      <c r="F18" s="4">
        <f>IF($D18="","", IF($D18=0,"Current", IF($D18&lt;=7,"Early", IF($D18&lt;=30,"Watchlist", IF($D18&lt;=90,"Serious","Critical")))))</f>
        <v/>
      </c>
      <c r="G18" s="4" t="n"/>
      <c r="H18" s="4" t="n"/>
      <c r="I18" s="4" t="n"/>
      <c r="J18" s="5" t="n"/>
      <c r="K18" s="4" t="n"/>
    </row>
    <row r="19">
      <c r="A19" s="5" t="n"/>
      <c r="B19" s="4" t="n"/>
      <c r="C19" s="4" t="n"/>
      <c r="D19" s="4">
        <f>IF($B19="","", MAXIFS(Repayment_Ledger!$J$2:$J$801,Repayment_Ledger!$A$2:$A$801,$B19))</f>
        <v/>
      </c>
      <c r="E19" s="7">
        <f>IF($B19="","", XLOOKUP($B19,Loan_Register!$A$2:$A$301,Loan_Register!$P$2:$P$301,""))</f>
        <v/>
      </c>
      <c r="F19" s="4">
        <f>IF($D19="","", IF($D19=0,"Current", IF($D19&lt;=7,"Early", IF($D19&lt;=30,"Watchlist", IF($D19&lt;=90,"Serious","Critical")))))</f>
        <v/>
      </c>
      <c r="G19" s="4" t="n"/>
      <c r="H19" s="4" t="n"/>
      <c r="I19" s="4" t="n"/>
      <c r="J19" s="5" t="n"/>
      <c r="K19" s="4" t="n"/>
    </row>
    <row r="20">
      <c r="A20" s="5" t="n"/>
      <c r="B20" s="4" t="n"/>
      <c r="C20" s="4" t="n"/>
      <c r="D20" s="4">
        <f>IF($B20="","", MAXIFS(Repayment_Ledger!$J$2:$J$801,Repayment_Ledger!$A$2:$A$801,$B20))</f>
        <v/>
      </c>
      <c r="E20" s="7">
        <f>IF($B20="","", XLOOKUP($B20,Loan_Register!$A$2:$A$301,Loan_Register!$P$2:$P$301,""))</f>
        <v/>
      </c>
      <c r="F20" s="4">
        <f>IF($D20="","", IF($D20=0,"Current", IF($D20&lt;=7,"Early", IF($D20&lt;=30,"Watchlist", IF($D20&lt;=90,"Serious","Critical")))))</f>
        <v/>
      </c>
      <c r="G20" s="4" t="n"/>
      <c r="H20" s="4" t="n"/>
      <c r="I20" s="4" t="n"/>
      <c r="J20" s="5" t="n"/>
      <c r="K20" s="4" t="n"/>
    </row>
    <row r="21">
      <c r="A21" s="5" t="n"/>
      <c r="B21" s="4" t="n"/>
      <c r="C21" s="4" t="n"/>
      <c r="D21" s="4">
        <f>IF($B21="","", MAXIFS(Repayment_Ledger!$J$2:$J$801,Repayment_Ledger!$A$2:$A$801,$B21))</f>
        <v/>
      </c>
      <c r="E21" s="7">
        <f>IF($B21="","", XLOOKUP($B21,Loan_Register!$A$2:$A$301,Loan_Register!$P$2:$P$301,""))</f>
        <v/>
      </c>
      <c r="F21" s="4">
        <f>IF($D21="","", IF($D21=0,"Current", IF($D21&lt;=7,"Early", IF($D21&lt;=30,"Watchlist", IF($D21&lt;=90,"Serious","Critical")))))</f>
        <v/>
      </c>
      <c r="G21" s="4" t="n"/>
      <c r="H21" s="4" t="n"/>
      <c r="I21" s="4" t="n"/>
      <c r="J21" s="5" t="n"/>
      <c r="K21" s="4" t="n"/>
    </row>
    <row r="22">
      <c r="A22" s="5" t="n"/>
      <c r="B22" s="4" t="n"/>
      <c r="C22" s="4" t="n"/>
      <c r="D22" s="4">
        <f>IF($B22="","", MAXIFS(Repayment_Ledger!$J$2:$J$801,Repayment_Ledger!$A$2:$A$801,$B22))</f>
        <v/>
      </c>
      <c r="E22" s="7">
        <f>IF($B22="","", XLOOKUP($B22,Loan_Register!$A$2:$A$301,Loan_Register!$P$2:$P$301,""))</f>
        <v/>
      </c>
      <c r="F22" s="4">
        <f>IF($D22="","", IF($D22=0,"Current", IF($D22&lt;=7,"Early", IF($D22&lt;=30,"Watchlist", IF($D22&lt;=90,"Serious","Critical")))))</f>
        <v/>
      </c>
      <c r="G22" s="4" t="n"/>
      <c r="H22" s="4" t="n"/>
      <c r="I22" s="4" t="n"/>
      <c r="J22" s="5" t="n"/>
      <c r="K22" s="4" t="n"/>
    </row>
    <row r="23">
      <c r="A23" s="5" t="n"/>
      <c r="B23" s="4" t="n"/>
      <c r="C23" s="4" t="n"/>
      <c r="D23" s="4">
        <f>IF($B23="","", MAXIFS(Repayment_Ledger!$J$2:$J$801,Repayment_Ledger!$A$2:$A$801,$B23))</f>
        <v/>
      </c>
      <c r="E23" s="7">
        <f>IF($B23="","", XLOOKUP($B23,Loan_Register!$A$2:$A$301,Loan_Register!$P$2:$P$301,""))</f>
        <v/>
      </c>
      <c r="F23" s="4">
        <f>IF($D23="","", IF($D23=0,"Current", IF($D23&lt;=7,"Early", IF($D23&lt;=30,"Watchlist", IF($D23&lt;=90,"Serious","Critical")))))</f>
        <v/>
      </c>
      <c r="G23" s="4" t="n"/>
      <c r="H23" s="4" t="n"/>
      <c r="I23" s="4" t="n"/>
      <c r="J23" s="5" t="n"/>
      <c r="K23" s="4" t="n"/>
    </row>
    <row r="24">
      <c r="A24" s="5" t="n"/>
      <c r="B24" s="4" t="n"/>
      <c r="C24" s="4" t="n"/>
      <c r="D24" s="4">
        <f>IF($B24="","", MAXIFS(Repayment_Ledger!$J$2:$J$801,Repayment_Ledger!$A$2:$A$801,$B24))</f>
        <v/>
      </c>
      <c r="E24" s="7">
        <f>IF($B24="","", XLOOKUP($B24,Loan_Register!$A$2:$A$301,Loan_Register!$P$2:$P$301,""))</f>
        <v/>
      </c>
      <c r="F24" s="4">
        <f>IF($D24="","", IF($D24=0,"Current", IF($D24&lt;=7,"Early", IF($D24&lt;=30,"Watchlist", IF($D24&lt;=90,"Serious","Critical")))))</f>
        <v/>
      </c>
      <c r="G24" s="4" t="n"/>
      <c r="H24" s="4" t="n"/>
      <c r="I24" s="4" t="n"/>
      <c r="J24" s="5" t="n"/>
      <c r="K24" s="4" t="n"/>
    </row>
    <row r="25">
      <c r="A25" s="5" t="n"/>
      <c r="B25" s="4" t="n"/>
      <c r="C25" s="4" t="n"/>
      <c r="D25" s="4">
        <f>IF($B25="","", MAXIFS(Repayment_Ledger!$J$2:$J$801,Repayment_Ledger!$A$2:$A$801,$B25))</f>
        <v/>
      </c>
      <c r="E25" s="7">
        <f>IF($B25="","", XLOOKUP($B25,Loan_Register!$A$2:$A$301,Loan_Register!$P$2:$P$301,""))</f>
        <v/>
      </c>
      <c r="F25" s="4">
        <f>IF($D25="","", IF($D25=0,"Current", IF($D25&lt;=7,"Early", IF($D25&lt;=30,"Watchlist", IF($D25&lt;=90,"Serious","Critical")))))</f>
        <v/>
      </c>
      <c r="G25" s="4" t="n"/>
      <c r="H25" s="4" t="n"/>
      <c r="I25" s="4" t="n"/>
      <c r="J25" s="5" t="n"/>
      <c r="K25" s="4" t="n"/>
    </row>
    <row r="26">
      <c r="A26" s="5" t="n"/>
      <c r="B26" s="4" t="n"/>
      <c r="C26" s="4" t="n"/>
      <c r="D26" s="4">
        <f>IF($B26="","", MAXIFS(Repayment_Ledger!$J$2:$J$801,Repayment_Ledger!$A$2:$A$801,$B26))</f>
        <v/>
      </c>
      <c r="E26" s="7">
        <f>IF($B26="","", XLOOKUP($B26,Loan_Register!$A$2:$A$301,Loan_Register!$P$2:$P$301,""))</f>
        <v/>
      </c>
      <c r="F26" s="4">
        <f>IF($D26="","", IF($D26=0,"Current", IF($D26&lt;=7,"Early", IF($D26&lt;=30,"Watchlist", IF($D26&lt;=90,"Serious","Critical")))))</f>
        <v/>
      </c>
      <c r="G26" s="4" t="n"/>
      <c r="H26" s="4" t="n"/>
      <c r="I26" s="4" t="n"/>
      <c r="J26" s="5" t="n"/>
      <c r="K26" s="4" t="n"/>
    </row>
    <row r="27">
      <c r="A27" s="5" t="n"/>
      <c r="B27" s="4" t="n"/>
      <c r="C27" s="4" t="n"/>
      <c r="D27" s="4">
        <f>IF($B27="","", MAXIFS(Repayment_Ledger!$J$2:$J$801,Repayment_Ledger!$A$2:$A$801,$B27))</f>
        <v/>
      </c>
      <c r="E27" s="7">
        <f>IF($B27="","", XLOOKUP($B27,Loan_Register!$A$2:$A$301,Loan_Register!$P$2:$P$301,""))</f>
        <v/>
      </c>
      <c r="F27" s="4">
        <f>IF($D27="","", IF($D27=0,"Current", IF($D27&lt;=7,"Early", IF($D27&lt;=30,"Watchlist", IF($D27&lt;=90,"Serious","Critical")))))</f>
        <v/>
      </c>
      <c r="G27" s="4" t="n"/>
      <c r="H27" s="4" t="n"/>
      <c r="I27" s="4" t="n"/>
      <c r="J27" s="5" t="n"/>
      <c r="K27" s="4" t="n"/>
    </row>
    <row r="28">
      <c r="A28" s="5" t="n"/>
      <c r="B28" s="4" t="n"/>
      <c r="C28" s="4" t="n"/>
      <c r="D28" s="4">
        <f>IF($B28="","", MAXIFS(Repayment_Ledger!$J$2:$J$801,Repayment_Ledger!$A$2:$A$801,$B28))</f>
        <v/>
      </c>
      <c r="E28" s="7">
        <f>IF($B28="","", XLOOKUP($B28,Loan_Register!$A$2:$A$301,Loan_Register!$P$2:$P$301,""))</f>
        <v/>
      </c>
      <c r="F28" s="4">
        <f>IF($D28="","", IF($D28=0,"Current", IF($D28&lt;=7,"Early", IF($D28&lt;=30,"Watchlist", IF($D28&lt;=90,"Serious","Critical")))))</f>
        <v/>
      </c>
      <c r="G28" s="4" t="n"/>
      <c r="H28" s="4" t="n"/>
      <c r="I28" s="4" t="n"/>
      <c r="J28" s="5" t="n"/>
      <c r="K28" s="4" t="n"/>
    </row>
    <row r="29">
      <c r="A29" s="5" t="n"/>
      <c r="B29" s="4" t="n"/>
      <c r="C29" s="4" t="n"/>
      <c r="D29" s="4">
        <f>IF($B29="","", MAXIFS(Repayment_Ledger!$J$2:$J$801,Repayment_Ledger!$A$2:$A$801,$B29))</f>
        <v/>
      </c>
      <c r="E29" s="7">
        <f>IF($B29="","", XLOOKUP($B29,Loan_Register!$A$2:$A$301,Loan_Register!$P$2:$P$301,""))</f>
        <v/>
      </c>
      <c r="F29" s="4">
        <f>IF($D29="","", IF($D29=0,"Current", IF($D29&lt;=7,"Early", IF($D29&lt;=30,"Watchlist", IF($D29&lt;=90,"Serious","Critical")))))</f>
        <v/>
      </c>
      <c r="G29" s="4" t="n"/>
      <c r="H29" s="4" t="n"/>
      <c r="I29" s="4" t="n"/>
      <c r="J29" s="5" t="n"/>
      <c r="K29" s="4" t="n"/>
    </row>
    <row r="30">
      <c r="A30" s="5" t="n"/>
      <c r="B30" s="4" t="n"/>
      <c r="C30" s="4" t="n"/>
      <c r="D30" s="4">
        <f>IF($B30="","", MAXIFS(Repayment_Ledger!$J$2:$J$801,Repayment_Ledger!$A$2:$A$801,$B30))</f>
        <v/>
      </c>
      <c r="E30" s="7">
        <f>IF($B30="","", XLOOKUP($B30,Loan_Register!$A$2:$A$301,Loan_Register!$P$2:$P$301,""))</f>
        <v/>
      </c>
      <c r="F30" s="4">
        <f>IF($D30="","", IF($D30=0,"Current", IF($D30&lt;=7,"Early", IF($D30&lt;=30,"Watchlist", IF($D30&lt;=90,"Serious","Critical")))))</f>
        <v/>
      </c>
      <c r="G30" s="4" t="n"/>
      <c r="H30" s="4" t="n"/>
      <c r="I30" s="4" t="n"/>
      <c r="J30" s="5" t="n"/>
      <c r="K30" s="4" t="n"/>
    </row>
    <row r="31">
      <c r="A31" s="5" t="n"/>
      <c r="B31" s="4" t="n"/>
      <c r="C31" s="4" t="n"/>
      <c r="D31" s="4">
        <f>IF($B31="","", MAXIFS(Repayment_Ledger!$J$2:$J$801,Repayment_Ledger!$A$2:$A$801,$B31))</f>
        <v/>
      </c>
      <c r="E31" s="7">
        <f>IF($B31="","", XLOOKUP($B31,Loan_Register!$A$2:$A$301,Loan_Register!$P$2:$P$301,""))</f>
        <v/>
      </c>
      <c r="F31" s="4">
        <f>IF($D31="","", IF($D31=0,"Current", IF($D31&lt;=7,"Early", IF($D31&lt;=30,"Watchlist", IF($D31&lt;=90,"Serious","Critical")))))</f>
        <v/>
      </c>
      <c r="G31" s="4" t="n"/>
      <c r="H31" s="4" t="n"/>
      <c r="I31" s="4" t="n"/>
      <c r="J31" s="5" t="n"/>
      <c r="K31" s="4" t="n"/>
    </row>
    <row r="32">
      <c r="A32" s="5" t="n"/>
      <c r="B32" s="4" t="n"/>
      <c r="C32" s="4" t="n"/>
      <c r="D32" s="4">
        <f>IF($B32="","", MAXIFS(Repayment_Ledger!$J$2:$J$801,Repayment_Ledger!$A$2:$A$801,$B32))</f>
        <v/>
      </c>
      <c r="E32" s="7">
        <f>IF($B32="","", XLOOKUP($B32,Loan_Register!$A$2:$A$301,Loan_Register!$P$2:$P$301,""))</f>
        <v/>
      </c>
      <c r="F32" s="4">
        <f>IF($D32="","", IF($D32=0,"Current", IF($D32&lt;=7,"Early", IF($D32&lt;=30,"Watchlist", IF($D32&lt;=90,"Serious","Critical")))))</f>
        <v/>
      </c>
      <c r="G32" s="4" t="n"/>
      <c r="H32" s="4" t="n"/>
      <c r="I32" s="4" t="n"/>
      <c r="J32" s="5" t="n"/>
      <c r="K32" s="4" t="n"/>
    </row>
    <row r="33">
      <c r="A33" s="5" t="n"/>
      <c r="B33" s="4" t="n"/>
      <c r="C33" s="4" t="n"/>
      <c r="D33" s="4">
        <f>IF($B33="","", MAXIFS(Repayment_Ledger!$J$2:$J$801,Repayment_Ledger!$A$2:$A$801,$B33))</f>
        <v/>
      </c>
      <c r="E33" s="7">
        <f>IF($B33="","", XLOOKUP($B33,Loan_Register!$A$2:$A$301,Loan_Register!$P$2:$P$301,""))</f>
        <v/>
      </c>
      <c r="F33" s="4">
        <f>IF($D33="","", IF($D33=0,"Current", IF($D33&lt;=7,"Early", IF($D33&lt;=30,"Watchlist", IF($D33&lt;=90,"Serious","Critical")))))</f>
        <v/>
      </c>
      <c r="G33" s="4" t="n"/>
      <c r="H33" s="4" t="n"/>
      <c r="I33" s="4" t="n"/>
      <c r="J33" s="5" t="n"/>
      <c r="K33" s="4" t="n"/>
    </row>
    <row r="34">
      <c r="A34" s="5" t="n"/>
      <c r="B34" s="4" t="n"/>
      <c r="C34" s="4" t="n"/>
      <c r="D34" s="4">
        <f>IF($B34="","", MAXIFS(Repayment_Ledger!$J$2:$J$801,Repayment_Ledger!$A$2:$A$801,$B34))</f>
        <v/>
      </c>
      <c r="E34" s="7">
        <f>IF($B34="","", XLOOKUP($B34,Loan_Register!$A$2:$A$301,Loan_Register!$P$2:$P$301,""))</f>
        <v/>
      </c>
      <c r="F34" s="4">
        <f>IF($D34="","", IF($D34=0,"Current", IF($D34&lt;=7,"Early", IF($D34&lt;=30,"Watchlist", IF($D34&lt;=90,"Serious","Critical")))))</f>
        <v/>
      </c>
      <c r="G34" s="4" t="n"/>
      <c r="H34" s="4" t="n"/>
      <c r="I34" s="4" t="n"/>
      <c r="J34" s="5" t="n"/>
      <c r="K34" s="4" t="n"/>
    </row>
    <row r="35">
      <c r="A35" s="5" t="n"/>
      <c r="B35" s="4" t="n"/>
      <c r="C35" s="4" t="n"/>
      <c r="D35" s="4">
        <f>IF($B35="","", MAXIFS(Repayment_Ledger!$J$2:$J$801,Repayment_Ledger!$A$2:$A$801,$B35))</f>
        <v/>
      </c>
      <c r="E35" s="7">
        <f>IF($B35="","", XLOOKUP($B35,Loan_Register!$A$2:$A$301,Loan_Register!$P$2:$P$301,""))</f>
        <v/>
      </c>
      <c r="F35" s="4">
        <f>IF($D35="","", IF($D35=0,"Current", IF($D35&lt;=7,"Early", IF($D35&lt;=30,"Watchlist", IF($D35&lt;=90,"Serious","Critical")))))</f>
        <v/>
      </c>
      <c r="G35" s="4" t="n"/>
      <c r="H35" s="4" t="n"/>
      <c r="I35" s="4" t="n"/>
      <c r="J35" s="5" t="n"/>
      <c r="K35" s="4" t="n"/>
    </row>
    <row r="36">
      <c r="A36" s="5" t="n"/>
      <c r="B36" s="4" t="n"/>
      <c r="C36" s="4" t="n"/>
      <c r="D36" s="4">
        <f>IF($B36="","", MAXIFS(Repayment_Ledger!$J$2:$J$801,Repayment_Ledger!$A$2:$A$801,$B36))</f>
        <v/>
      </c>
      <c r="E36" s="7">
        <f>IF($B36="","", XLOOKUP($B36,Loan_Register!$A$2:$A$301,Loan_Register!$P$2:$P$301,""))</f>
        <v/>
      </c>
      <c r="F36" s="4">
        <f>IF($D36="","", IF($D36=0,"Current", IF($D36&lt;=7,"Early", IF($D36&lt;=30,"Watchlist", IF($D36&lt;=90,"Serious","Critical")))))</f>
        <v/>
      </c>
      <c r="G36" s="4" t="n"/>
      <c r="H36" s="4" t="n"/>
      <c r="I36" s="4" t="n"/>
      <c r="J36" s="5" t="n"/>
      <c r="K36" s="4" t="n"/>
    </row>
    <row r="37">
      <c r="A37" s="5" t="n"/>
      <c r="B37" s="4" t="n"/>
      <c r="C37" s="4" t="n"/>
      <c r="D37" s="4">
        <f>IF($B37="","", MAXIFS(Repayment_Ledger!$J$2:$J$801,Repayment_Ledger!$A$2:$A$801,$B37))</f>
        <v/>
      </c>
      <c r="E37" s="7">
        <f>IF($B37="","", XLOOKUP($B37,Loan_Register!$A$2:$A$301,Loan_Register!$P$2:$P$301,""))</f>
        <v/>
      </c>
      <c r="F37" s="4">
        <f>IF($D37="","", IF($D37=0,"Current", IF($D37&lt;=7,"Early", IF($D37&lt;=30,"Watchlist", IF($D37&lt;=90,"Serious","Critical")))))</f>
        <v/>
      </c>
      <c r="G37" s="4" t="n"/>
      <c r="H37" s="4" t="n"/>
      <c r="I37" s="4" t="n"/>
      <c r="J37" s="5" t="n"/>
      <c r="K37" s="4" t="n"/>
    </row>
    <row r="38">
      <c r="A38" s="5" t="n"/>
      <c r="B38" s="4" t="n"/>
      <c r="C38" s="4" t="n"/>
      <c r="D38" s="4">
        <f>IF($B38="","", MAXIFS(Repayment_Ledger!$J$2:$J$801,Repayment_Ledger!$A$2:$A$801,$B38))</f>
        <v/>
      </c>
      <c r="E38" s="7">
        <f>IF($B38="","", XLOOKUP($B38,Loan_Register!$A$2:$A$301,Loan_Register!$P$2:$P$301,""))</f>
        <v/>
      </c>
      <c r="F38" s="4">
        <f>IF($D38="","", IF($D38=0,"Current", IF($D38&lt;=7,"Early", IF($D38&lt;=30,"Watchlist", IF($D38&lt;=90,"Serious","Critical")))))</f>
        <v/>
      </c>
      <c r="G38" s="4" t="n"/>
      <c r="H38" s="4" t="n"/>
      <c r="I38" s="4" t="n"/>
      <c r="J38" s="5" t="n"/>
      <c r="K38" s="4" t="n"/>
    </row>
    <row r="39">
      <c r="A39" s="5" t="n"/>
      <c r="B39" s="4" t="n"/>
      <c r="C39" s="4" t="n"/>
      <c r="D39" s="4">
        <f>IF($B39="","", MAXIFS(Repayment_Ledger!$J$2:$J$801,Repayment_Ledger!$A$2:$A$801,$B39))</f>
        <v/>
      </c>
      <c r="E39" s="7">
        <f>IF($B39="","", XLOOKUP($B39,Loan_Register!$A$2:$A$301,Loan_Register!$P$2:$P$301,""))</f>
        <v/>
      </c>
      <c r="F39" s="4">
        <f>IF($D39="","", IF($D39=0,"Current", IF($D39&lt;=7,"Early", IF($D39&lt;=30,"Watchlist", IF($D39&lt;=90,"Serious","Critical")))))</f>
        <v/>
      </c>
      <c r="G39" s="4" t="n"/>
      <c r="H39" s="4" t="n"/>
      <c r="I39" s="4" t="n"/>
      <c r="J39" s="5" t="n"/>
      <c r="K39" s="4" t="n"/>
    </row>
    <row r="40">
      <c r="A40" s="5" t="n"/>
      <c r="B40" s="4" t="n"/>
      <c r="C40" s="4" t="n"/>
      <c r="D40" s="4">
        <f>IF($B40="","", MAXIFS(Repayment_Ledger!$J$2:$J$801,Repayment_Ledger!$A$2:$A$801,$B40))</f>
        <v/>
      </c>
      <c r="E40" s="7">
        <f>IF($B40="","", XLOOKUP($B40,Loan_Register!$A$2:$A$301,Loan_Register!$P$2:$P$301,""))</f>
        <v/>
      </c>
      <c r="F40" s="4">
        <f>IF($D40="","", IF($D40=0,"Current", IF($D40&lt;=7,"Early", IF($D40&lt;=30,"Watchlist", IF($D40&lt;=90,"Serious","Critical")))))</f>
        <v/>
      </c>
      <c r="G40" s="4" t="n"/>
      <c r="H40" s="4" t="n"/>
      <c r="I40" s="4" t="n"/>
      <c r="J40" s="5" t="n"/>
      <c r="K40" s="4" t="n"/>
    </row>
    <row r="41">
      <c r="A41" s="5" t="n"/>
      <c r="B41" s="4" t="n"/>
      <c r="C41" s="4" t="n"/>
      <c r="D41" s="4">
        <f>IF($B41="","", MAXIFS(Repayment_Ledger!$J$2:$J$801,Repayment_Ledger!$A$2:$A$801,$B41))</f>
        <v/>
      </c>
      <c r="E41" s="7">
        <f>IF($B41="","", XLOOKUP($B41,Loan_Register!$A$2:$A$301,Loan_Register!$P$2:$P$301,""))</f>
        <v/>
      </c>
      <c r="F41" s="4">
        <f>IF($D41="","", IF($D41=0,"Current", IF($D41&lt;=7,"Early", IF($D41&lt;=30,"Watchlist", IF($D41&lt;=90,"Serious","Critical")))))</f>
        <v/>
      </c>
      <c r="G41" s="4" t="n"/>
      <c r="H41" s="4" t="n"/>
      <c r="I41" s="4" t="n"/>
      <c r="J41" s="5" t="n"/>
      <c r="K41" s="4" t="n"/>
    </row>
    <row r="42">
      <c r="A42" s="5" t="n"/>
      <c r="B42" s="4" t="n"/>
      <c r="C42" s="4" t="n"/>
      <c r="D42" s="4">
        <f>IF($B42="","", MAXIFS(Repayment_Ledger!$J$2:$J$801,Repayment_Ledger!$A$2:$A$801,$B42))</f>
        <v/>
      </c>
      <c r="E42" s="7">
        <f>IF($B42="","", XLOOKUP($B42,Loan_Register!$A$2:$A$301,Loan_Register!$P$2:$P$301,""))</f>
        <v/>
      </c>
      <c r="F42" s="4">
        <f>IF($D42="","", IF($D42=0,"Current", IF($D42&lt;=7,"Early", IF($D42&lt;=30,"Watchlist", IF($D42&lt;=90,"Serious","Critical")))))</f>
        <v/>
      </c>
      <c r="G42" s="4" t="n"/>
      <c r="H42" s="4" t="n"/>
      <c r="I42" s="4" t="n"/>
      <c r="J42" s="5" t="n"/>
      <c r="K42" s="4" t="n"/>
    </row>
    <row r="43">
      <c r="A43" s="5" t="n"/>
      <c r="B43" s="4" t="n"/>
      <c r="C43" s="4" t="n"/>
      <c r="D43" s="4">
        <f>IF($B43="","", MAXIFS(Repayment_Ledger!$J$2:$J$801,Repayment_Ledger!$A$2:$A$801,$B43))</f>
        <v/>
      </c>
      <c r="E43" s="7">
        <f>IF($B43="","", XLOOKUP($B43,Loan_Register!$A$2:$A$301,Loan_Register!$P$2:$P$301,""))</f>
        <v/>
      </c>
      <c r="F43" s="4">
        <f>IF($D43="","", IF($D43=0,"Current", IF($D43&lt;=7,"Early", IF($D43&lt;=30,"Watchlist", IF($D43&lt;=90,"Serious","Critical")))))</f>
        <v/>
      </c>
      <c r="G43" s="4" t="n"/>
      <c r="H43" s="4" t="n"/>
      <c r="I43" s="4" t="n"/>
      <c r="J43" s="5" t="n"/>
      <c r="K43" s="4" t="n"/>
    </row>
    <row r="44">
      <c r="A44" s="5" t="n"/>
      <c r="B44" s="4" t="n"/>
      <c r="C44" s="4" t="n"/>
      <c r="D44" s="4">
        <f>IF($B44="","", MAXIFS(Repayment_Ledger!$J$2:$J$801,Repayment_Ledger!$A$2:$A$801,$B44))</f>
        <v/>
      </c>
      <c r="E44" s="7">
        <f>IF($B44="","", XLOOKUP($B44,Loan_Register!$A$2:$A$301,Loan_Register!$P$2:$P$301,""))</f>
        <v/>
      </c>
      <c r="F44" s="4">
        <f>IF($D44="","", IF($D44=0,"Current", IF($D44&lt;=7,"Early", IF($D44&lt;=30,"Watchlist", IF($D44&lt;=90,"Serious","Critical")))))</f>
        <v/>
      </c>
      <c r="G44" s="4" t="n"/>
      <c r="H44" s="4" t="n"/>
      <c r="I44" s="4" t="n"/>
      <c r="J44" s="5" t="n"/>
      <c r="K44" s="4" t="n"/>
    </row>
    <row r="45">
      <c r="A45" s="5" t="n"/>
      <c r="B45" s="4" t="n"/>
      <c r="C45" s="4" t="n"/>
      <c r="D45" s="4">
        <f>IF($B45="","", MAXIFS(Repayment_Ledger!$J$2:$J$801,Repayment_Ledger!$A$2:$A$801,$B45))</f>
        <v/>
      </c>
      <c r="E45" s="7">
        <f>IF($B45="","", XLOOKUP($B45,Loan_Register!$A$2:$A$301,Loan_Register!$P$2:$P$301,""))</f>
        <v/>
      </c>
      <c r="F45" s="4">
        <f>IF($D45="","", IF($D45=0,"Current", IF($D45&lt;=7,"Early", IF($D45&lt;=30,"Watchlist", IF($D45&lt;=90,"Serious","Critical")))))</f>
        <v/>
      </c>
      <c r="G45" s="4" t="n"/>
      <c r="H45" s="4" t="n"/>
      <c r="I45" s="4" t="n"/>
      <c r="J45" s="5" t="n"/>
      <c r="K45" s="4" t="n"/>
    </row>
    <row r="46">
      <c r="A46" s="5" t="n"/>
      <c r="B46" s="4" t="n"/>
      <c r="C46" s="4" t="n"/>
      <c r="D46" s="4">
        <f>IF($B46="","", MAXIFS(Repayment_Ledger!$J$2:$J$801,Repayment_Ledger!$A$2:$A$801,$B46))</f>
        <v/>
      </c>
      <c r="E46" s="7">
        <f>IF($B46="","", XLOOKUP($B46,Loan_Register!$A$2:$A$301,Loan_Register!$P$2:$P$301,""))</f>
        <v/>
      </c>
      <c r="F46" s="4">
        <f>IF($D46="","", IF($D46=0,"Current", IF($D46&lt;=7,"Early", IF($D46&lt;=30,"Watchlist", IF($D46&lt;=90,"Serious","Critical")))))</f>
        <v/>
      </c>
      <c r="G46" s="4" t="n"/>
      <c r="H46" s="4" t="n"/>
      <c r="I46" s="4" t="n"/>
      <c r="J46" s="5" t="n"/>
      <c r="K46" s="4" t="n"/>
    </row>
    <row r="47">
      <c r="A47" s="5" t="n"/>
      <c r="B47" s="4" t="n"/>
      <c r="C47" s="4" t="n"/>
      <c r="D47" s="4">
        <f>IF($B47="","", MAXIFS(Repayment_Ledger!$J$2:$J$801,Repayment_Ledger!$A$2:$A$801,$B47))</f>
        <v/>
      </c>
      <c r="E47" s="7">
        <f>IF($B47="","", XLOOKUP($B47,Loan_Register!$A$2:$A$301,Loan_Register!$P$2:$P$301,""))</f>
        <v/>
      </c>
      <c r="F47" s="4">
        <f>IF($D47="","", IF($D47=0,"Current", IF($D47&lt;=7,"Early", IF($D47&lt;=30,"Watchlist", IF($D47&lt;=90,"Serious","Critical")))))</f>
        <v/>
      </c>
      <c r="G47" s="4" t="n"/>
      <c r="H47" s="4" t="n"/>
      <c r="I47" s="4" t="n"/>
      <c r="J47" s="5" t="n"/>
      <c r="K47" s="4" t="n"/>
    </row>
    <row r="48">
      <c r="A48" s="5" t="n"/>
      <c r="B48" s="4" t="n"/>
      <c r="C48" s="4" t="n"/>
      <c r="D48" s="4">
        <f>IF($B48="","", MAXIFS(Repayment_Ledger!$J$2:$J$801,Repayment_Ledger!$A$2:$A$801,$B48))</f>
        <v/>
      </c>
      <c r="E48" s="7">
        <f>IF($B48="","", XLOOKUP($B48,Loan_Register!$A$2:$A$301,Loan_Register!$P$2:$P$301,""))</f>
        <v/>
      </c>
      <c r="F48" s="4">
        <f>IF($D48="","", IF($D48=0,"Current", IF($D48&lt;=7,"Early", IF($D48&lt;=30,"Watchlist", IF($D48&lt;=90,"Serious","Critical")))))</f>
        <v/>
      </c>
      <c r="G48" s="4" t="n"/>
      <c r="H48" s="4" t="n"/>
      <c r="I48" s="4" t="n"/>
      <c r="J48" s="5" t="n"/>
      <c r="K48" s="4" t="n"/>
    </row>
    <row r="49">
      <c r="A49" s="5" t="n"/>
      <c r="B49" s="4" t="n"/>
      <c r="C49" s="4" t="n"/>
      <c r="D49" s="4">
        <f>IF($B49="","", MAXIFS(Repayment_Ledger!$J$2:$J$801,Repayment_Ledger!$A$2:$A$801,$B49))</f>
        <v/>
      </c>
      <c r="E49" s="7">
        <f>IF($B49="","", XLOOKUP($B49,Loan_Register!$A$2:$A$301,Loan_Register!$P$2:$P$301,""))</f>
        <v/>
      </c>
      <c r="F49" s="4">
        <f>IF($D49="","", IF($D49=0,"Current", IF($D49&lt;=7,"Early", IF($D49&lt;=30,"Watchlist", IF($D49&lt;=90,"Serious","Critical")))))</f>
        <v/>
      </c>
      <c r="G49" s="4" t="n"/>
      <c r="H49" s="4" t="n"/>
      <c r="I49" s="4" t="n"/>
      <c r="J49" s="5" t="n"/>
      <c r="K49" s="4" t="n"/>
    </row>
    <row r="50">
      <c r="A50" s="5" t="n"/>
      <c r="B50" s="4" t="n"/>
      <c r="C50" s="4" t="n"/>
      <c r="D50" s="4">
        <f>IF($B50="","", MAXIFS(Repayment_Ledger!$J$2:$J$801,Repayment_Ledger!$A$2:$A$801,$B50))</f>
        <v/>
      </c>
      <c r="E50" s="7">
        <f>IF($B50="","", XLOOKUP($B50,Loan_Register!$A$2:$A$301,Loan_Register!$P$2:$P$301,""))</f>
        <v/>
      </c>
      <c r="F50" s="4">
        <f>IF($D50="","", IF($D50=0,"Current", IF($D50&lt;=7,"Early", IF($D50&lt;=30,"Watchlist", IF($D50&lt;=90,"Serious","Critical")))))</f>
        <v/>
      </c>
      <c r="G50" s="4" t="n"/>
      <c r="H50" s="4" t="n"/>
      <c r="I50" s="4" t="n"/>
      <c r="J50" s="5" t="n"/>
      <c r="K50" s="4" t="n"/>
    </row>
    <row r="51">
      <c r="A51" s="5" t="n"/>
      <c r="B51" s="4" t="n"/>
      <c r="C51" s="4" t="n"/>
      <c r="D51" s="4">
        <f>IF($B51="","", MAXIFS(Repayment_Ledger!$J$2:$J$801,Repayment_Ledger!$A$2:$A$801,$B51))</f>
        <v/>
      </c>
      <c r="E51" s="7">
        <f>IF($B51="","", XLOOKUP($B51,Loan_Register!$A$2:$A$301,Loan_Register!$P$2:$P$301,""))</f>
        <v/>
      </c>
      <c r="F51" s="4">
        <f>IF($D51="","", IF($D51=0,"Current", IF($D51&lt;=7,"Early", IF($D51&lt;=30,"Watchlist", IF($D51&lt;=90,"Serious","Critical")))))</f>
        <v/>
      </c>
      <c r="G51" s="4" t="n"/>
      <c r="H51" s="4" t="n"/>
      <c r="I51" s="4" t="n"/>
      <c r="J51" s="5" t="n"/>
      <c r="K51" s="4" t="n"/>
    </row>
    <row r="52">
      <c r="A52" s="5" t="n"/>
      <c r="B52" s="4" t="n"/>
      <c r="C52" s="4" t="n"/>
      <c r="D52" s="4">
        <f>IF($B52="","", MAXIFS(Repayment_Ledger!$J$2:$J$801,Repayment_Ledger!$A$2:$A$801,$B52))</f>
        <v/>
      </c>
      <c r="E52" s="7">
        <f>IF($B52="","", XLOOKUP($B52,Loan_Register!$A$2:$A$301,Loan_Register!$P$2:$P$301,""))</f>
        <v/>
      </c>
      <c r="F52" s="4">
        <f>IF($D52="","", IF($D52=0,"Current", IF($D52&lt;=7,"Early", IF($D52&lt;=30,"Watchlist", IF($D52&lt;=90,"Serious","Critical")))))</f>
        <v/>
      </c>
      <c r="G52" s="4" t="n"/>
      <c r="H52" s="4" t="n"/>
      <c r="I52" s="4" t="n"/>
      <c r="J52" s="5" t="n"/>
      <c r="K52" s="4" t="n"/>
    </row>
    <row r="53">
      <c r="A53" s="5" t="n"/>
      <c r="B53" s="4" t="n"/>
      <c r="C53" s="4" t="n"/>
      <c r="D53" s="4">
        <f>IF($B53="","", MAXIFS(Repayment_Ledger!$J$2:$J$801,Repayment_Ledger!$A$2:$A$801,$B53))</f>
        <v/>
      </c>
      <c r="E53" s="7">
        <f>IF($B53="","", XLOOKUP($B53,Loan_Register!$A$2:$A$301,Loan_Register!$P$2:$P$301,""))</f>
        <v/>
      </c>
      <c r="F53" s="4">
        <f>IF($D53="","", IF($D53=0,"Current", IF($D53&lt;=7,"Early", IF($D53&lt;=30,"Watchlist", IF($D53&lt;=90,"Serious","Critical")))))</f>
        <v/>
      </c>
      <c r="G53" s="4" t="n"/>
      <c r="H53" s="4" t="n"/>
      <c r="I53" s="4" t="n"/>
      <c r="J53" s="5" t="n"/>
      <c r="K53" s="4" t="n"/>
    </row>
    <row r="54">
      <c r="A54" s="5" t="n"/>
      <c r="B54" s="4" t="n"/>
      <c r="C54" s="4" t="n"/>
      <c r="D54" s="4">
        <f>IF($B54="","", MAXIFS(Repayment_Ledger!$J$2:$J$801,Repayment_Ledger!$A$2:$A$801,$B54))</f>
        <v/>
      </c>
      <c r="E54" s="7">
        <f>IF($B54="","", XLOOKUP($B54,Loan_Register!$A$2:$A$301,Loan_Register!$P$2:$P$301,""))</f>
        <v/>
      </c>
      <c r="F54" s="4">
        <f>IF($D54="","", IF($D54=0,"Current", IF($D54&lt;=7,"Early", IF($D54&lt;=30,"Watchlist", IF($D54&lt;=90,"Serious","Critical")))))</f>
        <v/>
      </c>
      <c r="G54" s="4" t="n"/>
      <c r="H54" s="4" t="n"/>
      <c r="I54" s="4" t="n"/>
      <c r="J54" s="5" t="n"/>
      <c r="K54" s="4" t="n"/>
    </row>
    <row r="55">
      <c r="A55" s="5" t="n"/>
      <c r="B55" s="4" t="n"/>
      <c r="C55" s="4" t="n"/>
      <c r="D55" s="4">
        <f>IF($B55="","", MAXIFS(Repayment_Ledger!$J$2:$J$801,Repayment_Ledger!$A$2:$A$801,$B55))</f>
        <v/>
      </c>
      <c r="E55" s="7">
        <f>IF($B55="","", XLOOKUP($B55,Loan_Register!$A$2:$A$301,Loan_Register!$P$2:$P$301,""))</f>
        <v/>
      </c>
      <c r="F55" s="4">
        <f>IF($D55="","", IF($D55=0,"Current", IF($D55&lt;=7,"Early", IF($D55&lt;=30,"Watchlist", IF($D55&lt;=90,"Serious","Critical")))))</f>
        <v/>
      </c>
      <c r="G55" s="4" t="n"/>
      <c r="H55" s="4" t="n"/>
      <c r="I55" s="4" t="n"/>
      <c r="J55" s="5" t="n"/>
      <c r="K55" s="4" t="n"/>
    </row>
    <row r="56">
      <c r="A56" s="5" t="n"/>
      <c r="B56" s="4" t="n"/>
      <c r="C56" s="4" t="n"/>
      <c r="D56" s="4">
        <f>IF($B56="","", MAXIFS(Repayment_Ledger!$J$2:$J$801,Repayment_Ledger!$A$2:$A$801,$B56))</f>
        <v/>
      </c>
      <c r="E56" s="7">
        <f>IF($B56="","", XLOOKUP($B56,Loan_Register!$A$2:$A$301,Loan_Register!$P$2:$P$301,""))</f>
        <v/>
      </c>
      <c r="F56" s="4">
        <f>IF($D56="","", IF($D56=0,"Current", IF($D56&lt;=7,"Early", IF($D56&lt;=30,"Watchlist", IF($D56&lt;=90,"Serious","Critical")))))</f>
        <v/>
      </c>
      <c r="G56" s="4" t="n"/>
      <c r="H56" s="4" t="n"/>
      <c r="I56" s="4" t="n"/>
      <c r="J56" s="5" t="n"/>
      <c r="K56" s="4" t="n"/>
    </row>
    <row r="57">
      <c r="A57" s="5" t="n"/>
      <c r="B57" s="4" t="n"/>
      <c r="C57" s="4" t="n"/>
      <c r="D57" s="4">
        <f>IF($B57="","", MAXIFS(Repayment_Ledger!$J$2:$J$801,Repayment_Ledger!$A$2:$A$801,$B57))</f>
        <v/>
      </c>
      <c r="E57" s="7">
        <f>IF($B57="","", XLOOKUP($B57,Loan_Register!$A$2:$A$301,Loan_Register!$P$2:$P$301,""))</f>
        <v/>
      </c>
      <c r="F57" s="4">
        <f>IF($D57="","", IF($D57=0,"Current", IF($D57&lt;=7,"Early", IF($D57&lt;=30,"Watchlist", IF($D57&lt;=90,"Serious","Critical")))))</f>
        <v/>
      </c>
      <c r="G57" s="4" t="n"/>
      <c r="H57" s="4" t="n"/>
      <c r="I57" s="4" t="n"/>
      <c r="J57" s="5" t="n"/>
      <c r="K57" s="4" t="n"/>
    </row>
    <row r="58">
      <c r="A58" s="5" t="n"/>
      <c r="B58" s="4" t="n"/>
      <c r="C58" s="4" t="n"/>
      <c r="D58" s="4">
        <f>IF($B58="","", MAXIFS(Repayment_Ledger!$J$2:$J$801,Repayment_Ledger!$A$2:$A$801,$B58))</f>
        <v/>
      </c>
      <c r="E58" s="7">
        <f>IF($B58="","", XLOOKUP($B58,Loan_Register!$A$2:$A$301,Loan_Register!$P$2:$P$301,""))</f>
        <v/>
      </c>
      <c r="F58" s="4">
        <f>IF($D58="","", IF($D58=0,"Current", IF($D58&lt;=7,"Early", IF($D58&lt;=30,"Watchlist", IF($D58&lt;=90,"Serious","Critical")))))</f>
        <v/>
      </c>
      <c r="G58" s="4" t="n"/>
      <c r="H58" s="4" t="n"/>
      <c r="I58" s="4" t="n"/>
      <c r="J58" s="5" t="n"/>
      <c r="K58" s="4" t="n"/>
    </row>
    <row r="59">
      <c r="A59" s="5" t="n"/>
      <c r="B59" s="4" t="n"/>
      <c r="C59" s="4" t="n"/>
      <c r="D59" s="4">
        <f>IF($B59="","", MAXIFS(Repayment_Ledger!$J$2:$J$801,Repayment_Ledger!$A$2:$A$801,$B59))</f>
        <v/>
      </c>
      <c r="E59" s="7">
        <f>IF($B59="","", XLOOKUP($B59,Loan_Register!$A$2:$A$301,Loan_Register!$P$2:$P$301,""))</f>
        <v/>
      </c>
      <c r="F59" s="4">
        <f>IF($D59="","", IF($D59=0,"Current", IF($D59&lt;=7,"Early", IF($D59&lt;=30,"Watchlist", IF($D59&lt;=90,"Serious","Critical")))))</f>
        <v/>
      </c>
      <c r="G59" s="4" t="n"/>
      <c r="H59" s="4" t="n"/>
      <c r="I59" s="4" t="n"/>
      <c r="J59" s="5" t="n"/>
      <c r="K59" s="4" t="n"/>
    </row>
    <row r="60">
      <c r="A60" s="5" t="n"/>
      <c r="B60" s="4" t="n"/>
      <c r="C60" s="4" t="n"/>
      <c r="D60" s="4">
        <f>IF($B60="","", MAXIFS(Repayment_Ledger!$J$2:$J$801,Repayment_Ledger!$A$2:$A$801,$B60))</f>
        <v/>
      </c>
      <c r="E60" s="7">
        <f>IF($B60="","", XLOOKUP($B60,Loan_Register!$A$2:$A$301,Loan_Register!$P$2:$P$301,""))</f>
        <v/>
      </c>
      <c r="F60" s="4">
        <f>IF($D60="","", IF($D60=0,"Current", IF($D60&lt;=7,"Early", IF($D60&lt;=30,"Watchlist", IF($D60&lt;=90,"Serious","Critical")))))</f>
        <v/>
      </c>
      <c r="G60" s="4" t="n"/>
      <c r="H60" s="4" t="n"/>
      <c r="I60" s="4" t="n"/>
      <c r="J60" s="5" t="n"/>
      <c r="K60" s="4" t="n"/>
    </row>
    <row r="61">
      <c r="A61" s="5" t="n"/>
      <c r="B61" s="4" t="n"/>
      <c r="C61" s="4" t="n"/>
      <c r="D61" s="4">
        <f>IF($B61="","", MAXIFS(Repayment_Ledger!$J$2:$J$801,Repayment_Ledger!$A$2:$A$801,$B61))</f>
        <v/>
      </c>
      <c r="E61" s="7">
        <f>IF($B61="","", XLOOKUP($B61,Loan_Register!$A$2:$A$301,Loan_Register!$P$2:$P$301,""))</f>
        <v/>
      </c>
      <c r="F61" s="4">
        <f>IF($D61="","", IF($D61=0,"Current", IF($D61&lt;=7,"Early", IF($D61&lt;=30,"Watchlist", IF($D61&lt;=90,"Serious","Critical")))))</f>
        <v/>
      </c>
      <c r="G61" s="4" t="n"/>
      <c r="H61" s="4" t="n"/>
      <c r="I61" s="4" t="n"/>
      <c r="J61" s="5" t="n"/>
      <c r="K61" s="4" t="n"/>
    </row>
    <row r="62">
      <c r="A62" s="5" t="n"/>
      <c r="B62" s="4" t="n"/>
      <c r="C62" s="4" t="n"/>
      <c r="D62" s="4">
        <f>IF($B62="","", MAXIFS(Repayment_Ledger!$J$2:$J$801,Repayment_Ledger!$A$2:$A$801,$B62))</f>
        <v/>
      </c>
      <c r="E62" s="7">
        <f>IF($B62="","", XLOOKUP($B62,Loan_Register!$A$2:$A$301,Loan_Register!$P$2:$P$301,""))</f>
        <v/>
      </c>
      <c r="F62" s="4">
        <f>IF($D62="","", IF($D62=0,"Current", IF($D62&lt;=7,"Early", IF($D62&lt;=30,"Watchlist", IF($D62&lt;=90,"Serious","Critical")))))</f>
        <v/>
      </c>
      <c r="G62" s="4" t="n"/>
      <c r="H62" s="4" t="n"/>
      <c r="I62" s="4" t="n"/>
      <c r="J62" s="5" t="n"/>
      <c r="K62" s="4" t="n"/>
    </row>
    <row r="63">
      <c r="A63" s="5" t="n"/>
      <c r="B63" s="4" t="n"/>
      <c r="C63" s="4" t="n"/>
      <c r="D63" s="4">
        <f>IF($B63="","", MAXIFS(Repayment_Ledger!$J$2:$J$801,Repayment_Ledger!$A$2:$A$801,$B63))</f>
        <v/>
      </c>
      <c r="E63" s="7">
        <f>IF($B63="","", XLOOKUP($B63,Loan_Register!$A$2:$A$301,Loan_Register!$P$2:$P$301,""))</f>
        <v/>
      </c>
      <c r="F63" s="4">
        <f>IF($D63="","", IF($D63=0,"Current", IF($D63&lt;=7,"Early", IF($D63&lt;=30,"Watchlist", IF($D63&lt;=90,"Serious","Critical")))))</f>
        <v/>
      </c>
      <c r="G63" s="4" t="n"/>
      <c r="H63" s="4" t="n"/>
      <c r="I63" s="4" t="n"/>
      <c r="J63" s="5" t="n"/>
      <c r="K63" s="4" t="n"/>
    </row>
    <row r="64">
      <c r="A64" s="5" t="n"/>
      <c r="B64" s="4" t="n"/>
      <c r="C64" s="4" t="n"/>
      <c r="D64" s="4">
        <f>IF($B64="","", MAXIFS(Repayment_Ledger!$J$2:$J$801,Repayment_Ledger!$A$2:$A$801,$B64))</f>
        <v/>
      </c>
      <c r="E64" s="7">
        <f>IF($B64="","", XLOOKUP($B64,Loan_Register!$A$2:$A$301,Loan_Register!$P$2:$P$301,""))</f>
        <v/>
      </c>
      <c r="F64" s="4">
        <f>IF($D64="","", IF($D64=0,"Current", IF($D64&lt;=7,"Early", IF($D64&lt;=30,"Watchlist", IF($D64&lt;=90,"Serious","Critical")))))</f>
        <v/>
      </c>
      <c r="G64" s="4" t="n"/>
      <c r="H64" s="4" t="n"/>
      <c r="I64" s="4" t="n"/>
      <c r="J64" s="5" t="n"/>
      <c r="K64" s="4" t="n"/>
    </row>
    <row r="65">
      <c r="A65" s="5" t="n"/>
      <c r="B65" s="4" t="n"/>
      <c r="C65" s="4" t="n"/>
      <c r="D65" s="4">
        <f>IF($B65="","", MAXIFS(Repayment_Ledger!$J$2:$J$801,Repayment_Ledger!$A$2:$A$801,$B65))</f>
        <v/>
      </c>
      <c r="E65" s="7">
        <f>IF($B65="","", XLOOKUP($B65,Loan_Register!$A$2:$A$301,Loan_Register!$P$2:$P$301,""))</f>
        <v/>
      </c>
      <c r="F65" s="4">
        <f>IF($D65="","", IF($D65=0,"Current", IF($D65&lt;=7,"Early", IF($D65&lt;=30,"Watchlist", IF($D65&lt;=90,"Serious","Critical")))))</f>
        <v/>
      </c>
      <c r="G65" s="4" t="n"/>
      <c r="H65" s="4" t="n"/>
      <c r="I65" s="4" t="n"/>
      <c r="J65" s="5" t="n"/>
      <c r="K65" s="4" t="n"/>
    </row>
    <row r="66">
      <c r="A66" s="5" t="n"/>
      <c r="B66" s="4" t="n"/>
      <c r="C66" s="4" t="n"/>
      <c r="D66" s="4">
        <f>IF($B66="","", MAXIFS(Repayment_Ledger!$J$2:$J$801,Repayment_Ledger!$A$2:$A$801,$B66))</f>
        <v/>
      </c>
      <c r="E66" s="7">
        <f>IF($B66="","", XLOOKUP($B66,Loan_Register!$A$2:$A$301,Loan_Register!$P$2:$P$301,""))</f>
        <v/>
      </c>
      <c r="F66" s="4">
        <f>IF($D66="","", IF($D66=0,"Current", IF($D66&lt;=7,"Early", IF($D66&lt;=30,"Watchlist", IF($D66&lt;=90,"Serious","Critical")))))</f>
        <v/>
      </c>
      <c r="G66" s="4" t="n"/>
      <c r="H66" s="4" t="n"/>
      <c r="I66" s="4" t="n"/>
      <c r="J66" s="5" t="n"/>
      <c r="K66" s="4" t="n"/>
    </row>
    <row r="67">
      <c r="A67" s="5" t="n"/>
      <c r="B67" s="4" t="n"/>
      <c r="C67" s="4" t="n"/>
      <c r="D67" s="4">
        <f>IF($B67="","", MAXIFS(Repayment_Ledger!$J$2:$J$801,Repayment_Ledger!$A$2:$A$801,$B67))</f>
        <v/>
      </c>
      <c r="E67" s="7">
        <f>IF($B67="","", XLOOKUP($B67,Loan_Register!$A$2:$A$301,Loan_Register!$P$2:$P$301,""))</f>
        <v/>
      </c>
      <c r="F67" s="4">
        <f>IF($D67="","", IF($D67=0,"Current", IF($D67&lt;=7,"Early", IF($D67&lt;=30,"Watchlist", IF($D67&lt;=90,"Serious","Critical")))))</f>
        <v/>
      </c>
      <c r="G67" s="4" t="n"/>
      <c r="H67" s="4" t="n"/>
      <c r="I67" s="4" t="n"/>
      <c r="J67" s="5" t="n"/>
      <c r="K67" s="4" t="n"/>
    </row>
    <row r="68">
      <c r="A68" s="5" t="n"/>
      <c r="B68" s="4" t="n"/>
      <c r="C68" s="4" t="n"/>
      <c r="D68" s="4">
        <f>IF($B68="","", MAXIFS(Repayment_Ledger!$J$2:$J$801,Repayment_Ledger!$A$2:$A$801,$B68))</f>
        <v/>
      </c>
      <c r="E68" s="7">
        <f>IF($B68="","", XLOOKUP($B68,Loan_Register!$A$2:$A$301,Loan_Register!$P$2:$P$301,""))</f>
        <v/>
      </c>
      <c r="F68" s="4">
        <f>IF($D68="","", IF($D68=0,"Current", IF($D68&lt;=7,"Early", IF($D68&lt;=30,"Watchlist", IF($D68&lt;=90,"Serious","Critical")))))</f>
        <v/>
      </c>
      <c r="G68" s="4" t="n"/>
      <c r="H68" s="4" t="n"/>
      <c r="I68" s="4" t="n"/>
      <c r="J68" s="5" t="n"/>
      <c r="K68" s="4" t="n"/>
    </row>
    <row r="69">
      <c r="A69" s="5" t="n"/>
      <c r="B69" s="4" t="n"/>
      <c r="C69" s="4" t="n"/>
      <c r="D69" s="4">
        <f>IF($B69="","", MAXIFS(Repayment_Ledger!$J$2:$J$801,Repayment_Ledger!$A$2:$A$801,$B69))</f>
        <v/>
      </c>
      <c r="E69" s="7">
        <f>IF($B69="","", XLOOKUP($B69,Loan_Register!$A$2:$A$301,Loan_Register!$P$2:$P$301,""))</f>
        <v/>
      </c>
      <c r="F69" s="4">
        <f>IF($D69="","", IF($D69=0,"Current", IF($D69&lt;=7,"Early", IF($D69&lt;=30,"Watchlist", IF($D69&lt;=90,"Serious","Critical")))))</f>
        <v/>
      </c>
      <c r="G69" s="4" t="n"/>
      <c r="H69" s="4" t="n"/>
      <c r="I69" s="4" t="n"/>
      <c r="J69" s="5" t="n"/>
      <c r="K69" s="4" t="n"/>
    </row>
    <row r="70">
      <c r="A70" s="5" t="n"/>
      <c r="B70" s="4" t="n"/>
      <c r="C70" s="4" t="n"/>
      <c r="D70" s="4">
        <f>IF($B70="","", MAXIFS(Repayment_Ledger!$J$2:$J$801,Repayment_Ledger!$A$2:$A$801,$B70))</f>
        <v/>
      </c>
      <c r="E70" s="7">
        <f>IF($B70="","", XLOOKUP($B70,Loan_Register!$A$2:$A$301,Loan_Register!$P$2:$P$301,""))</f>
        <v/>
      </c>
      <c r="F70" s="4">
        <f>IF($D70="","", IF($D70=0,"Current", IF($D70&lt;=7,"Early", IF($D70&lt;=30,"Watchlist", IF($D70&lt;=90,"Serious","Critical")))))</f>
        <v/>
      </c>
      <c r="G70" s="4" t="n"/>
      <c r="H70" s="4" t="n"/>
      <c r="I70" s="4" t="n"/>
      <c r="J70" s="5" t="n"/>
      <c r="K70" s="4" t="n"/>
    </row>
    <row r="71">
      <c r="A71" s="5" t="n"/>
      <c r="B71" s="4" t="n"/>
      <c r="C71" s="4" t="n"/>
      <c r="D71" s="4">
        <f>IF($B71="","", MAXIFS(Repayment_Ledger!$J$2:$J$801,Repayment_Ledger!$A$2:$A$801,$B71))</f>
        <v/>
      </c>
      <c r="E71" s="7">
        <f>IF($B71="","", XLOOKUP($B71,Loan_Register!$A$2:$A$301,Loan_Register!$P$2:$P$301,""))</f>
        <v/>
      </c>
      <c r="F71" s="4">
        <f>IF($D71="","", IF($D71=0,"Current", IF($D71&lt;=7,"Early", IF($D71&lt;=30,"Watchlist", IF($D71&lt;=90,"Serious","Critical")))))</f>
        <v/>
      </c>
      <c r="G71" s="4" t="n"/>
      <c r="H71" s="4" t="n"/>
      <c r="I71" s="4" t="n"/>
      <c r="J71" s="5" t="n"/>
      <c r="K71" s="4" t="n"/>
    </row>
    <row r="72">
      <c r="A72" s="5" t="n"/>
      <c r="B72" s="4" t="n"/>
      <c r="C72" s="4" t="n"/>
      <c r="D72" s="4">
        <f>IF($B72="","", MAXIFS(Repayment_Ledger!$J$2:$J$801,Repayment_Ledger!$A$2:$A$801,$B72))</f>
        <v/>
      </c>
      <c r="E72" s="7">
        <f>IF($B72="","", XLOOKUP($B72,Loan_Register!$A$2:$A$301,Loan_Register!$P$2:$P$301,""))</f>
        <v/>
      </c>
      <c r="F72" s="4">
        <f>IF($D72="","", IF($D72=0,"Current", IF($D72&lt;=7,"Early", IF($D72&lt;=30,"Watchlist", IF($D72&lt;=90,"Serious","Critical")))))</f>
        <v/>
      </c>
      <c r="G72" s="4" t="n"/>
      <c r="H72" s="4" t="n"/>
      <c r="I72" s="4" t="n"/>
      <c r="J72" s="5" t="n"/>
      <c r="K72" s="4" t="n"/>
    </row>
    <row r="73">
      <c r="A73" s="5" t="n"/>
      <c r="B73" s="4" t="n"/>
      <c r="C73" s="4" t="n"/>
      <c r="D73" s="4">
        <f>IF($B73="","", MAXIFS(Repayment_Ledger!$J$2:$J$801,Repayment_Ledger!$A$2:$A$801,$B73))</f>
        <v/>
      </c>
      <c r="E73" s="7">
        <f>IF($B73="","", XLOOKUP($B73,Loan_Register!$A$2:$A$301,Loan_Register!$P$2:$P$301,""))</f>
        <v/>
      </c>
      <c r="F73" s="4">
        <f>IF($D73="","", IF($D73=0,"Current", IF($D73&lt;=7,"Early", IF($D73&lt;=30,"Watchlist", IF($D73&lt;=90,"Serious","Critical")))))</f>
        <v/>
      </c>
      <c r="G73" s="4" t="n"/>
      <c r="H73" s="4" t="n"/>
      <c r="I73" s="4" t="n"/>
      <c r="J73" s="5" t="n"/>
      <c r="K73" s="4" t="n"/>
    </row>
    <row r="74">
      <c r="A74" s="5" t="n"/>
      <c r="B74" s="4" t="n"/>
      <c r="C74" s="4" t="n"/>
      <c r="D74" s="4">
        <f>IF($B74="","", MAXIFS(Repayment_Ledger!$J$2:$J$801,Repayment_Ledger!$A$2:$A$801,$B74))</f>
        <v/>
      </c>
      <c r="E74" s="7">
        <f>IF($B74="","", XLOOKUP($B74,Loan_Register!$A$2:$A$301,Loan_Register!$P$2:$P$301,""))</f>
        <v/>
      </c>
      <c r="F74" s="4">
        <f>IF($D74="","", IF($D74=0,"Current", IF($D74&lt;=7,"Early", IF($D74&lt;=30,"Watchlist", IF($D74&lt;=90,"Serious","Critical")))))</f>
        <v/>
      </c>
      <c r="G74" s="4" t="n"/>
      <c r="H74" s="4" t="n"/>
      <c r="I74" s="4" t="n"/>
      <c r="J74" s="5" t="n"/>
      <c r="K74" s="4" t="n"/>
    </row>
    <row r="75">
      <c r="A75" s="5" t="n"/>
      <c r="B75" s="4" t="n"/>
      <c r="C75" s="4" t="n"/>
      <c r="D75" s="4">
        <f>IF($B75="","", MAXIFS(Repayment_Ledger!$J$2:$J$801,Repayment_Ledger!$A$2:$A$801,$B75))</f>
        <v/>
      </c>
      <c r="E75" s="7">
        <f>IF($B75="","", XLOOKUP($B75,Loan_Register!$A$2:$A$301,Loan_Register!$P$2:$P$301,""))</f>
        <v/>
      </c>
      <c r="F75" s="4">
        <f>IF($D75="","", IF($D75=0,"Current", IF($D75&lt;=7,"Early", IF($D75&lt;=30,"Watchlist", IF($D75&lt;=90,"Serious","Critical")))))</f>
        <v/>
      </c>
      <c r="G75" s="4" t="n"/>
      <c r="H75" s="4" t="n"/>
      <c r="I75" s="4" t="n"/>
      <c r="J75" s="5" t="n"/>
      <c r="K75" s="4" t="n"/>
    </row>
    <row r="76">
      <c r="A76" s="5" t="n"/>
      <c r="B76" s="4" t="n"/>
      <c r="C76" s="4" t="n"/>
      <c r="D76" s="4">
        <f>IF($B76="","", MAXIFS(Repayment_Ledger!$J$2:$J$801,Repayment_Ledger!$A$2:$A$801,$B76))</f>
        <v/>
      </c>
      <c r="E76" s="7">
        <f>IF($B76="","", XLOOKUP($B76,Loan_Register!$A$2:$A$301,Loan_Register!$P$2:$P$301,""))</f>
        <v/>
      </c>
      <c r="F76" s="4">
        <f>IF($D76="","", IF($D76=0,"Current", IF($D76&lt;=7,"Early", IF($D76&lt;=30,"Watchlist", IF($D76&lt;=90,"Serious","Critical")))))</f>
        <v/>
      </c>
      <c r="G76" s="4" t="n"/>
      <c r="H76" s="4" t="n"/>
      <c r="I76" s="4" t="n"/>
      <c r="J76" s="5" t="n"/>
      <c r="K76" s="4" t="n"/>
    </row>
    <row r="77">
      <c r="A77" s="5" t="n"/>
      <c r="B77" s="4" t="n"/>
      <c r="C77" s="4" t="n"/>
      <c r="D77" s="4">
        <f>IF($B77="","", MAXIFS(Repayment_Ledger!$J$2:$J$801,Repayment_Ledger!$A$2:$A$801,$B77))</f>
        <v/>
      </c>
      <c r="E77" s="7">
        <f>IF($B77="","", XLOOKUP($B77,Loan_Register!$A$2:$A$301,Loan_Register!$P$2:$P$301,""))</f>
        <v/>
      </c>
      <c r="F77" s="4">
        <f>IF($D77="","", IF($D77=0,"Current", IF($D77&lt;=7,"Early", IF($D77&lt;=30,"Watchlist", IF($D77&lt;=90,"Serious","Critical")))))</f>
        <v/>
      </c>
      <c r="G77" s="4" t="n"/>
      <c r="H77" s="4" t="n"/>
      <c r="I77" s="4" t="n"/>
      <c r="J77" s="5" t="n"/>
      <c r="K77" s="4" t="n"/>
    </row>
    <row r="78">
      <c r="A78" s="5" t="n"/>
      <c r="B78" s="4" t="n"/>
      <c r="C78" s="4" t="n"/>
      <c r="D78" s="4">
        <f>IF($B78="","", MAXIFS(Repayment_Ledger!$J$2:$J$801,Repayment_Ledger!$A$2:$A$801,$B78))</f>
        <v/>
      </c>
      <c r="E78" s="7">
        <f>IF($B78="","", XLOOKUP($B78,Loan_Register!$A$2:$A$301,Loan_Register!$P$2:$P$301,""))</f>
        <v/>
      </c>
      <c r="F78" s="4">
        <f>IF($D78="","", IF($D78=0,"Current", IF($D78&lt;=7,"Early", IF($D78&lt;=30,"Watchlist", IF($D78&lt;=90,"Serious","Critical")))))</f>
        <v/>
      </c>
      <c r="G78" s="4" t="n"/>
      <c r="H78" s="4" t="n"/>
      <c r="I78" s="4" t="n"/>
      <c r="J78" s="5" t="n"/>
      <c r="K78" s="4" t="n"/>
    </row>
    <row r="79">
      <c r="A79" s="5" t="n"/>
      <c r="B79" s="4" t="n"/>
      <c r="C79" s="4" t="n"/>
      <c r="D79" s="4">
        <f>IF($B79="","", MAXIFS(Repayment_Ledger!$J$2:$J$801,Repayment_Ledger!$A$2:$A$801,$B79))</f>
        <v/>
      </c>
      <c r="E79" s="7">
        <f>IF($B79="","", XLOOKUP($B79,Loan_Register!$A$2:$A$301,Loan_Register!$P$2:$P$301,""))</f>
        <v/>
      </c>
      <c r="F79" s="4">
        <f>IF($D79="","", IF($D79=0,"Current", IF($D79&lt;=7,"Early", IF($D79&lt;=30,"Watchlist", IF($D79&lt;=90,"Serious","Critical")))))</f>
        <v/>
      </c>
      <c r="G79" s="4" t="n"/>
      <c r="H79" s="4" t="n"/>
      <c r="I79" s="4" t="n"/>
      <c r="J79" s="5" t="n"/>
      <c r="K79" s="4" t="n"/>
    </row>
    <row r="80">
      <c r="A80" s="5" t="n"/>
      <c r="B80" s="4" t="n"/>
      <c r="C80" s="4" t="n"/>
      <c r="D80" s="4">
        <f>IF($B80="","", MAXIFS(Repayment_Ledger!$J$2:$J$801,Repayment_Ledger!$A$2:$A$801,$B80))</f>
        <v/>
      </c>
      <c r="E80" s="7">
        <f>IF($B80="","", XLOOKUP($B80,Loan_Register!$A$2:$A$301,Loan_Register!$P$2:$P$301,""))</f>
        <v/>
      </c>
      <c r="F80" s="4">
        <f>IF($D80="","", IF($D80=0,"Current", IF($D80&lt;=7,"Early", IF($D80&lt;=30,"Watchlist", IF($D80&lt;=90,"Serious","Critical")))))</f>
        <v/>
      </c>
      <c r="G80" s="4" t="n"/>
      <c r="H80" s="4" t="n"/>
      <c r="I80" s="4" t="n"/>
      <c r="J80" s="5" t="n"/>
      <c r="K80" s="4" t="n"/>
    </row>
    <row r="81">
      <c r="A81" s="5" t="n"/>
      <c r="B81" s="4" t="n"/>
      <c r="C81" s="4" t="n"/>
      <c r="D81" s="4">
        <f>IF($B81="","", MAXIFS(Repayment_Ledger!$J$2:$J$801,Repayment_Ledger!$A$2:$A$801,$B81))</f>
        <v/>
      </c>
      <c r="E81" s="7">
        <f>IF($B81="","", XLOOKUP($B81,Loan_Register!$A$2:$A$301,Loan_Register!$P$2:$P$301,""))</f>
        <v/>
      </c>
      <c r="F81" s="4">
        <f>IF($D81="","", IF($D81=0,"Current", IF($D81&lt;=7,"Early", IF($D81&lt;=30,"Watchlist", IF($D81&lt;=90,"Serious","Critical")))))</f>
        <v/>
      </c>
      <c r="G81" s="4" t="n"/>
      <c r="H81" s="4" t="n"/>
      <c r="I81" s="4" t="n"/>
      <c r="J81" s="5" t="n"/>
      <c r="K81" s="4" t="n"/>
    </row>
    <row r="82">
      <c r="A82" s="5" t="n"/>
      <c r="B82" s="4" t="n"/>
      <c r="C82" s="4" t="n"/>
      <c r="D82" s="4">
        <f>IF($B82="","", MAXIFS(Repayment_Ledger!$J$2:$J$801,Repayment_Ledger!$A$2:$A$801,$B82))</f>
        <v/>
      </c>
      <c r="E82" s="7">
        <f>IF($B82="","", XLOOKUP($B82,Loan_Register!$A$2:$A$301,Loan_Register!$P$2:$P$301,""))</f>
        <v/>
      </c>
      <c r="F82" s="4">
        <f>IF($D82="","", IF($D82=0,"Current", IF($D82&lt;=7,"Early", IF($D82&lt;=30,"Watchlist", IF($D82&lt;=90,"Serious","Critical")))))</f>
        <v/>
      </c>
      <c r="G82" s="4" t="n"/>
      <c r="H82" s="4" t="n"/>
      <c r="I82" s="4" t="n"/>
      <c r="J82" s="5" t="n"/>
      <c r="K82" s="4" t="n"/>
    </row>
    <row r="83">
      <c r="A83" s="5" t="n"/>
      <c r="B83" s="4" t="n"/>
      <c r="C83" s="4" t="n"/>
      <c r="D83" s="4">
        <f>IF($B83="","", MAXIFS(Repayment_Ledger!$J$2:$J$801,Repayment_Ledger!$A$2:$A$801,$B83))</f>
        <v/>
      </c>
      <c r="E83" s="7">
        <f>IF($B83="","", XLOOKUP($B83,Loan_Register!$A$2:$A$301,Loan_Register!$P$2:$P$301,""))</f>
        <v/>
      </c>
      <c r="F83" s="4">
        <f>IF($D83="","", IF($D83=0,"Current", IF($D83&lt;=7,"Early", IF($D83&lt;=30,"Watchlist", IF($D83&lt;=90,"Serious","Critical")))))</f>
        <v/>
      </c>
      <c r="G83" s="4" t="n"/>
      <c r="H83" s="4" t="n"/>
      <c r="I83" s="4" t="n"/>
      <c r="J83" s="5" t="n"/>
      <c r="K83" s="4" t="n"/>
    </row>
    <row r="84">
      <c r="A84" s="5" t="n"/>
      <c r="B84" s="4" t="n"/>
      <c r="C84" s="4" t="n"/>
      <c r="D84" s="4">
        <f>IF($B84="","", MAXIFS(Repayment_Ledger!$J$2:$J$801,Repayment_Ledger!$A$2:$A$801,$B84))</f>
        <v/>
      </c>
      <c r="E84" s="7">
        <f>IF($B84="","", XLOOKUP($B84,Loan_Register!$A$2:$A$301,Loan_Register!$P$2:$P$301,""))</f>
        <v/>
      </c>
      <c r="F84" s="4">
        <f>IF($D84="","", IF($D84=0,"Current", IF($D84&lt;=7,"Early", IF($D84&lt;=30,"Watchlist", IF($D84&lt;=90,"Serious","Critical")))))</f>
        <v/>
      </c>
      <c r="G84" s="4" t="n"/>
      <c r="H84" s="4" t="n"/>
      <c r="I84" s="4" t="n"/>
      <c r="J84" s="5" t="n"/>
      <c r="K84" s="4" t="n"/>
    </row>
    <row r="85">
      <c r="A85" s="5" t="n"/>
      <c r="B85" s="4" t="n"/>
      <c r="C85" s="4" t="n"/>
      <c r="D85" s="4">
        <f>IF($B85="","", MAXIFS(Repayment_Ledger!$J$2:$J$801,Repayment_Ledger!$A$2:$A$801,$B85))</f>
        <v/>
      </c>
      <c r="E85" s="7">
        <f>IF($B85="","", XLOOKUP($B85,Loan_Register!$A$2:$A$301,Loan_Register!$P$2:$P$301,""))</f>
        <v/>
      </c>
      <c r="F85" s="4">
        <f>IF($D85="","", IF($D85=0,"Current", IF($D85&lt;=7,"Early", IF($D85&lt;=30,"Watchlist", IF($D85&lt;=90,"Serious","Critical")))))</f>
        <v/>
      </c>
      <c r="G85" s="4" t="n"/>
      <c r="H85" s="4" t="n"/>
      <c r="I85" s="4" t="n"/>
      <c r="J85" s="5" t="n"/>
      <c r="K85" s="4" t="n"/>
    </row>
    <row r="86">
      <c r="A86" s="5" t="n"/>
      <c r="B86" s="4" t="n"/>
      <c r="C86" s="4" t="n"/>
      <c r="D86" s="4">
        <f>IF($B86="","", MAXIFS(Repayment_Ledger!$J$2:$J$801,Repayment_Ledger!$A$2:$A$801,$B86))</f>
        <v/>
      </c>
      <c r="E86" s="7">
        <f>IF($B86="","", XLOOKUP($B86,Loan_Register!$A$2:$A$301,Loan_Register!$P$2:$P$301,""))</f>
        <v/>
      </c>
      <c r="F86" s="4">
        <f>IF($D86="","", IF($D86=0,"Current", IF($D86&lt;=7,"Early", IF($D86&lt;=30,"Watchlist", IF($D86&lt;=90,"Serious","Critical")))))</f>
        <v/>
      </c>
      <c r="G86" s="4" t="n"/>
      <c r="H86" s="4" t="n"/>
      <c r="I86" s="4" t="n"/>
      <c r="J86" s="5" t="n"/>
      <c r="K86" s="4" t="n"/>
    </row>
    <row r="87">
      <c r="A87" s="5" t="n"/>
      <c r="B87" s="4" t="n"/>
      <c r="C87" s="4" t="n"/>
      <c r="D87" s="4">
        <f>IF($B87="","", MAXIFS(Repayment_Ledger!$J$2:$J$801,Repayment_Ledger!$A$2:$A$801,$B87))</f>
        <v/>
      </c>
      <c r="E87" s="7">
        <f>IF($B87="","", XLOOKUP($B87,Loan_Register!$A$2:$A$301,Loan_Register!$P$2:$P$301,""))</f>
        <v/>
      </c>
      <c r="F87" s="4">
        <f>IF($D87="","", IF($D87=0,"Current", IF($D87&lt;=7,"Early", IF($D87&lt;=30,"Watchlist", IF($D87&lt;=90,"Serious","Critical")))))</f>
        <v/>
      </c>
      <c r="G87" s="4" t="n"/>
      <c r="H87" s="4" t="n"/>
      <c r="I87" s="4" t="n"/>
      <c r="J87" s="5" t="n"/>
      <c r="K87" s="4" t="n"/>
    </row>
    <row r="88">
      <c r="A88" s="5" t="n"/>
      <c r="B88" s="4" t="n"/>
      <c r="C88" s="4" t="n"/>
      <c r="D88" s="4">
        <f>IF($B88="","", MAXIFS(Repayment_Ledger!$J$2:$J$801,Repayment_Ledger!$A$2:$A$801,$B88))</f>
        <v/>
      </c>
      <c r="E88" s="7">
        <f>IF($B88="","", XLOOKUP($B88,Loan_Register!$A$2:$A$301,Loan_Register!$P$2:$P$301,""))</f>
        <v/>
      </c>
      <c r="F88" s="4">
        <f>IF($D88="","", IF($D88=0,"Current", IF($D88&lt;=7,"Early", IF($D88&lt;=30,"Watchlist", IF($D88&lt;=90,"Serious","Critical")))))</f>
        <v/>
      </c>
      <c r="G88" s="4" t="n"/>
      <c r="H88" s="4" t="n"/>
      <c r="I88" s="4" t="n"/>
      <c r="J88" s="5" t="n"/>
      <c r="K88" s="4" t="n"/>
    </row>
    <row r="89">
      <c r="A89" s="5" t="n"/>
      <c r="B89" s="4" t="n"/>
      <c r="C89" s="4" t="n"/>
      <c r="D89" s="4">
        <f>IF($B89="","", MAXIFS(Repayment_Ledger!$J$2:$J$801,Repayment_Ledger!$A$2:$A$801,$B89))</f>
        <v/>
      </c>
      <c r="E89" s="7">
        <f>IF($B89="","", XLOOKUP($B89,Loan_Register!$A$2:$A$301,Loan_Register!$P$2:$P$301,""))</f>
        <v/>
      </c>
      <c r="F89" s="4">
        <f>IF($D89="","", IF($D89=0,"Current", IF($D89&lt;=7,"Early", IF($D89&lt;=30,"Watchlist", IF($D89&lt;=90,"Serious","Critical")))))</f>
        <v/>
      </c>
      <c r="G89" s="4" t="n"/>
      <c r="H89" s="4" t="n"/>
      <c r="I89" s="4" t="n"/>
      <c r="J89" s="5" t="n"/>
      <c r="K89" s="4" t="n"/>
    </row>
    <row r="90">
      <c r="A90" s="5" t="n"/>
      <c r="B90" s="4" t="n"/>
      <c r="C90" s="4" t="n"/>
      <c r="D90" s="4">
        <f>IF($B90="","", MAXIFS(Repayment_Ledger!$J$2:$J$801,Repayment_Ledger!$A$2:$A$801,$B90))</f>
        <v/>
      </c>
      <c r="E90" s="7">
        <f>IF($B90="","", XLOOKUP($B90,Loan_Register!$A$2:$A$301,Loan_Register!$P$2:$P$301,""))</f>
        <v/>
      </c>
      <c r="F90" s="4">
        <f>IF($D90="","", IF($D90=0,"Current", IF($D90&lt;=7,"Early", IF($D90&lt;=30,"Watchlist", IF($D90&lt;=90,"Serious","Critical")))))</f>
        <v/>
      </c>
      <c r="G90" s="4" t="n"/>
      <c r="H90" s="4" t="n"/>
      <c r="I90" s="4" t="n"/>
      <c r="J90" s="5" t="n"/>
      <c r="K90" s="4" t="n"/>
    </row>
    <row r="91">
      <c r="A91" s="5" t="n"/>
      <c r="B91" s="4" t="n"/>
      <c r="C91" s="4" t="n"/>
      <c r="D91" s="4">
        <f>IF($B91="","", MAXIFS(Repayment_Ledger!$J$2:$J$801,Repayment_Ledger!$A$2:$A$801,$B91))</f>
        <v/>
      </c>
      <c r="E91" s="7">
        <f>IF($B91="","", XLOOKUP($B91,Loan_Register!$A$2:$A$301,Loan_Register!$P$2:$P$301,""))</f>
        <v/>
      </c>
      <c r="F91" s="4">
        <f>IF($D91="","", IF($D91=0,"Current", IF($D91&lt;=7,"Early", IF($D91&lt;=30,"Watchlist", IF($D91&lt;=90,"Serious","Critical")))))</f>
        <v/>
      </c>
      <c r="G91" s="4" t="n"/>
      <c r="H91" s="4" t="n"/>
      <c r="I91" s="4" t="n"/>
      <c r="J91" s="5" t="n"/>
      <c r="K91" s="4" t="n"/>
    </row>
    <row r="92">
      <c r="A92" s="5" t="n"/>
      <c r="B92" s="4" t="n"/>
      <c r="C92" s="4" t="n"/>
      <c r="D92" s="4">
        <f>IF($B92="","", MAXIFS(Repayment_Ledger!$J$2:$J$801,Repayment_Ledger!$A$2:$A$801,$B92))</f>
        <v/>
      </c>
      <c r="E92" s="7">
        <f>IF($B92="","", XLOOKUP($B92,Loan_Register!$A$2:$A$301,Loan_Register!$P$2:$P$301,""))</f>
        <v/>
      </c>
      <c r="F92" s="4">
        <f>IF($D92="","", IF($D92=0,"Current", IF($D92&lt;=7,"Early", IF($D92&lt;=30,"Watchlist", IF($D92&lt;=90,"Serious","Critical")))))</f>
        <v/>
      </c>
      <c r="G92" s="4" t="n"/>
      <c r="H92" s="4" t="n"/>
      <c r="I92" s="4" t="n"/>
      <c r="J92" s="5" t="n"/>
      <c r="K92" s="4" t="n"/>
    </row>
    <row r="93">
      <c r="A93" s="5" t="n"/>
      <c r="B93" s="4" t="n"/>
      <c r="C93" s="4" t="n"/>
      <c r="D93" s="4">
        <f>IF($B93="","", MAXIFS(Repayment_Ledger!$J$2:$J$801,Repayment_Ledger!$A$2:$A$801,$B93))</f>
        <v/>
      </c>
      <c r="E93" s="7">
        <f>IF($B93="","", XLOOKUP($B93,Loan_Register!$A$2:$A$301,Loan_Register!$P$2:$P$301,""))</f>
        <v/>
      </c>
      <c r="F93" s="4">
        <f>IF($D93="","", IF($D93=0,"Current", IF($D93&lt;=7,"Early", IF($D93&lt;=30,"Watchlist", IF($D93&lt;=90,"Serious","Critical")))))</f>
        <v/>
      </c>
      <c r="G93" s="4" t="n"/>
      <c r="H93" s="4" t="n"/>
      <c r="I93" s="4" t="n"/>
      <c r="J93" s="5" t="n"/>
      <c r="K93" s="4" t="n"/>
    </row>
    <row r="94">
      <c r="A94" s="5" t="n"/>
      <c r="B94" s="4" t="n"/>
      <c r="C94" s="4" t="n"/>
      <c r="D94" s="4">
        <f>IF($B94="","", MAXIFS(Repayment_Ledger!$J$2:$J$801,Repayment_Ledger!$A$2:$A$801,$B94))</f>
        <v/>
      </c>
      <c r="E94" s="7">
        <f>IF($B94="","", XLOOKUP($B94,Loan_Register!$A$2:$A$301,Loan_Register!$P$2:$P$301,""))</f>
        <v/>
      </c>
      <c r="F94" s="4">
        <f>IF($D94="","", IF($D94=0,"Current", IF($D94&lt;=7,"Early", IF($D94&lt;=30,"Watchlist", IF($D94&lt;=90,"Serious","Critical")))))</f>
        <v/>
      </c>
      <c r="G94" s="4" t="n"/>
      <c r="H94" s="4" t="n"/>
      <c r="I94" s="4" t="n"/>
      <c r="J94" s="5" t="n"/>
      <c r="K94" s="4" t="n"/>
    </row>
    <row r="95">
      <c r="A95" s="5" t="n"/>
      <c r="B95" s="4" t="n"/>
      <c r="C95" s="4" t="n"/>
      <c r="D95" s="4">
        <f>IF($B95="","", MAXIFS(Repayment_Ledger!$J$2:$J$801,Repayment_Ledger!$A$2:$A$801,$B95))</f>
        <v/>
      </c>
      <c r="E95" s="7">
        <f>IF($B95="","", XLOOKUP($B95,Loan_Register!$A$2:$A$301,Loan_Register!$P$2:$P$301,""))</f>
        <v/>
      </c>
      <c r="F95" s="4">
        <f>IF($D95="","", IF($D95=0,"Current", IF($D95&lt;=7,"Early", IF($D95&lt;=30,"Watchlist", IF($D95&lt;=90,"Serious","Critical")))))</f>
        <v/>
      </c>
      <c r="G95" s="4" t="n"/>
      <c r="H95" s="4" t="n"/>
      <c r="I95" s="4" t="n"/>
      <c r="J95" s="5" t="n"/>
      <c r="K95" s="4" t="n"/>
    </row>
    <row r="96">
      <c r="A96" s="5" t="n"/>
      <c r="B96" s="4" t="n"/>
      <c r="C96" s="4" t="n"/>
      <c r="D96" s="4">
        <f>IF($B96="","", MAXIFS(Repayment_Ledger!$J$2:$J$801,Repayment_Ledger!$A$2:$A$801,$B96))</f>
        <v/>
      </c>
      <c r="E96" s="7">
        <f>IF($B96="","", XLOOKUP($B96,Loan_Register!$A$2:$A$301,Loan_Register!$P$2:$P$301,""))</f>
        <v/>
      </c>
      <c r="F96" s="4">
        <f>IF($D96="","", IF($D96=0,"Current", IF($D96&lt;=7,"Early", IF($D96&lt;=30,"Watchlist", IF($D96&lt;=90,"Serious","Critical")))))</f>
        <v/>
      </c>
      <c r="G96" s="4" t="n"/>
      <c r="H96" s="4" t="n"/>
      <c r="I96" s="4" t="n"/>
      <c r="J96" s="5" t="n"/>
      <c r="K96" s="4" t="n"/>
    </row>
    <row r="97">
      <c r="A97" s="5" t="n"/>
      <c r="B97" s="4" t="n"/>
      <c r="C97" s="4" t="n"/>
      <c r="D97" s="4">
        <f>IF($B97="","", MAXIFS(Repayment_Ledger!$J$2:$J$801,Repayment_Ledger!$A$2:$A$801,$B97))</f>
        <v/>
      </c>
      <c r="E97" s="7">
        <f>IF($B97="","", XLOOKUP($B97,Loan_Register!$A$2:$A$301,Loan_Register!$P$2:$P$301,""))</f>
        <v/>
      </c>
      <c r="F97" s="4">
        <f>IF($D97="","", IF($D97=0,"Current", IF($D97&lt;=7,"Early", IF($D97&lt;=30,"Watchlist", IF($D97&lt;=90,"Serious","Critical")))))</f>
        <v/>
      </c>
      <c r="G97" s="4" t="n"/>
      <c r="H97" s="4" t="n"/>
      <c r="I97" s="4" t="n"/>
      <c r="J97" s="5" t="n"/>
      <c r="K97" s="4" t="n"/>
    </row>
    <row r="98">
      <c r="A98" s="5" t="n"/>
      <c r="B98" s="4" t="n"/>
      <c r="C98" s="4" t="n"/>
      <c r="D98" s="4">
        <f>IF($B98="","", MAXIFS(Repayment_Ledger!$J$2:$J$801,Repayment_Ledger!$A$2:$A$801,$B98))</f>
        <v/>
      </c>
      <c r="E98" s="7">
        <f>IF($B98="","", XLOOKUP($B98,Loan_Register!$A$2:$A$301,Loan_Register!$P$2:$P$301,""))</f>
        <v/>
      </c>
      <c r="F98" s="4">
        <f>IF($D98="","", IF($D98=0,"Current", IF($D98&lt;=7,"Early", IF($D98&lt;=30,"Watchlist", IF($D98&lt;=90,"Serious","Critical")))))</f>
        <v/>
      </c>
      <c r="G98" s="4" t="n"/>
      <c r="H98" s="4" t="n"/>
      <c r="I98" s="4" t="n"/>
      <c r="J98" s="5" t="n"/>
      <c r="K98" s="4" t="n"/>
    </row>
    <row r="99">
      <c r="A99" s="5" t="n"/>
      <c r="B99" s="4" t="n"/>
      <c r="C99" s="4" t="n"/>
      <c r="D99" s="4">
        <f>IF($B99="","", MAXIFS(Repayment_Ledger!$J$2:$J$801,Repayment_Ledger!$A$2:$A$801,$B99))</f>
        <v/>
      </c>
      <c r="E99" s="7">
        <f>IF($B99="","", XLOOKUP($B99,Loan_Register!$A$2:$A$301,Loan_Register!$P$2:$P$301,""))</f>
        <v/>
      </c>
      <c r="F99" s="4">
        <f>IF($D99="","", IF($D99=0,"Current", IF($D99&lt;=7,"Early", IF($D99&lt;=30,"Watchlist", IF($D99&lt;=90,"Serious","Critical")))))</f>
        <v/>
      </c>
      <c r="G99" s="4" t="n"/>
      <c r="H99" s="4" t="n"/>
      <c r="I99" s="4" t="n"/>
      <c r="J99" s="5" t="n"/>
      <c r="K99" s="4" t="n"/>
    </row>
    <row r="100">
      <c r="A100" s="5" t="n"/>
      <c r="B100" s="4" t="n"/>
      <c r="C100" s="4" t="n"/>
      <c r="D100" s="4">
        <f>IF($B100="","", MAXIFS(Repayment_Ledger!$J$2:$J$801,Repayment_Ledger!$A$2:$A$801,$B100))</f>
        <v/>
      </c>
      <c r="E100" s="7">
        <f>IF($B100="","", XLOOKUP($B100,Loan_Register!$A$2:$A$301,Loan_Register!$P$2:$P$301,""))</f>
        <v/>
      </c>
      <c r="F100" s="4">
        <f>IF($D100="","", IF($D100=0,"Current", IF($D100&lt;=7,"Early", IF($D100&lt;=30,"Watchlist", IF($D100&lt;=90,"Serious","Critical")))))</f>
        <v/>
      </c>
      <c r="G100" s="4" t="n"/>
      <c r="H100" s="4" t="n"/>
      <c r="I100" s="4" t="n"/>
      <c r="J100" s="5" t="n"/>
      <c r="K100" s="4" t="n"/>
    </row>
    <row r="101">
      <c r="A101" s="6" t="n"/>
      <c r="D101">
        <f>IF($B101="","", MAXIFS(Repayment_Ledger!$J$2:$J$801,Repayment_Ledger!$A$2:$A$801,$B101))</f>
        <v/>
      </c>
      <c r="E101" s="8">
        <f>IF($B101="","", XLOOKUP($B101,Loan_Register!$A$2:$A$301,Loan_Register!$P$2:$P$301,""))</f>
        <v/>
      </c>
      <c r="F101">
        <f>IF($D101="","", IF($D101=0,"Current", IF($D101&lt;=7,"Early", IF($D101&lt;=30,"Watchlist", IF($D101&lt;=90,"Serious","Critical")))))</f>
        <v/>
      </c>
      <c r="J101" s="6" t="n"/>
    </row>
    <row r="102">
      <c r="A102" s="6" t="n"/>
      <c r="D102">
        <f>IF($B102="","", MAXIFS(Repayment_Ledger!$J$2:$J$801,Repayment_Ledger!$A$2:$A$801,$B102))</f>
        <v/>
      </c>
      <c r="E102" s="8">
        <f>IF($B102="","", XLOOKUP($B102,Loan_Register!$A$2:$A$301,Loan_Register!$P$2:$P$301,""))</f>
        <v/>
      </c>
      <c r="F102">
        <f>IF($D102="","", IF($D102=0,"Current", IF($D102&lt;=7,"Early", IF($D102&lt;=30,"Watchlist", IF($D102&lt;=90,"Serious","Critical")))))</f>
        <v/>
      </c>
      <c r="J102" s="6" t="n"/>
    </row>
    <row r="103">
      <c r="A103" s="6" t="n"/>
      <c r="D103">
        <f>IF($B103="","", MAXIFS(Repayment_Ledger!$J$2:$J$801,Repayment_Ledger!$A$2:$A$801,$B103))</f>
        <v/>
      </c>
      <c r="E103" s="8">
        <f>IF($B103="","", XLOOKUP($B103,Loan_Register!$A$2:$A$301,Loan_Register!$P$2:$P$301,""))</f>
        <v/>
      </c>
      <c r="F103">
        <f>IF($D103="","", IF($D103=0,"Current", IF($D103&lt;=7,"Early", IF($D103&lt;=30,"Watchlist", IF($D103&lt;=90,"Serious","Critical")))))</f>
        <v/>
      </c>
      <c r="J103" s="6" t="n"/>
    </row>
    <row r="104">
      <c r="A104" s="6" t="n"/>
      <c r="D104">
        <f>IF($B104="","", MAXIFS(Repayment_Ledger!$J$2:$J$801,Repayment_Ledger!$A$2:$A$801,$B104))</f>
        <v/>
      </c>
      <c r="E104" s="8">
        <f>IF($B104="","", XLOOKUP($B104,Loan_Register!$A$2:$A$301,Loan_Register!$P$2:$P$301,""))</f>
        <v/>
      </c>
      <c r="F104">
        <f>IF($D104="","", IF($D104=0,"Current", IF($D104&lt;=7,"Early", IF($D104&lt;=30,"Watchlist", IF($D104&lt;=90,"Serious","Critical")))))</f>
        <v/>
      </c>
      <c r="J104" s="6" t="n"/>
    </row>
    <row r="105">
      <c r="A105" s="6" t="n"/>
      <c r="D105">
        <f>IF($B105="","", MAXIFS(Repayment_Ledger!$J$2:$J$801,Repayment_Ledger!$A$2:$A$801,$B105))</f>
        <v/>
      </c>
      <c r="E105" s="8">
        <f>IF($B105="","", XLOOKUP($B105,Loan_Register!$A$2:$A$301,Loan_Register!$P$2:$P$301,""))</f>
        <v/>
      </c>
      <c r="F105">
        <f>IF($D105="","", IF($D105=0,"Current", IF($D105&lt;=7,"Early", IF($D105&lt;=30,"Watchlist", IF($D105&lt;=90,"Serious","Critical")))))</f>
        <v/>
      </c>
      <c r="J105" s="6" t="n"/>
    </row>
    <row r="106">
      <c r="A106" s="6" t="n"/>
      <c r="D106">
        <f>IF($B106="","", MAXIFS(Repayment_Ledger!$J$2:$J$801,Repayment_Ledger!$A$2:$A$801,$B106))</f>
        <v/>
      </c>
      <c r="E106" s="8">
        <f>IF($B106="","", XLOOKUP($B106,Loan_Register!$A$2:$A$301,Loan_Register!$P$2:$P$301,""))</f>
        <v/>
      </c>
      <c r="F106">
        <f>IF($D106="","", IF($D106=0,"Current", IF($D106&lt;=7,"Early", IF($D106&lt;=30,"Watchlist", IF($D106&lt;=90,"Serious","Critical")))))</f>
        <v/>
      </c>
      <c r="J106" s="6" t="n"/>
    </row>
    <row r="107">
      <c r="A107" s="6" t="n"/>
      <c r="D107">
        <f>IF($B107="","", MAXIFS(Repayment_Ledger!$J$2:$J$801,Repayment_Ledger!$A$2:$A$801,$B107))</f>
        <v/>
      </c>
      <c r="E107" s="8">
        <f>IF($B107="","", XLOOKUP($B107,Loan_Register!$A$2:$A$301,Loan_Register!$P$2:$P$301,""))</f>
        <v/>
      </c>
      <c r="F107">
        <f>IF($D107="","", IF($D107=0,"Current", IF($D107&lt;=7,"Early", IF($D107&lt;=30,"Watchlist", IF($D107&lt;=90,"Serious","Critical")))))</f>
        <v/>
      </c>
      <c r="J107" s="6" t="n"/>
    </row>
    <row r="108">
      <c r="A108" s="6" t="n"/>
      <c r="D108">
        <f>IF($B108="","", MAXIFS(Repayment_Ledger!$J$2:$J$801,Repayment_Ledger!$A$2:$A$801,$B108))</f>
        <v/>
      </c>
      <c r="E108" s="8">
        <f>IF($B108="","", XLOOKUP($B108,Loan_Register!$A$2:$A$301,Loan_Register!$P$2:$P$301,""))</f>
        <v/>
      </c>
      <c r="F108">
        <f>IF($D108="","", IF($D108=0,"Current", IF($D108&lt;=7,"Early", IF($D108&lt;=30,"Watchlist", IF($D108&lt;=90,"Serious","Critical")))))</f>
        <v/>
      </c>
      <c r="J108" s="6" t="n"/>
    </row>
    <row r="109">
      <c r="A109" s="6" t="n"/>
      <c r="D109">
        <f>IF($B109="","", MAXIFS(Repayment_Ledger!$J$2:$J$801,Repayment_Ledger!$A$2:$A$801,$B109))</f>
        <v/>
      </c>
      <c r="E109" s="8">
        <f>IF($B109="","", XLOOKUP($B109,Loan_Register!$A$2:$A$301,Loan_Register!$P$2:$P$301,""))</f>
        <v/>
      </c>
      <c r="F109">
        <f>IF($D109="","", IF($D109=0,"Current", IF($D109&lt;=7,"Early", IF($D109&lt;=30,"Watchlist", IF($D109&lt;=90,"Serious","Critical")))))</f>
        <v/>
      </c>
      <c r="J109" s="6" t="n"/>
    </row>
    <row r="110">
      <c r="A110" s="6" t="n"/>
      <c r="D110">
        <f>IF($B110="","", MAXIFS(Repayment_Ledger!$J$2:$J$801,Repayment_Ledger!$A$2:$A$801,$B110))</f>
        <v/>
      </c>
      <c r="E110" s="8">
        <f>IF($B110="","", XLOOKUP($B110,Loan_Register!$A$2:$A$301,Loan_Register!$P$2:$P$301,""))</f>
        <v/>
      </c>
      <c r="F110">
        <f>IF($D110="","", IF($D110=0,"Current", IF($D110&lt;=7,"Early", IF($D110&lt;=30,"Watchlist", IF($D110&lt;=90,"Serious","Critical")))))</f>
        <v/>
      </c>
      <c r="J110" s="6" t="n"/>
    </row>
    <row r="111">
      <c r="A111" s="6" t="n"/>
      <c r="D111">
        <f>IF($B111="","", MAXIFS(Repayment_Ledger!$J$2:$J$801,Repayment_Ledger!$A$2:$A$801,$B111))</f>
        <v/>
      </c>
      <c r="E111" s="8">
        <f>IF($B111="","", XLOOKUP($B111,Loan_Register!$A$2:$A$301,Loan_Register!$P$2:$P$301,""))</f>
        <v/>
      </c>
      <c r="F111">
        <f>IF($D111="","", IF($D111=0,"Current", IF($D111&lt;=7,"Early", IF($D111&lt;=30,"Watchlist", IF($D111&lt;=90,"Serious","Critical")))))</f>
        <v/>
      </c>
      <c r="J111" s="6" t="n"/>
    </row>
    <row r="112">
      <c r="A112" s="6" t="n"/>
      <c r="D112">
        <f>IF($B112="","", MAXIFS(Repayment_Ledger!$J$2:$J$801,Repayment_Ledger!$A$2:$A$801,$B112))</f>
        <v/>
      </c>
      <c r="E112" s="8">
        <f>IF($B112="","", XLOOKUP($B112,Loan_Register!$A$2:$A$301,Loan_Register!$P$2:$P$301,""))</f>
        <v/>
      </c>
      <c r="F112">
        <f>IF($D112="","", IF($D112=0,"Current", IF($D112&lt;=7,"Early", IF($D112&lt;=30,"Watchlist", IF($D112&lt;=90,"Serious","Critical")))))</f>
        <v/>
      </c>
      <c r="J112" s="6" t="n"/>
    </row>
    <row r="113">
      <c r="A113" s="6" t="n"/>
      <c r="D113">
        <f>IF($B113="","", MAXIFS(Repayment_Ledger!$J$2:$J$801,Repayment_Ledger!$A$2:$A$801,$B113))</f>
        <v/>
      </c>
      <c r="E113" s="8">
        <f>IF($B113="","", XLOOKUP($B113,Loan_Register!$A$2:$A$301,Loan_Register!$P$2:$P$301,""))</f>
        <v/>
      </c>
      <c r="F113">
        <f>IF($D113="","", IF($D113=0,"Current", IF($D113&lt;=7,"Early", IF($D113&lt;=30,"Watchlist", IF($D113&lt;=90,"Serious","Critical")))))</f>
        <v/>
      </c>
      <c r="J113" s="6" t="n"/>
    </row>
    <row r="114">
      <c r="A114" s="6" t="n"/>
      <c r="D114">
        <f>IF($B114="","", MAXIFS(Repayment_Ledger!$J$2:$J$801,Repayment_Ledger!$A$2:$A$801,$B114))</f>
        <v/>
      </c>
      <c r="E114" s="8">
        <f>IF($B114="","", XLOOKUP($B114,Loan_Register!$A$2:$A$301,Loan_Register!$P$2:$P$301,""))</f>
        <v/>
      </c>
      <c r="F114">
        <f>IF($D114="","", IF($D114=0,"Current", IF($D114&lt;=7,"Early", IF($D114&lt;=30,"Watchlist", IF($D114&lt;=90,"Serious","Critical")))))</f>
        <v/>
      </c>
      <c r="J114" s="6" t="n"/>
    </row>
    <row r="115">
      <c r="A115" s="6" t="n"/>
      <c r="D115">
        <f>IF($B115="","", MAXIFS(Repayment_Ledger!$J$2:$J$801,Repayment_Ledger!$A$2:$A$801,$B115))</f>
        <v/>
      </c>
      <c r="E115" s="8">
        <f>IF($B115="","", XLOOKUP($B115,Loan_Register!$A$2:$A$301,Loan_Register!$P$2:$P$301,""))</f>
        <v/>
      </c>
      <c r="F115">
        <f>IF($D115="","", IF($D115=0,"Current", IF($D115&lt;=7,"Early", IF($D115&lt;=30,"Watchlist", IF($D115&lt;=90,"Serious","Critical")))))</f>
        <v/>
      </c>
      <c r="J115" s="6" t="n"/>
    </row>
    <row r="116">
      <c r="A116" s="6" t="n"/>
      <c r="D116">
        <f>IF($B116="","", MAXIFS(Repayment_Ledger!$J$2:$J$801,Repayment_Ledger!$A$2:$A$801,$B116))</f>
        <v/>
      </c>
      <c r="E116" s="8">
        <f>IF($B116="","", XLOOKUP($B116,Loan_Register!$A$2:$A$301,Loan_Register!$P$2:$P$301,""))</f>
        <v/>
      </c>
      <c r="F116">
        <f>IF($D116="","", IF($D116=0,"Current", IF($D116&lt;=7,"Early", IF($D116&lt;=30,"Watchlist", IF($D116&lt;=90,"Serious","Critical")))))</f>
        <v/>
      </c>
      <c r="J116" s="6" t="n"/>
    </row>
    <row r="117">
      <c r="A117" s="6" t="n"/>
      <c r="D117">
        <f>IF($B117="","", MAXIFS(Repayment_Ledger!$J$2:$J$801,Repayment_Ledger!$A$2:$A$801,$B117))</f>
        <v/>
      </c>
      <c r="E117" s="8">
        <f>IF($B117="","", XLOOKUP($B117,Loan_Register!$A$2:$A$301,Loan_Register!$P$2:$P$301,""))</f>
        <v/>
      </c>
      <c r="F117">
        <f>IF($D117="","", IF($D117=0,"Current", IF($D117&lt;=7,"Early", IF($D117&lt;=30,"Watchlist", IF($D117&lt;=90,"Serious","Critical")))))</f>
        <v/>
      </c>
      <c r="J117" s="6" t="n"/>
    </row>
    <row r="118">
      <c r="A118" s="6" t="n"/>
      <c r="D118">
        <f>IF($B118="","", MAXIFS(Repayment_Ledger!$J$2:$J$801,Repayment_Ledger!$A$2:$A$801,$B118))</f>
        <v/>
      </c>
      <c r="E118" s="8">
        <f>IF($B118="","", XLOOKUP($B118,Loan_Register!$A$2:$A$301,Loan_Register!$P$2:$P$301,""))</f>
        <v/>
      </c>
      <c r="F118">
        <f>IF($D118="","", IF($D118=0,"Current", IF($D118&lt;=7,"Early", IF($D118&lt;=30,"Watchlist", IF($D118&lt;=90,"Serious","Critical")))))</f>
        <v/>
      </c>
      <c r="J118" s="6" t="n"/>
    </row>
    <row r="119">
      <c r="A119" s="6" t="n"/>
      <c r="D119">
        <f>IF($B119="","", MAXIFS(Repayment_Ledger!$J$2:$J$801,Repayment_Ledger!$A$2:$A$801,$B119))</f>
        <v/>
      </c>
      <c r="E119" s="8">
        <f>IF($B119="","", XLOOKUP($B119,Loan_Register!$A$2:$A$301,Loan_Register!$P$2:$P$301,""))</f>
        <v/>
      </c>
      <c r="F119">
        <f>IF($D119="","", IF($D119=0,"Current", IF($D119&lt;=7,"Early", IF($D119&lt;=30,"Watchlist", IF($D119&lt;=90,"Serious","Critical")))))</f>
        <v/>
      </c>
      <c r="J119" s="6" t="n"/>
    </row>
    <row r="120">
      <c r="A120" s="6" t="n"/>
      <c r="D120">
        <f>IF($B120="","", MAXIFS(Repayment_Ledger!$J$2:$J$801,Repayment_Ledger!$A$2:$A$801,$B120))</f>
        <v/>
      </c>
      <c r="E120" s="8">
        <f>IF($B120="","", XLOOKUP($B120,Loan_Register!$A$2:$A$301,Loan_Register!$P$2:$P$301,""))</f>
        <v/>
      </c>
      <c r="F120">
        <f>IF($D120="","", IF($D120=0,"Current", IF($D120&lt;=7,"Early", IF($D120&lt;=30,"Watchlist", IF($D120&lt;=90,"Serious","Critical")))))</f>
        <v/>
      </c>
      <c r="J120" s="6" t="n"/>
    </row>
    <row r="121">
      <c r="A121" s="6" t="n"/>
      <c r="D121">
        <f>IF($B121="","", MAXIFS(Repayment_Ledger!$J$2:$J$801,Repayment_Ledger!$A$2:$A$801,$B121))</f>
        <v/>
      </c>
      <c r="E121" s="8">
        <f>IF($B121="","", XLOOKUP($B121,Loan_Register!$A$2:$A$301,Loan_Register!$P$2:$P$301,""))</f>
        <v/>
      </c>
      <c r="F121">
        <f>IF($D121="","", IF($D121=0,"Current", IF($D121&lt;=7,"Early", IF($D121&lt;=30,"Watchlist", IF($D121&lt;=90,"Serious","Critical")))))</f>
        <v/>
      </c>
      <c r="J121" s="6" t="n"/>
    </row>
    <row r="122">
      <c r="A122" s="6" t="n"/>
      <c r="D122">
        <f>IF($B122="","", MAXIFS(Repayment_Ledger!$J$2:$J$801,Repayment_Ledger!$A$2:$A$801,$B122))</f>
        <v/>
      </c>
      <c r="E122" s="8">
        <f>IF($B122="","", XLOOKUP($B122,Loan_Register!$A$2:$A$301,Loan_Register!$P$2:$P$301,""))</f>
        <v/>
      </c>
      <c r="F122">
        <f>IF($D122="","", IF($D122=0,"Current", IF($D122&lt;=7,"Early", IF($D122&lt;=30,"Watchlist", IF($D122&lt;=90,"Serious","Critical")))))</f>
        <v/>
      </c>
      <c r="J122" s="6" t="n"/>
    </row>
    <row r="123">
      <c r="A123" s="6" t="n"/>
      <c r="D123">
        <f>IF($B123="","", MAXIFS(Repayment_Ledger!$J$2:$J$801,Repayment_Ledger!$A$2:$A$801,$B123))</f>
        <v/>
      </c>
      <c r="E123" s="8">
        <f>IF($B123="","", XLOOKUP($B123,Loan_Register!$A$2:$A$301,Loan_Register!$P$2:$P$301,""))</f>
        <v/>
      </c>
      <c r="F123">
        <f>IF($D123="","", IF($D123=0,"Current", IF($D123&lt;=7,"Early", IF($D123&lt;=30,"Watchlist", IF($D123&lt;=90,"Serious","Critical")))))</f>
        <v/>
      </c>
      <c r="J123" s="6" t="n"/>
    </row>
    <row r="124">
      <c r="A124" s="6" t="n"/>
      <c r="D124">
        <f>IF($B124="","", MAXIFS(Repayment_Ledger!$J$2:$J$801,Repayment_Ledger!$A$2:$A$801,$B124))</f>
        <v/>
      </c>
      <c r="E124" s="8">
        <f>IF($B124="","", XLOOKUP($B124,Loan_Register!$A$2:$A$301,Loan_Register!$P$2:$P$301,""))</f>
        <v/>
      </c>
      <c r="F124">
        <f>IF($D124="","", IF($D124=0,"Current", IF($D124&lt;=7,"Early", IF($D124&lt;=30,"Watchlist", IF($D124&lt;=90,"Serious","Critical")))))</f>
        <v/>
      </c>
      <c r="J124" s="6" t="n"/>
    </row>
    <row r="125">
      <c r="A125" s="6" t="n"/>
      <c r="D125">
        <f>IF($B125="","", MAXIFS(Repayment_Ledger!$J$2:$J$801,Repayment_Ledger!$A$2:$A$801,$B125))</f>
        <v/>
      </c>
      <c r="E125" s="8">
        <f>IF($B125="","", XLOOKUP($B125,Loan_Register!$A$2:$A$301,Loan_Register!$P$2:$P$301,""))</f>
        <v/>
      </c>
      <c r="F125">
        <f>IF($D125="","", IF($D125=0,"Current", IF($D125&lt;=7,"Early", IF($D125&lt;=30,"Watchlist", IF($D125&lt;=90,"Serious","Critical")))))</f>
        <v/>
      </c>
      <c r="J125" s="6" t="n"/>
    </row>
    <row r="126">
      <c r="A126" s="6" t="n"/>
      <c r="D126">
        <f>IF($B126="","", MAXIFS(Repayment_Ledger!$J$2:$J$801,Repayment_Ledger!$A$2:$A$801,$B126))</f>
        <v/>
      </c>
      <c r="E126" s="8">
        <f>IF($B126="","", XLOOKUP($B126,Loan_Register!$A$2:$A$301,Loan_Register!$P$2:$P$301,""))</f>
        <v/>
      </c>
      <c r="F126">
        <f>IF($D126="","", IF($D126=0,"Current", IF($D126&lt;=7,"Early", IF($D126&lt;=30,"Watchlist", IF($D126&lt;=90,"Serious","Critical")))))</f>
        <v/>
      </c>
      <c r="J126" s="6" t="n"/>
    </row>
    <row r="127">
      <c r="A127" s="6" t="n"/>
      <c r="D127">
        <f>IF($B127="","", MAXIFS(Repayment_Ledger!$J$2:$J$801,Repayment_Ledger!$A$2:$A$801,$B127))</f>
        <v/>
      </c>
      <c r="E127" s="8">
        <f>IF($B127="","", XLOOKUP($B127,Loan_Register!$A$2:$A$301,Loan_Register!$P$2:$P$301,""))</f>
        <v/>
      </c>
      <c r="F127">
        <f>IF($D127="","", IF($D127=0,"Current", IF($D127&lt;=7,"Early", IF($D127&lt;=30,"Watchlist", IF($D127&lt;=90,"Serious","Critical")))))</f>
        <v/>
      </c>
      <c r="J127" s="6" t="n"/>
    </row>
    <row r="128">
      <c r="A128" s="6" t="n"/>
      <c r="D128">
        <f>IF($B128="","", MAXIFS(Repayment_Ledger!$J$2:$J$801,Repayment_Ledger!$A$2:$A$801,$B128))</f>
        <v/>
      </c>
      <c r="E128" s="8">
        <f>IF($B128="","", XLOOKUP($B128,Loan_Register!$A$2:$A$301,Loan_Register!$P$2:$P$301,""))</f>
        <v/>
      </c>
      <c r="F128">
        <f>IF($D128="","", IF($D128=0,"Current", IF($D128&lt;=7,"Early", IF($D128&lt;=30,"Watchlist", IF($D128&lt;=90,"Serious","Critical")))))</f>
        <v/>
      </c>
      <c r="J128" s="6" t="n"/>
    </row>
    <row r="129">
      <c r="A129" s="6" t="n"/>
      <c r="D129">
        <f>IF($B129="","", MAXIFS(Repayment_Ledger!$J$2:$J$801,Repayment_Ledger!$A$2:$A$801,$B129))</f>
        <v/>
      </c>
      <c r="E129" s="8">
        <f>IF($B129="","", XLOOKUP($B129,Loan_Register!$A$2:$A$301,Loan_Register!$P$2:$P$301,""))</f>
        <v/>
      </c>
      <c r="F129">
        <f>IF($D129="","", IF($D129=0,"Current", IF($D129&lt;=7,"Early", IF($D129&lt;=30,"Watchlist", IF($D129&lt;=90,"Serious","Critical")))))</f>
        <v/>
      </c>
      <c r="J129" s="6" t="n"/>
    </row>
    <row r="130">
      <c r="A130" s="6" t="n"/>
      <c r="D130">
        <f>IF($B130="","", MAXIFS(Repayment_Ledger!$J$2:$J$801,Repayment_Ledger!$A$2:$A$801,$B130))</f>
        <v/>
      </c>
      <c r="E130" s="8">
        <f>IF($B130="","", XLOOKUP($B130,Loan_Register!$A$2:$A$301,Loan_Register!$P$2:$P$301,""))</f>
        <v/>
      </c>
      <c r="F130">
        <f>IF($D130="","", IF($D130=0,"Current", IF($D130&lt;=7,"Early", IF($D130&lt;=30,"Watchlist", IF($D130&lt;=90,"Serious","Critical")))))</f>
        <v/>
      </c>
      <c r="J130" s="6" t="n"/>
    </row>
    <row r="131">
      <c r="A131" s="6" t="n"/>
      <c r="D131">
        <f>IF($B131="","", MAXIFS(Repayment_Ledger!$J$2:$J$801,Repayment_Ledger!$A$2:$A$801,$B131))</f>
        <v/>
      </c>
      <c r="E131" s="8">
        <f>IF($B131="","", XLOOKUP($B131,Loan_Register!$A$2:$A$301,Loan_Register!$P$2:$P$301,""))</f>
        <v/>
      </c>
      <c r="F131">
        <f>IF($D131="","", IF($D131=0,"Current", IF($D131&lt;=7,"Early", IF($D131&lt;=30,"Watchlist", IF($D131&lt;=90,"Serious","Critical")))))</f>
        <v/>
      </c>
      <c r="J131" s="6" t="n"/>
    </row>
    <row r="132">
      <c r="A132" s="6" t="n"/>
      <c r="D132">
        <f>IF($B132="","", MAXIFS(Repayment_Ledger!$J$2:$J$801,Repayment_Ledger!$A$2:$A$801,$B132))</f>
        <v/>
      </c>
      <c r="E132" s="8">
        <f>IF($B132="","", XLOOKUP($B132,Loan_Register!$A$2:$A$301,Loan_Register!$P$2:$P$301,""))</f>
        <v/>
      </c>
      <c r="F132">
        <f>IF($D132="","", IF($D132=0,"Current", IF($D132&lt;=7,"Early", IF($D132&lt;=30,"Watchlist", IF($D132&lt;=90,"Serious","Critical")))))</f>
        <v/>
      </c>
      <c r="J132" s="6" t="n"/>
    </row>
    <row r="133">
      <c r="A133" s="6" t="n"/>
      <c r="D133">
        <f>IF($B133="","", MAXIFS(Repayment_Ledger!$J$2:$J$801,Repayment_Ledger!$A$2:$A$801,$B133))</f>
        <v/>
      </c>
      <c r="E133" s="8">
        <f>IF($B133="","", XLOOKUP($B133,Loan_Register!$A$2:$A$301,Loan_Register!$P$2:$P$301,""))</f>
        <v/>
      </c>
      <c r="F133">
        <f>IF($D133="","", IF($D133=0,"Current", IF($D133&lt;=7,"Early", IF($D133&lt;=30,"Watchlist", IF($D133&lt;=90,"Serious","Critical")))))</f>
        <v/>
      </c>
      <c r="J133" s="6" t="n"/>
    </row>
    <row r="134">
      <c r="A134" s="6" t="n"/>
      <c r="D134">
        <f>IF($B134="","", MAXIFS(Repayment_Ledger!$J$2:$J$801,Repayment_Ledger!$A$2:$A$801,$B134))</f>
        <v/>
      </c>
      <c r="E134" s="8">
        <f>IF($B134="","", XLOOKUP($B134,Loan_Register!$A$2:$A$301,Loan_Register!$P$2:$P$301,""))</f>
        <v/>
      </c>
      <c r="F134">
        <f>IF($D134="","", IF($D134=0,"Current", IF($D134&lt;=7,"Early", IF($D134&lt;=30,"Watchlist", IF($D134&lt;=90,"Serious","Critical")))))</f>
        <v/>
      </c>
      <c r="J134" s="6" t="n"/>
    </row>
    <row r="135">
      <c r="A135" s="6" t="n"/>
      <c r="D135">
        <f>IF($B135="","", MAXIFS(Repayment_Ledger!$J$2:$J$801,Repayment_Ledger!$A$2:$A$801,$B135))</f>
        <v/>
      </c>
      <c r="E135" s="8">
        <f>IF($B135="","", XLOOKUP($B135,Loan_Register!$A$2:$A$301,Loan_Register!$P$2:$P$301,""))</f>
        <v/>
      </c>
      <c r="F135">
        <f>IF($D135="","", IF($D135=0,"Current", IF($D135&lt;=7,"Early", IF($D135&lt;=30,"Watchlist", IF($D135&lt;=90,"Serious","Critical")))))</f>
        <v/>
      </c>
      <c r="J135" s="6" t="n"/>
    </row>
    <row r="136">
      <c r="A136" s="6" t="n"/>
      <c r="D136">
        <f>IF($B136="","", MAXIFS(Repayment_Ledger!$J$2:$J$801,Repayment_Ledger!$A$2:$A$801,$B136))</f>
        <v/>
      </c>
      <c r="E136" s="8">
        <f>IF($B136="","", XLOOKUP($B136,Loan_Register!$A$2:$A$301,Loan_Register!$P$2:$P$301,""))</f>
        <v/>
      </c>
      <c r="F136">
        <f>IF($D136="","", IF($D136=0,"Current", IF($D136&lt;=7,"Early", IF($D136&lt;=30,"Watchlist", IF($D136&lt;=90,"Serious","Critical")))))</f>
        <v/>
      </c>
      <c r="J136" s="6" t="n"/>
    </row>
    <row r="137">
      <c r="A137" s="6" t="n"/>
      <c r="D137">
        <f>IF($B137="","", MAXIFS(Repayment_Ledger!$J$2:$J$801,Repayment_Ledger!$A$2:$A$801,$B137))</f>
        <v/>
      </c>
      <c r="E137" s="8">
        <f>IF($B137="","", XLOOKUP($B137,Loan_Register!$A$2:$A$301,Loan_Register!$P$2:$P$301,""))</f>
        <v/>
      </c>
      <c r="F137">
        <f>IF($D137="","", IF($D137=0,"Current", IF($D137&lt;=7,"Early", IF($D137&lt;=30,"Watchlist", IF($D137&lt;=90,"Serious","Critical")))))</f>
        <v/>
      </c>
      <c r="J137" s="6" t="n"/>
    </row>
    <row r="138">
      <c r="A138" s="6" t="n"/>
      <c r="D138">
        <f>IF($B138="","", MAXIFS(Repayment_Ledger!$J$2:$J$801,Repayment_Ledger!$A$2:$A$801,$B138))</f>
        <v/>
      </c>
      <c r="E138" s="8">
        <f>IF($B138="","", XLOOKUP($B138,Loan_Register!$A$2:$A$301,Loan_Register!$P$2:$P$301,""))</f>
        <v/>
      </c>
      <c r="F138">
        <f>IF($D138="","", IF($D138=0,"Current", IF($D138&lt;=7,"Early", IF($D138&lt;=30,"Watchlist", IF($D138&lt;=90,"Serious","Critical")))))</f>
        <v/>
      </c>
      <c r="J138" s="6" t="n"/>
    </row>
    <row r="139">
      <c r="A139" s="6" t="n"/>
      <c r="D139">
        <f>IF($B139="","", MAXIFS(Repayment_Ledger!$J$2:$J$801,Repayment_Ledger!$A$2:$A$801,$B139))</f>
        <v/>
      </c>
      <c r="E139" s="8">
        <f>IF($B139="","", XLOOKUP($B139,Loan_Register!$A$2:$A$301,Loan_Register!$P$2:$P$301,""))</f>
        <v/>
      </c>
      <c r="F139">
        <f>IF($D139="","", IF($D139=0,"Current", IF($D139&lt;=7,"Early", IF($D139&lt;=30,"Watchlist", IF($D139&lt;=90,"Serious","Critical")))))</f>
        <v/>
      </c>
      <c r="J139" s="6" t="n"/>
    </row>
    <row r="140">
      <c r="A140" s="6" t="n"/>
      <c r="D140">
        <f>IF($B140="","", MAXIFS(Repayment_Ledger!$J$2:$J$801,Repayment_Ledger!$A$2:$A$801,$B140))</f>
        <v/>
      </c>
      <c r="E140" s="8">
        <f>IF($B140="","", XLOOKUP($B140,Loan_Register!$A$2:$A$301,Loan_Register!$P$2:$P$301,""))</f>
        <v/>
      </c>
      <c r="F140">
        <f>IF($D140="","", IF($D140=0,"Current", IF($D140&lt;=7,"Early", IF($D140&lt;=30,"Watchlist", IF($D140&lt;=90,"Serious","Critical")))))</f>
        <v/>
      </c>
      <c r="J140" s="6" t="n"/>
    </row>
    <row r="141">
      <c r="A141" s="6" t="n"/>
      <c r="D141">
        <f>IF($B141="","", MAXIFS(Repayment_Ledger!$J$2:$J$801,Repayment_Ledger!$A$2:$A$801,$B141))</f>
        <v/>
      </c>
      <c r="E141" s="8">
        <f>IF($B141="","", XLOOKUP($B141,Loan_Register!$A$2:$A$301,Loan_Register!$P$2:$P$301,""))</f>
        <v/>
      </c>
      <c r="F141">
        <f>IF($D141="","", IF($D141=0,"Current", IF($D141&lt;=7,"Early", IF($D141&lt;=30,"Watchlist", IF($D141&lt;=90,"Serious","Critical")))))</f>
        <v/>
      </c>
      <c r="J141" s="6" t="n"/>
    </row>
    <row r="142">
      <c r="A142" s="6" t="n"/>
      <c r="D142">
        <f>IF($B142="","", MAXIFS(Repayment_Ledger!$J$2:$J$801,Repayment_Ledger!$A$2:$A$801,$B142))</f>
        <v/>
      </c>
      <c r="E142" s="8">
        <f>IF($B142="","", XLOOKUP($B142,Loan_Register!$A$2:$A$301,Loan_Register!$P$2:$P$301,""))</f>
        <v/>
      </c>
      <c r="F142">
        <f>IF($D142="","", IF($D142=0,"Current", IF($D142&lt;=7,"Early", IF($D142&lt;=30,"Watchlist", IF($D142&lt;=90,"Serious","Critical")))))</f>
        <v/>
      </c>
      <c r="J142" s="6" t="n"/>
    </row>
    <row r="143">
      <c r="A143" s="6" t="n"/>
      <c r="D143">
        <f>IF($B143="","", MAXIFS(Repayment_Ledger!$J$2:$J$801,Repayment_Ledger!$A$2:$A$801,$B143))</f>
        <v/>
      </c>
      <c r="E143" s="8">
        <f>IF($B143="","", XLOOKUP($B143,Loan_Register!$A$2:$A$301,Loan_Register!$P$2:$P$301,""))</f>
        <v/>
      </c>
      <c r="F143">
        <f>IF($D143="","", IF($D143=0,"Current", IF($D143&lt;=7,"Early", IF($D143&lt;=30,"Watchlist", IF($D143&lt;=90,"Serious","Critical")))))</f>
        <v/>
      </c>
      <c r="J143" s="6" t="n"/>
    </row>
    <row r="144">
      <c r="A144" s="6" t="n"/>
      <c r="D144">
        <f>IF($B144="","", MAXIFS(Repayment_Ledger!$J$2:$J$801,Repayment_Ledger!$A$2:$A$801,$B144))</f>
        <v/>
      </c>
      <c r="E144" s="8">
        <f>IF($B144="","", XLOOKUP($B144,Loan_Register!$A$2:$A$301,Loan_Register!$P$2:$P$301,""))</f>
        <v/>
      </c>
      <c r="F144">
        <f>IF($D144="","", IF($D144=0,"Current", IF($D144&lt;=7,"Early", IF($D144&lt;=30,"Watchlist", IF($D144&lt;=90,"Serious","Critical")))))</f>
        <v/>
      </c>
      <c r="J144" s="6" t="n"/>
    </row>
    <row r="145">
      <c r="A145" s="6" t="n"/>
      <c r="D145">
        <f>IF($B145="","", MAXIFS(Repayment_Ledger!$J$2:$J$801,Repayment_Ledger!$A$2:$A$801,$B145))</f>
        <v/>
      </c>
      <c r="E145" s="8">
        <f>IF($B145="","", XLOOKUP($B145,Loan_Register!$A$2:$A$301,Loan_Register!$P$2:$P$301,""))</f>
        <v/>
      </c>
      <c r="F145">
        <f>IF($D145="","", IF($D145=0,"Current", IF($D145&lt;=7,"Early", IF($D145&lt;=30,"Watchlist", IF($D145&lt;=90,"Serious","Critical")))))</f>
        <v/>
      </c>
      <c r="J145" s="6" t="n"/>
    </row>
    <row r="146">
      <c r="A146" s="6" t="n"/>
      <c r="D146">
        <f>IF($B146="","", MAXIFS(Repayment_Ledger!$J$2:$J$801,Repayment_Ledger!$A$2:$A$801,$B146))</f>
        <v/>
      </c>
      <c r="E146" s="8">
        <f>IF($B146="","", XLOOKUP($B146,Loan_Register!$A$2:$A$301,Loan_Register!$P$2:$P$301,""))</f>
        <v/>
      </c>
      <c r="F146">
        <f>IF($D146="","", IF($D146=0,"Current", IF($D146&lt;=7,"Early", IF($D146&lt;=30,"Watchlist", IF($D146&lt;=90,"Serious","Critical")))))</f>
        <v/>
      </c>
      <c r="J146" s="6" t="n"/>
    </row>
    <row r="147">
      <c r="A147" s="6" t="n"/>
      <c r="D147">
        <f>IF($B147="","", MAXIFS(Repayment_Ledger!$J$2:$J$801,Repayment_Ledger!$A$2:$A$801,$B147))</f>
        <v/>
      </c>
      <c r="E147" s="8">
        <f>IF($B147="","", XLOOKUP($B147,Loan_Register!$A$2:$A$301,Loan_Register!$P$2:$P$301,""))</f>
        <v/>
      </c>
      <c r="F147">
        <f>IF($D147="","", IF($D147=0,"Current", IF($D147&lt;=7,"Early", IF($D147&lt;=30,"Watchlist", IF($D147&lt;=90,"Serious","Critical")))))</f>
        <v/>
      </c>
      <c r="J147" s="6" t="n"/>
    </row>
    <row r="148">
      <c r="A148" s="6" t="n"/>
      <c r="D148">
        <f>IF($B148="","", MAXIFS(Repayment_Ledger!$J$2:$J$801,Repayment_Ledger!$A$2:$A$801,$B148))</f>
        <v/>
      </c>
      <c r="E148" s="8">
        <f>IF($B148="","", XLOOKUP($B148,Loan_Register!$A$2:$A$301,Loan_Register!$P$2:$P$301,""))</f>
        <v/>
      </c>
      <c r="F148">
        <f>IF($D148="","", IF($D148=0,"Current", IF($D148&lt;=7,"Early", IF($D148&lt;=30,"Watchlist", IF($D148&lt;=90,"Serious","Critical")))))</f>
        <v/>
      </c>
      <c r="J148" s="6" t="n"/>
    </row>
    <row r="149">
      <c r="A149" s="6" t="n"/>
      <c r="D149">
        <f>IF($B149="","", MAXIFS(Repayment_Ledger!$J$2:$J$801,Repayment_Ledger!$A$2:$A$801,$B149))</f>
        <v/>
      </c>
      <c r="E149" s="8">
        <f>IF($B149="","", XLOOKUP($B149,Loan_Register!$A$2:$A$301,Loan_Register!$P$2:$P$301,""))</f>
        <v/>
      </c>
      <c r="F149">
        <f>IF($D149="","", IF($D149=0,"Current", IF($D149&lt;=7,"Early", IF($D149&lt;=30,"Watchlist", IF($D149&lt;=90,"Serious","Critical")))))</f>
        <v/>
      </c>
      <c r="J149" s="6" t="n"/>
    </row>
    <row r="150">
      <c r="A150" s="6" t="n"/>
      <c r="D150">
        <f>IF($B150="","", MAXIFS(Repayment_Ledger!$J$2:$J$801,Repayment_Ledger!$A$2:$A$801,$B150))</f>
        <v/>
      </c>
      <c r="E150" s="8">
        <f>IF($B150="","", XLOOKUP($B150,Loan_Register!$A$2:$A$301,Loan_Register!$P$2:$P$301,""))</f>
        <v/>
      </c>
      <c r="F150">
        <f>IF($D150="","", IF($D150=0,"Current", IF($D150&lt;=7,"Early", IF($D150&lt;=30,"Watchlist", IF($D150&lt;=90,"Serious","Critical")))))</f>
        <v/>
      </c>
      <c r="J150" s="6" t="n"/>
    </row>
    <row r="151">
      <c r="A151" s="6" t="n"/>
      <c r="D151">
        <f>IF($B151="","", MAXIFS(Repayment_Ledger!$J$2:$J$801,Repayment_Ledger!$A$2:$A$801,$B151))</f>
        <v/>
      </c>
      <c r="E151" s="8">
        <f>IF($B151="","", XLOOKUP($B151,Loan_Register!$A$2:$A$301,Loan_Register!$P$2:$P$301,""))</f>
        <v/>
      </c>
      <c r="F151">
        <f>IF($D151="","", IF($D151=0,"Current", IF($D151&lt;=7,"Early", IF($D151&lt;=30,"Watchlist", IF($D151&lt;=90,"Serious","Critical")))))</f>
        <v/>
      </c>
      <c r="J151" s="6" t="n"/>
    </row>
    <row r="152">
      <c r="A152" s="6" t="n"/>
      <c r="D152">
        <f>IF($B152="","", MAXIFS(Repayment_Ledger!$J$2:$J$801,Repayment_Ledger!$A$2:$A$801,$B152))</f>
        <v/>
      </c>
      <c r="E152" s="8">
        <f>IF($B152="","", XLOOKUP($B152,Loan_Register!$A$2:$A$301,Loan_Register!$P$2:$P$301,""))</f>
        <v/>
      </c>
      <c r="F152">
        <f>IF($D152="","", IF($D152=0,"Current", IF($D152&lt;=7,"Early", IF($D152&lt;=30,"Watchlist", IF($D152&lt;=90,"Serious","Critical")))))</f>
        <v/>
      </c>
      <c r="J152" s="6" t="n"/>
    </row>
    <row r="153">
      <c r="A153" s="6" t="n"/>
      <c r="D153">
        <f>IF($B153="","", MAXIFS(Repayment_Ledger!$J$2:$J$801,Repayment_Ledger!$A$2:$A$801,$B153))</f>
        <v/>
      </c>
      <c r="E153" s="8">
        <f>IF($B153="","", XLOOKUP($B153,Loan_Register!$A$2:$A$301,Loan_Register!$P$2:$P$301,""))</f>
        <v/>
      </c>
      <c r="F153">
        <f>IF($D153="","", IF($D153=0,"Current", IF($D153&lt;=7,"Early", IF($D153&lt;=30,"Watchlist", IF($D153&lt;=90,"Serious","Critical")))))</f>
        <v/>
      </c>
      <c r="J153" s="6" t="n"/>
    </row>
    <row r="154">
      <c r="A154" s="6" t="n"/>
      <c r="D154">
        <f>IF($B154="","", MAXIFS(Repayment_Ledger!$J$2:$J$801,Repayment_Ledger!$A$2:$A$801,$B154))</f>
        <v/>
      </c>
      <c r="E154" s="8">
        <f>IF($B154="","", XLOOKUP($B154,Loan_Register!$A$2:$A$301,Loan_Register!$P$2:$P$301,""))</f>
        <v/>
      </c>
      <c r="F154">
        <f>IF($D154="","", IF($D154=0,"Current", IF($D154&lt;=7,"Early", IF($D154&lt;=30,"Watchlist", IF($D154&lt;=90,"Serious","Critical")))))</f>
        <v/>
      </c>
      <c r="J154" s="6" t="n"/>
    </row>
    <row r="155">
      <c r="A155" s="6" t="n"/>
      <c r="D155">
        <f>IF($B155="","", MAXIFS(Repayment_Ledger!$J$2:$J$801,Repayment_Ledger!$A$2:$A$801,$B155))</f>
        <v/>
      </c>
      <c r="E155" s="8">
        <f>IF($B155="","", XLOOKUP($B155,Loan_Register!$A$2:$A$301,Loan_Register!$P$2:$P$301,""))</f>
        <v/>
      </c>
      <c r="F155">
        <f>IF($D155="","", IF($D155=0,"Current", IF($D155&lt;=7,"Early", IF($D155&lt;=30,"Watchlist", IF($D155&lt;=90,"Serious","Critical")))))</f>
        <v/>
      </c>
      <c r="J155" s="6" t="n"/>
    </row>
    <row r="156">
      <c r="A156" s="6" t="n"/>
      <c r="D156">
        <f>IF($B156="","", MAXIFS(Repayment_Ledger!$J$2:$J$801,Repayment_Ledger!$A$2:$A$801,$B156))</f>
        <v/>
      </c>
      <c r="E156" s="8">
        <f>IF($B156="","", XLOOKUP($B156,Loan_Register!$A$2:$A$301,Loan_Register!$P$2:$P$301,""))</f>
        <v/>
      </c>
      <c r="F156">
        <f>IF($D156="","", IF($D156=0,"Current", IF($D156&lt;=7,"Early", IF($D156&lt;=30,"Watchlist", IF($D156&lt;=90,"Serious","Critical")))))</f>
        <v/>
      </c>
      <c r="J156" s="6" t="n"/>
    </row>
    <row r="157">
      <c r="A157" s="6" t="n"/>
      <c r="D157">
        <f>IF($B157="","", MAXIFS(Repayment_Ledger!$J$2:$J$801,Repayment_Ledger!$A$2:$A$801,$B157))</f>
        <v/>
      </c>
      <c r="E157" s="8">
        <f>IF($B157="","", XLOOKUP($B157,Loan_Register!$A$2:$A$301,Loan_Register!$P$2:$P$301,""))</f>
        <v/>
      </c>
      <c r="F157">
        <f>IF($D157="","", IF($D157=0,"Current", IF($D157&lt;=7,"Early", IF($D157&lt;=30,"Watchlist", IF($D157&lt;=90,"Serious","Critical")))))</f>
        <v/>
      </c>
      <c r="J157" s="6" t="n"/>
    </row>
    <row r="158">
      <c r="A158" s="6" t="n"/>
      <c r="D158">
        <f>IF($B158="","", MAXIFS(Repayment_Ledger!$J$2:$J$801,Repayment_Ledger!$A$2:$A$801,$B158))</f>
        <v/>
      </c>
      <c r="E158" s="8">
        <f>IF($B158="","", XLOOKUP($B158,Loan_Register!$A$2:$A$301,Loan_Register!$P$2:$P$301,""))</f>
        <v/>
      </c>
      <c r="F158">
        <f>IF($D158="","", IF($D158=0,"Current", IF($D158&lt;=7,"Early", IF($D158&lt;=30,"Watchlist", IF($D158&lt;=90,"Serious","Critical")))))</f>
        <v/>
      </c>
      <c r="J158" s="6" t="n"/>
    </row>
    <row r="159">
      <c r="A159" s="6" t="n"/>
      <c r="D159">
        <f>IF($B159="","", MAXIFS(Repayment_Ledger!$J$2:$J$801,Repayment_Ledger!$A$2:$A$801,$B159))</f>
        <v/>
      </c>
      <c r="E159" s="8">
        <f>IF($B159="","", XLOOKUP($B159,Loan_Register!$A$2:$A$301,Loan_Register!$P$2:$P$301,""))</f>
        <v/>
      </c>
      <c r="F159">
        <f>IF($D159="","", IF($D159=0,"Current", IF($D159&lt;=7,"Early", IF($D159&lt;=30,"Watchlist", IF($D159&lt;=90,"Serious","Critical")))))</f>
        <v/>
      </c>
      <c r="J159" s="6" t="n"/>
    </row>
    <row r="160">
      <c r="A160" s="6" t="n"/>
      <c r="D160">
        <f>IF($B160="","", MAXIFS(Repayment_Ledger!$J$2:$J$801,Repayment_Ledger!$A$2:$A$801,$B160))</f>
        <v/>
      </c>
      <c r="E160" s="8">
        <f>IF($B160="","", XLOOKUP($B160,Loan_Register!$A$2:$A$301,Loan_Register!$P$2:$P$301,""))</f>
        <v/>
      </c>
      <c r="F160">
        <f>IF($D160="","", IF($D160=0,"Current", IF($D160&lt;=7,"Early", IF($D160&lt;=30,"Watchlist", IF($D160&lt;=90,"Serious","Critical")))))</f>
        <v/>
      </c>
      <c r="J160" s="6" t="n"/>
    </row>
    <row r="161">
      <c r="A161" s="6" t="n"/>
      <c r="D161">
        <f>IF($B161="","", MAXIFS(Repayment_Ledger!$J$2:$J$801,Repayment_Ledger!$A$2:$A$801,$B161))</f>
        <v/>
      </c>
      <c r="E161" s="8">
        <f>IF($B161="","", XLOOKUP($B161,Loan_Register!$A$2:$A$301,Loan_Register!$P$2:$P$301,""))</f>
        <v/>
      </c>
      <c r="F161">
        <f>IF($D161="","", IF($D161=0,"Current", IF($D161&lt;=7,"Early", IF($D161&lt;=30,"Watchlist", IF($D161&lt;=90,"Serious","Critical")))))</f>
        <v/>
      </c>
      <c r="J161" s="6" t="n"/>
    </row>
    <row r="162">
      <c r="A162" s="6" t="n"/>
      <c r="D162">
        <f>IF($B162="","", MAXIFS(Repayment_Ledger!$J$2:$J$801,Repayment_Ledger!$A$2:$A$801,$B162))</f>
        <v/>
      </c>
      <c r="E162" s="8">
        <f>IF($B162="","", XLOOKUP($B162,Loan_Register!$A$2:$A$301,Loan_Register!$P$2:$P$301,""))</f>
        <v/>
      </c>
      <c r="F162">
        <f>IF($D162="","", IF($D162=0,"Current", IF($D162&lt;=7,"Early", IF($D162&lt;=30,"Watchlist", IF($D162&lt;=90,"Serious","Critical")))))</f>
        <v/>
      </c>
      <c r="J162" s="6" t="n"/>
    </row>
    <row r="163">
      <c r="A163" s="6" t="n"/>
      <c r="D163">
        <f>IF($B163="","", MAXIFS(Repayment_Ledger!$J$2:$J$801,Repayment_Ledger!$A$2:$A$801,$B163))</f>
        <v/>
      </c>
      <c r="E163" s="8">
        <f>IF($B163="","", XLOOKUP($B163,Loan_Register!$A$2:$A$301,Loan_Register!$P$2:$P$301,""))</f>
        <v/>
      </c>
      <c r="F163">
        <f>IF($D163="","", IF($D163=0,"Current", IF($D163&lt;=7,"Early", IF($D163&lt;=30,"Watchlist", IF($D163&lt;=90,"Serious","Critical")))))</f>
        <v/>
      </c>
      <c r="J163" s="6" t="n"/>
    </row>
    <row r="164">
      <c r="A164" s="6" t="n"/>
      <c r="D164">
        <f>IF($B164="","", MAXIFS(Repayment_Ledger!$J$2:$J$801,Repayment_Ledger!$A$2:$A$801,$B164))</f>
        <v/>
      </c>
      <c r="E164" s="8">
        <f>IF($B164="","", XLOOKUP($B164,Loan_Register!$A$2:$A$301,Loan_Register!$P$2:$P$301,""))</f>
        <v/>
      </c>
      <c r="F164">
        <f>IF($D164="","", IF($D164=0,"Current", IF($D164&lt;=7,"Early", IF($D164&lt;=30,"Watchlist", IF($D164&lt;=90,"Serious","Critical")))))</f>
        <v/>
      </c>
      <c r="J164" s="6" t="n"/>
    </row>
    <row r="165">
      <c r="A165" s="6" t="n"/>
      <c r="D165">
        <f>IF($B165="","", MAXIFS(Repayment_Ledger!$J$2:$J$801,Repayment_Ledger!$A$2:$A$801,$B165))</f>
        <v/>
      </c>
      <c r="E165" s="8">
        <f>IF($B165="","", XLOOKUP($B165,Loan_Register!$A$2:$A$301,Loan_Register!$P$2:$P$301,""))</f>
        <v/>
      </c>
      <c r="F165">
        <f>IF($D165="","", IF($D165=0,"Current", IF($D165&lt;=7,"Early", IF($D165&lt;=30,"Watchlist", IF($D165&lt;=90,"Serious","Critical")))))</f>
        <v/>
      </c>
      <c r="J165" s="6" t="n"/>
    </row>
    <row r="166">
      <c r="A166" s="6" t="n"/>
      <c r="D166">
        <f>IF($B166="","", MAXIFS(Repayment_Ledger!$J$2:$J$801,Repayment_Ledger!$A$2:$A$801,$B166))</f>
        <v/>
      </c>
      <c r="E166" s="8">
        <f>IF($B166="","", XLOOKUP($B166,Loan_Register!$A$2:$A$301,Loan_Register!$P$2:$P$301,""))</f>
        <v/>
      </c>
      <c r="F166">
        <f>IF($D166="","", IF($D166=0,"Current", IF($D166&lt;=7,"Early", IF($D166&lt;=30,"Watchlist", IF($D166&lt;=90,"Serious","Critical")))))</f>
        <v/>
      </c>
      <c r="J166" s="6" t="n"/>
    </row>
    <row r="167">
      <c r="A167" s="6" t="n"/>
      <c r="D167">
        <f>IF($B167="","", MAXIFS(Repayment_Ledger!$J$2:$J$801,Repayment_Ledger!$A$2:$A$801,$B167))</f>
        <v/>
      </c>
      <c r="E167" s="8">
        <f>IF($B167="","", XLOOKUP($B167,Loan_Register!$A$2:$A$301,Loan_Register!$P$2:$P$301,""))</f>
        <v/>
      </c>
      <c r="F167">
        <f>IF($D167="","", IF($D167=0,"Current", IF($D167&lt;=7,"Early", IF($D167&lt;=30,"Watchlist", IF($D167&lt;=90,"Serious","Critical")))))</f>
        <v/>
      </c>
      <c r="J167" s="6" t="n"/>
    </row>
    <row r="168">
      <c r="A168" s="6" t="n"/>
      <c r="D168">
        <f>IF($B168="","", MAXIFS(Repayment_Ledger!$J$2:$J$801,Repayment_Ledger!$A$2:$A$801,$B168))</f>
        <v/>
      </c>
      <c r="E168" s="8">
        <f>IF($B168="","", XLOOKUP($B168,Loan_Register!$A$2:$A$301,Loan_Register!$P$2:$P$301,""))</f>
        <v/>
      </c>
      <c r="F168">
        <f>IF($D168="","", IF($D168=0,"Current", IF($D168&lt;=7,"Early", IF($D168&lt;=30,"Watchlist", IF($D168&lt;=90,"Serious","Critical")))))</f>
        <v/>
      </c>
      <c r="J168" s="6" t="n"/>
    </row>
    <row r="169">
      <c r="A169" s="6" t="n"/>
      <c r="D169">
        <f>IF($B169="","", MAXIFS(Repayment_Ledger!$J$2:$J$801,Repayment_Ledger!$A$2:$A$801,$B169))</f>
        <v/>
      </c>
      <c r="E169" s="8">
        <f>IF($B169="","", XLOOKUP($B169,Loan_Register!$A$2:$A$301,Loan_Register!$P$2:$P$301,""))</f>
        <v/>
      </c>
      <c r="F169">
        <f>IF($D169="","", IF($D169=0,"Current", IF($D169&lt;=7,"Early", IF($D169&lt;=30,"Watchlist", IF($D169&lt;=90,"Serious","Critical")))))</f>
        <v/>
      </c>
      <c r="J169" s="6" t="n"/>
    </row>
    <row r="170">
      <c r="A170" s="6" t="n"/>
      <c r="D170">
        <f>IF($B170="","", MAXIFS(Repayment_Ledger!$J$2:$J$801,Repayment_Ledger!$A$2:$A$801,$B170))</f>
        <v/>
      </c>
      <c r="E170" s="8">
        <f>IF($B170="","", XLOOKUP($B170,Loan_Register!$A$2:$A$301,Loan_Register!$P$2:$P$301,""))</f>
        <v/>
      </c>
      <c r="F170">
        <f>IF($D170="","", IF($D170=0,"Current", IF($D170&lt;=7,"Early", IF($D170&lt;=30,"Watchlist", IF($D170&lt;=90,"Serious","Critical")))))</f>
        <v/>
      </c>
      <c r="J170" s="6" t="n"/>
    </row>
    <row r="171">
      <c r="A171" s="6" t="n"/>
      <c r="D171">
        <f>IF($B171="","", MAXIFS(Repayment_Ledger!$J$2:$J$801,Repayment_Ledger!$A$2:$A$801,$B171))</f>
        <v/>
      </c>
      <c r="E171" s="8">
        <f>IF($B171="","", XLOOKUP($B171,Loan_Register!$A$2:$A$301,Loan_Register!$P$2:$P$301,""))</f>
        <v/>
      </c>
      <c r="F171">
        <f>IF($D171="","", IF($D171=0,"Current", IF($D171&lt;=7,"Early", IF($D171&lt;=30,"Watchlist", IF($D171&lt;=90,"Serious","Critical")))))</f>
        <v/>
      </c>
      <c r="J171" s="6" t="n"/>
    </row>
    <row r="172">
      <c r="A172" s="6" t="n"/>
      <c r="D172">
        <f>IF($B172="","", MAXIFS(Repayment_Ledger!$J$2:$J$801,Repayment_Ledger!$A$2:$A$801,$B172))</f>
        <v/>
      </c>
      <c r="E172" s="8">
        <f>IF($B172="","", XLOOKUP($B172,Loan_Register!$A$2:$A$301,Loan_Register!$P$2:$P$301,""))</f>
        <v/>
      </c>
      <c r="F172">
        <f>IF($D172="","", IF($D172=0,"Current", IF($D172&lt;=7,"Early", IF($D172&lt;=30,"Watchlist", IF($D172&lt;=90,"Serious","Critical")))))</f>
        <v/>
      </c>
      <c r="J172" s="6" t="n"/>
    </row>
    <row r="173">
      <c r="A173" s="6" t="n"/>
      <c r="D173">
        <f>IF($B173="","", MAXIFS(Repayment_Ledger!$J$2:$J$801,Repayment_Ledger!$A$2:$A$801,$B173))</f>
        <v/>
      </c>
      <c r="E173" s="8">
        <f>IF($B173="","", XLOOKUP($B173,Loan_Register!$A$2:$A$301,Loan_Register!$P$2:$P$301,""))</f>
        <v/>
      </c>
      <c r="F173">
        <f>IF($D173="","", IF($D173=0,"Current", IF($D173&lt;=7,"Early", IF($D173&lt;=30,"Watchlist", IF($D173&lt;=90,"Serious","Critical")))))</f>
        <v/>
      </c>
      <c r="J173" s="6" t="n"/>
    </row>
    <row r="174">
      <c r="A174" s="6" t="n"/>
      <c r="D174">
        <f>IF($B174="","", MAXIFS(Repayment_Ledger!$J$2:$J$801,Repayment_Ledger!$A$2:$A$801,$B174))</f>
        <v/>
      </c>
      <c r="E174" s="8">
        <f>IF($B174="","", XLOOKUP($B174,Loan_Register!$A$2:$A$301,Loan_Register!$P$2:$P$301,""))</f>
        <v/>
      </c>
      <c r="F174">
        <f>IF($D174="","", IF($D174=0,"Current", IF($D174&lt;=7,"Early", IF($D174&lt;=30,"Watchlist", IF($D174&lt;=90,"Serious","Critical")))))</f>
        <v/>
      </c>
      <c r="J174" s="6" t="n"/>
    </row>
    <row r="175">
      <c r="A175" s="6" t="n"/>
      <c r="D175">
        <f>IF($B175="","", MAXIFS(Repayment_Ledger!$J$2:$J$801,Repayment_Ledger!$A$2:$A$801,$B175))</f>
        <v/>
      </c>
      <c r="E175" s="8">
        <f>IF($B175="","", XLOOKUP($B175,Loan_Register!$A$2:$A$301,Loan_Register!$P$2:$P$301,""))</f>
        <v/>
      </c>
      <c r="F175">
        <f>IF($D175="","", IF($D175=0,"Current", IF($D175&lt;=7,"Early", IF($D175&lt;=30,"Watchlist", IF($D175&lt;=90,"Serious","Critical")))))</f>
        <v/>
      </c>
      <c r="J175" s="6" t="n"/>
    </row>
    <row r="176">
      <c r="A176" s="6" t="n"/>
      <c r="D176">
        <f>IF($B176="","", MAXIFS(Repayment_Ledger!$J$2:$J$801,Repayment_Ledger!$A$2:$A$801,$B176))</f>
        <v/>
      </c>
      <c r="E176" s="8">
        <f>IF($B176="","", XLOOKUP($B176,Loan_Register!$A$2:$A$301,Loan_Register!$P$2:$P$301,""))</f>
        <v/>
      </c>
      <c r="F176">
        <f>IF($D176="","", IF($D176=0,"Current", IF($D176&lt;=7,"Early", IF($D176&lt;=30,"Watchlist", IF($D176&lt;=90,"Serious","Critical")))))</f>
        <v/>
      </c>
      <c r="J176" s="6" t="n"/>
    </row>
    <row r="177">
      <c r="A177" s="6" t="n"/>
      <c r="D177">
        <f>IF($B177="","", MAXIFS(Repayment_Ledger!$J$2:$J$801,Repayment_Ledger!$A$2:$A$801,$B177))</f>
        <v/>
      </c>
      <c r="E177" s="8">
        <f>IF($B177="","", XLOOKUP($B177,Loan_Register!$A$2:$A$301,Loan_Register!$P$2:$P$301,""))</f>
        <v/>
      </c>
      <c r="F177">
        <f>IF($D177="","", IF($D177=0,"Current", IF($D177&lt;=7,"Early", IF($D177&lt;=30,"Watchlist", IF($D177&lt;=90,"Serious","Critical")))))</f>
        <v/>
      </c>
      <c r="J177" s="6" t="n"/>
    </row>
    <row r="178">
      <c r="A178" s="6" t="n"/>
      <c r="D178">
        <f>IF($B178="","", MAXIFS(Repayment_Ledger!$J$2:$J$801,Repayment_Ledger!$A$2:$A$801,$B178))</f>
        <v/>
      </c>
      <c r="E178" s="8">
        <f>IF($B178="","", XLOOKUP($B178,Loan_Register!$A$2:$A$301,Loan_Register!$P$2:$P$301,""))</f>
        <v/>
      </c>
      <c r="F178">
        <f>IF($D178="","", IF($D178=0,"Current", IF($D178&lt;=7,"Early", IF($D178&lt;=30,"Watchlist", IF($D178&lt;=90,"Serious","Critical")))))</f>
        <v/>
      </c>
      <c r="J178" s="6" t="n"/>
    </row>
    <row r="179">
      <c r="A179" s="6" t="n"/>
      <c r="D179">
        <f>IF($B179="","", MAXIFS(Repayment_Ledger!$J$2:$J$801,Repayment_Ledger!$A$2:$A$801,$B179))</f>
        <v/>
      </c>
      <c r="E179" s="8">
        <f>IF($B179="","", XLOOKUP($B179,Loan_Register!$A$2:$A$301,Loan_Register!$P$2:$P$301,""))</f>
        <v/>
      </c>
      <c r="F179">
        <f>IF($D179="","", IF($D179=0,"Current", IF($D179&lt;=7,"Early", IF($D179&lt;=30,"Watchlist", IF($D179&lt;=90,"Serious","Critical")))))</f>
        <v/>
      </c>
      <c r="J179" s="6" t="n"/>
    </row>
    <row r="180">
      <c r="A180" s="6" t="n"/>
      <c r="D180">
        <f>IF($B180="","", MAXIFS(Repayment_Ledger!$J$2:$J$801,Repayment_Ledger!$A$2:$A$801,$B180))</f>
        <v/>
      </c>
      <c r="E180" s="8">
        <f>IF($B180="","", XLOOKUP($B180,Loan_Register!$A$2:$A$301,Loan_Register!$P$2:$P$301,""))</f>
        <v/>
      </c>
      <c r="F180">
        <f>IF($D180="","", IF($D180=0,"Current", IF($D180&lt;=7,"Early", IF($D180&lt;=30,"Watchlist", IF($D180&lt;=90,"Serious","Critical")))))</f>
        <v/>
      </c>
      <c r="J180" s="6" t="n"/>
    </row>
    <row r="181">
      <c r="A181" s="6" t="n"/>
      <c r="D181">
        <f>IF($B181="","", MAXIFS(Repayment_Ledger!$J$2:$J$801,Repayment_Ledger!$A$2:$A$801,$B181))</f>
        <v/>
      </c>
      <c r="E181" s="8">
        <f>IF($B181="","", XLOOKUP($B181,Loan_Register!$A$2:$A$301,Loan_Register!$P$2:$P$301,""))</f>
        <v/>
      </c>
      <c r="F181">
        <f>IF($D181="","", IF($D181=0,"Current", IF($D181&lt;=7,"Early", IF($D181&lt;=30,"Watchlist", IF($D181&lt;=90,"Serious","Critical")))))</f>
        <v/>
      </c>
      <c r="J181" s="6" t="n"/>
    </row>
    <row r="182">
      <c r="A182" s="6" t="n"/>
      <c r="D182">
        <f>IF($B182="","", MAXIFS(Repayment_Ledger!$J$2:$J$801,Repayment_Ledger!$A$2:$A$801,$B182))</f>
        <v/>
      </c>
      <c r="E182" s="8">
        <f>IF($B182="","", XLOOKUP($B182,Loan_Register!$A$2:$A$301,Loan_Register!$P$2:$P$301,""))</f>
        <v/>
      </c>
      <c r="F182">
        <f>IF($D182="","", IF($D182=0,"Current", IF($D182&lt;=7,"Early", IF($D182&lt;=30,"Watchlist", IF($D182&lt;=90,"Serious","Critical")))))</f>
        <v/>
      </c>
      <c r="J182" s="6" t="n"/>
    </row>
    <row r="183">
      <c r="A183" s="6" t="n"/>
      <c r="D183">
        <f>IF($B183="","", MAXIFS(Repayment_Ledger!$J$2:$J$801,Repayment_Ledger!$A$2:$A$801,$B183))</f>
        <v/>
      </c>
      <c r="E183" s="8">
        <f>IF($B183="","", XLOOKUP($B183,Loan_Register!$A$2:$A$301,Loan_Register!$P$2:$P$301,""))</f>
        <v/>
      </c>
      <c r="F183">
        <f>IF($D183="","", IF($D183=0,"Current", IF($D183&lt;=7,"Early", IF($D183&lt;=30,"Watchlist", IF($D183&lt;=90,"Serious","Critical")))))</f>
        <v/>
      </c>
      <c r="J183" s="6" t="n"/>
    </row>
    <row r="184">
      <c r="A184" s="6" t="n"/>
      <c r="D184">
        <f>IF($B184="","", MAXIFS(Repayment_Ledger!$J$2:$J$801,Repayment_Ledger!$A$2:$A$801,$B184))</f>
        <v/>
      </c>
      <c r="E184" s="8">
        <f>IF($B184="","", XLOOKUP($B184,Loan_Register!$A$2:$A$301,Loan_Register!$P$2:$P$301,""))</f>
        <v/>
      </c>
      <c r="F184">
        <f>IF($D184="","", IF($D184=0,"Current", IF($D184&lt;=7,"Early", IF($D184&lt;=30,"Watchlist", IF($D184&lt;=90,"Serious","Critical")))))</f>
        <v/>
      </c>
      <c r="J184" s="6" t="n"/>
    </row>
    <row r="185">
      <c r="A185" s="6" t="n"/>
      <c r="D185">
        <f>IF($B185="","", MAXIFS(Repayment_Ledger!$J$2:$J$801,Repayment_Ledger!$A$2:$A$801,$B185))</f>
        <v/>
      </c>
      <c r="E185" s="8">
        <f>IF($B185="","", XLOOKUP($B185,Loan_Register!$A$2:$A$301,Loan_Register!$P$2:$P$301,""))</f>
        <v/>
      </c>
      <c r="F185">
        <f>IF($D185="","", IF($D185=0,"Current", IF($D185&lt;=7,"Early", IF($D185&lt;=30,"Watchlist", IF($D185&lt;=90,"Serious","Critical")))))</f>
        <v/>
      </c>
      <c r="J185" s="6" t="n"/>
    </row>
    <row r="186">
      <c r="A186" s="6" t="n"/>
      <c r="D186">
        <f>IF($B186="","", MAXIFS(Repayment_Ledger!$J$2:$J$801,Repayment_Ledger!$A$2:$A$801,$B186))</f>
        <v/>
      </c>
      <c r="E186" s="8">
        <f>IF($B186="","", XLOOKUP($B186,Loan_Register!$A$2:$A$301,Loan_Register!$P$2:$P$301,""))</f>
        <v/>
      </c>
      <c r="F186">
        <f>IF($D186="","", IF($D186=0,"Current", IF($D186&lt;=7,"Early", IF($D186&lt;=30,"Watchlist", IF($D186&lt;=90,"Serious","Critical")))))</f>
        <v/>
      </c>
      <c r="J186" s="6" t="n"/>
    </row>
    <row r="187">
      <c r="A187" s="6" t="n"/>
      <c r="D187">
        <f>IF($B187="","", MAXIFS(Repayment_Ledger!$J$2:$J$801,Repayment_Ledger!$A$2:$A$801,$B187))</f>
        <v/>
      </c>
      <c r="E187" s="8">
        <f>IF($B187="","", XLOOKUP($B187,Loan_Register!$A$2:$A$301,Loan_Register!$P$2:$P$301,""))</f>
        <v/>
      </c>
      <c r="F187">
        <f>IF($D187="","", IF($D187=0,"Current", IF($D187&lt;=7,"Early", IF($D187&lt;=30,"Watchlist", IF($D187&lt;=90,"Serious","Critical")))))</f>
        <v/>
      </c>
      <c r="J187" s="6" t="n"/>
    </row>
    <row r="188">
      <c r="A188" s="6" t="n"/>
      <c r="D188">
        <f>IF($B188="","", MAXIFS(Repayment_Ledger!$J$2:$J$801,Repayment_Ledger!$A$2:$A$801,$B188))</f>
        <v/>
      </c>
      <c r="E188" s="8">
        <f>IF($B188="","", XLOOKUP($B188,Loan_Register!$A$2:$A$301,Loan_Register!$P$2:$P$301,""))</f>
        <v/>
      </c>
      <c r="F188">
        <f>IF($D188="","", IF($D188=0,"Current", IF($D188&lt;=7,"Early", IF($D188&lt;=30,"Watchlist", IF($D188&lt;=90,"Serious","Critical")))))</f>
        <v/>
      </c>
      <c r="J188" s="6" t="n"/>
    </row>
    <row r="189">
      <c r="A189" s="6" t="n"/>
      <c r="D189">
        <f>IF($B189="","", MAXIFS(Repayment_Ledger!$J$2:$J$801,Repayment_Ledger!$A$2:$A$801,$B189))</f>
        <v/>
      </c>
      <c r="E189" s="8">
        <f>IF($B189="","", XLOOKUP($B189,Loan_Register!$A$2:$A$301,Loan_Register!$P$2:$P$301,""))</f>
        <v/>
      </c>
      <c r="F189">
        <f>IF($D189="","", IF($D189=0,"Current", IF($D189&lt;=7,"Early", IF($D189&lt;=30,"Watchlist", IF($D189&lt;=90,"Serious","Critical")))))</f>
        <v/>
      </c>
      <c r="J189" s="6" t="n"/>
    </row>
    <row r="190">
      <c r="A190" s="6" t="n"/>
      <c r="D190">
        <f>IF($B190="","", MAXIFS(Repayment_Ledger!$J$2:$J$801,Repayment_Ledger!$A$2:$A$801,$B190))</f>
        <v/>
      </c>
      <c r="E190" s="8">
        <f>IF($B190="","", XLOOKUP($B190,Loan_Register!$A$2:$A$301,Loan_Register!$P$2:$P$301,""))</f>
        <v/>
      </c>
      <c r="F190">
        <f>IF($D190="","", IF($D190=0,"Current", IF($D190&lt;=7,"Early", IF($D190&lt;=30,"Watchlist", IF($D190&lt;=90,"Serious","Critical")))))</f>
        <v/>
      </c>
      <c r="J190" s="6" t="n"/>
    </row>
    <row r="191">
      <c r="A191" s="6" t="n"/>
      <c r="D191">
        <f>IF($B191="","", MAXIFS(Repayment_Ledger!$J$2:$J$801,Repayment_Ledger!$A$2:$A$801,$B191))</f>
        <v/>
      </c>
      <c r="E191" s="8">
        <f>IF($B191="","", XLOOKUP($B191,Loan_Register!$A$2:$A$301,Loan_Register!$P$2:$P$301,""))</f>
        <v/>
      </c>
      <c r="F191">
        <f>IF($D191="","", IF($D191=0,"Current", IF($D191&lt;=7,"Early", IF($D191&lt;=30,"Watchlist", IF($D191&lt;=90,"Serious","Critical")))))</f>
        <v/>
      </c>
      <c r="J191" s="6" t="n"/>
    </row>
    <row r="192">
      <c r="A192" s="6" t="n"/>
      <c r="D192">
        <f>IF($B192="","", MAXIFS(Repayment_Ledger!$J$2:$J$801,Repayment_Ledger!$A$2:$A$801,$B192))</f>
        <v/>
      </c>
      <c r="E192" s="8">
        <f>IF($B192="","", XLOOKUP($B192,Loan_Register!$A$2:$A$301,Loan_Register!$P$2:$P$301,""))</f>
        <v/>
      </c>
      <c r="F192">
        <f>IF($D192="","", IF($D192=0,"Current", IF($D192&lt;=7,"Early", IF($D192&lt;=30,"Watchlist", IF($D192&lt;=90,"Serious","Critical")))))</f>
        <v/>
      </c>
      <c r="J192" s="6" t="n"/>
    </row>
    <row r="193">
      <c r="A193" s="6" t="n"/>
      <c r="D193">
        <f>IF($B193="","", MAXIFS(Repayment_Ledger!$J$2:$J$801,Repayment_Ledger!$A$2:$A$801,$B193))</f>
        <v/>
      </c>
      <c r="E193" s="8">
        <f>IF($B193="","", XLOOKUP($B193,Loan_Register!$A$2:$A$301,Loan_Register!$P$2:$P$301,""))</f>
        <v/>
      </c>
      <c r="F193">
        <f>IF($D193="","", IF($D193=0,"Current", IF($D193&lt;=7,"Early", IF($D193&lt;=30,"Watchlist", IF($D193&lt;=90,"Serious","Critical")))))</f>
        <v/>
      </c>
      <c r="J193" s="6" t="n"/>
    </row>
    <row r="194">
      <c r="A194" s="6" t="n"/>
      <c r="D194">
        <f>IF($B194="","", MAXIFS(Repayment_Ledger!$J$2:$J$801,Repayment_Ledger!$A$2:$A$801,$B194))</f>
        <v/>
      </c>
      <c r="E194" s="8">
        <f>IF($B194="","", XLOOKUP($B194,Loan_Register!$A$2:$A$301,Loan_Register!$P$2:$P$301,""))</f>
        <v/>
      </c>
      <c r="F194">
        <f>IF($D194="","", IF($D194=0,"Current", IF($D194&lt;=7,"Early", IF($D194&lt;=30,"Watchlist", IF($D194&lt;=90,"Serious","Critical")))))</f>
        <v/>
      </c>
      <c r="J194" s="6" t="n"/>
    </row>
    <row r="195">
      <c r="A195" s="6" t="n"/>
      <c r="D195">
        <f>IF($B195="","", MAXIFS(Repayment_Ledger!$J$2:$J$801,Repayment_Ledger!$A$2:$A$801,$B195))</f>
        <v/>
      </c>
      <c r="E195" s="8">
        <f>IF($B195="","", XLOOKUP($B195,Loan_Register!$A$2:$A$301,Loan_Register!$P$2:$P$301,""))</f>
        <v/>
      </c>
      <c r="F195">
        <f>IF($D195="","", IF($D195=0,"Current", IF($D195&lt;=7,"Early", IF($D195&lt;=30,"Watchlist", IF($D195&lt;=90,"Serious","Critical")))))</f>
        <v/>
      </c>
      <c r="J195" s="6" t="n"/>
    </row>
    <row r="196">
      <c r="A196" s="6" t="n"/>
      <c r="D196">
        <f>IF($B196="","", MAXIFS(Repayment_Ledger!$J$2:$J$801,Repayment_Ledger!$A$2:$A$801,$B196))</f>
        <v/>
      </c>
      <c r="E196" s="8">
        <f>IF($B196="","", XLOOKUP($B196,Loan_Register!$A$2:$A$301,Loan_Register!$P$2:$P$301,""))</f>
        <v/>
      </c>
      <c r="F196">
        <f>IF($D196="","", IF($D196=0,"Current", IF($D196&lt;=7,"Early", IF($D196&lt;=30,"Watchlist", IF($D196&lt;=90,"Serious","Critical")))))</f>
        <v/>
      </c>
      <c r="J196" s="6" t="n"/>
    </row>
    <row r="197">
      <c r="A197" s="6" t="n"/>
      <c r="D197">
        <f>IF($B197="","", MAXIFS(Repayment_Ledger!$J$2:$J$801,Repayment_Ledger!$A$2:$A$801,$B197))</f>
        <v/>
      </c>
      <c r="E197" s="8">
        <f>IF($B197="","", XLOOKUP($B197,Loan_Register!$A$2:$A$301,Loan_Register!$P$2:$P$301,""))</f>
        <v/>
      </c>
      <c r="F197">
        <f>IF($D197="","", IF($D197=0,"Current", IF($D197&lt;=7,"Early", IF($D197&lt;=30,"Watchlist", IF($D197&lt;=90,"Serious","Critical")))))</f>
        <v/>
      </c>
      <c r="J197" s="6" t="n"/>
    </row>
    <row r="198">
      <c r="A198" s="6" t="n"/>
      <c r="D198">
        <f>IF($B198="","", MAXIFS(Repayment_Ledger!$J$2:$J$801,Repayment_Ledger!$A$2:$A$801,$B198))</f>
        <v/>
      </c>
      <c r="E198" s="8">
        <f>IF($B198="","", XLOOKUP($B198,Loan_Register!$A$2:$A$301,Loan_Register!$P$2:$P$301,""))</f>
        <v/>
      </c>
      <c r="F198">
        <f>IF($D198="","", IF($D198=0,"Current", IF($D198&lt;=7,"Early", IF($D198&lt;=30,"Watchlist", IF($D198&lt;=90,"Serious","Critical")))))</f>
        <v/>
      </c>
      <c r="J198" s="6" t="n"/>
    </row>
    <row r="199">
      <c r="A199" s="6" t="n"/>
      <c r="D199">
        <f>IF($B199="","", MAXIFS(Repayment_Ledger!$J$2:$J$801,Repayment_Ledger!$A$2:$A$801,$B199))</f>
        <v/>
      </c>
      <c r="E199" s="8">
        <f>IF($B199="","", XLOOKUP($B199,Loan_Register!$A$2:$A$301,Loan_Register!$P$2:$P$301,""))</f>
        <v/>
      </c>
      <c r="F199">
        <f>IF($D199="","", IF($D199=0,"Current", IF($D199&lt;=7,"Early", IF($D199&lt;=30,"Watchlist", IF($D199&lt;=90,"Serious","Critical")))))</f>
        <v/>
      </c>
      <c r="J199" s="6" t="n"/>
    </row>
    <row r="200">
      <c r="A200" s="6" t="n"/>
      <c r="D200">
        <f>IF($B200="","", MAXIFS(Repayment_Ledger!$J$2:$J$801,Repayment_Ledger!$A$2:$A$801,$B200))</f>
        <v/>
      </c>
      <c r="E200" s="8">
        <f>IF($B200="","", XLOOKUP($B200,Loan_Register!$A$2:$A$301,Loan_Register!$P$2:$P$301,""))</f>
        <v/>
      </c>
      <c r="F200">
        <f>IF($D200="","", IF($D200=0,"Current", IF($D200&lt;=7,"Early", IF($D200&lt;=30,"Watchlist", IF($D200&lt;=90,"Serious","Critical")))))</f>
        <v/>
      </c>
      <c r="J200" s="6" t="n"/>
    </row>
    <row r="201">
      <c r="A201" s="6" t="n"/>
      <c r="D201">
        <f>IF($B201="","", MAXIFS(Repayment_Ledger!$J$2:$J$801,Repayment_Ledger!$A$2:$A$801,$B201))</f>
        <v/>
      </c>
      <c r="E201" s="8">
        <f>IF($B201="","", XLOOKUP($B201,Loan_Register!$A$2:$A$301,Loan_Register!$P$2:$P$301,""))</f>
        <v/>
      </c>
      <c r="F201">
        <f>IF($D201="","", IF($D201=0,"Current", IF($D201&lt;=7,"Early", IF($D201&lt;=30,"Watchlist", IF($D201&lt;=90,"Serious","Critical")))))</f>
        <v/>
      </c>
      <c r="J201" s="6" t="n"/>
    </row>
    <row r="202">
      <c r="A202" s="6" t="n"/>
      <c r="D202">
        <f>IF($B202="","", MAXIFS(Repayment_Ledger!$J$2:$J$801,Repayment_Ledger!$A$2:$A$801,$B202))</f>
        <v/>
      </c>
      <c r="E202" s="8">
        <f>IF($B202="","", XLOOKUP($B202,Loan_Register!$A$2:$A$301,Loan_Register!$P$2:$P$301,""))</f>
        <v/>
      </c>
      <c r="F202">
        <f>IF($D202="","", IF($D202=0,"Current", IF($D202&lt;=7,"Early", IF($D202&lt;=30,"Watchlist", IF($D202&lt;=90,"Serious","Critical")))))</f>
        <v/>
      </c>
      <c r="J202" s="6" t="n"/>
    </row>
    <row r="203">
      <c r="A203" s="6" t="n"/>
      <c r="D203">
        <f>IF($B203="","", MAXIFS(Repayment_Ledger!$J$2:$J$801,Repayment_Ledger!$A$2:$A$801,$B203))</f>
        <v/>
      </c>
      <c r="E203" s="8">
        <f>IF($B203="","", XLOOKUP($B203,Loan_Register!$A$2:$A$301,Loan_Register!$P$2:$P$301,""))</f>
        <v/>
      </c>
      <c r="F203">
        <f>IF($D203="","", IF($D203=0,"Current", IF($D203&lt;=7,"Early", IF($D203&lt;=30,"Watchlist", IF($D203&lt;=90,"Serious","Critical")))))</f>
        <v/>
      </c>
      <c r="J203" s="6" t="n"/>
    </row>
    <row r="204">
      <c r="A204" s="6" t="n"/>
      <c r="D204">
        <f>IF($B204="","", MAXIFS(Repayment_Ledger!$J$2:$J$801,Repayment_Ledger!$A$2:$A$801,$B204))</f>
        <v/>
      </c>
      <c r="E204" s="8">
        <f>IF($B204="","", XLOOKUP($B204,Loan_Register!$A$2:$A$301,Loan_Register!$P$2:$P$301,""))</f>
        <v/>
      </c>
      <c r="F204">
        <f>IF($D204="","", IF($D204=0,"Current", IF($D204&lt;=7,"Early", IF($D204&lt;=30,"Watchlist", IF($D204&lt;=90,"Serious","Critical")))))</f>
        <v/>
      </c>
      <c r="J204" s="6" t="n"/>
    </row>
    <row r="205">
      <c r="A205" s="6" t="n"/>
      <c r="D205">
        <f>IF($B205="","", MAXIFS(Repayment_Ledger!$J$2:$J$801,Repayment_Ledger!$A$2:$A$801,$B205))</f>
        <v/>
      </c>
      <c r="E205" s="8">
        <f>IF($B205="","", XLOOKUP($B205,Loan_Register!$A$2:$A$301,Loan_Register!$P$2:$P$301,""))</f>
        <v/>
      </c>
      <c r="F205">
        <f>IF($D205="","", IF($D205=0,"Current", IF($D205&lt;=7,"Early", IF($D205&lt;=30,"Watchlist", IF($D205&lt;=90,"Serious","Critical")))))</f>
        <v/>
      </c>
      <c r="J205" s="6" t="n"/>
    </row>
    <row r="206">
      <c r="A206" s="6" t="n"/>
      <c r="D206">
        <f>IF($B206="","", MAXIFS(Repayment_Ledger!$J$2:$J$801,Repayment_Ledger!$A$2:$A$801,$B206))</f>
        <v/>
      </c>
      <c r="E206" s="8">
        <f>IF($B206="","", XLOOKUP($B206,Loan_Register!$A$2:$A$301,Loan_Register!$P$2:$P$301,""))</f>
        <v/>
      </c>
      <c r="F206">
        <f>IF($D206="","", IF($D206=0,"Current", IF($D206&lt;=7,"Early", IF($D206&lt;=30,"Watchlist", IF($D206&lt;=90,"Serious","Critical")))))</f>
        <v/>
      </c>
      <c r="J206" s="6" t="n"/>
    </row>
    <row r="207">
      <c r="A207" s="6" t="n"/>
      <c r="D207">
        <f>IF($B207="","", MAXIFS(Repayment_Ledger!$J$2:$J$801,Repayment_Ledger!$A$2:$A$801,$B207))</f>
        <v/>
      </c>
      <c r="E207" s="8">
        <f>IF($B207="","", XLOOKUP($B207,Loan_Register!$A$2:$A$301,Loan_Register!$P$2:$P$301,""))</f>
        <v/>
      </c>
      <c r="F207">
        <f>IF($D207="","", IF($D207=0,"Current", IF($D207&lt;=7,"Early", IF($D207&lt;=30,"Watchlist", IF($D207&lt;=90,"Serious","Critical")))))</f>
        <v/>
      </c>
      <c r="J207" s="6" t="n"/>
    </row>
    <row r="208">
      <c r="A208" s="6" t="n"/>
      <c r="D208">
        <f>IF($B208="","", MAXIFS(Repayment_Ledger!$J$2:$J$801,Repayment_Ledger!$A$2:$A$801,$B208))</f>
        <v/>
      </c>
      <c r="E208" s="8">
        <f>IF($B208="","", XLOOKUP($B208,Loan_Register!$A$2:$A$301,Loan_Register!$P$2:$P$301,""))</f>
        <v/>
      </c>
      <c r="F208">
        <f>IF($D208="","", IF($D208=0,"Current", IF($D208&lt;=7,"Early", IF($D208&lt;=30,"Watchlist", IF($D208&lt;=90,"Serious","Critical")))))</f>
        <v/>
      </c>
      <c r="J208" s="6" t="n"/>
    </row>
    <row r="209">
      <c r="A209" s="6" t="n"/>
      <c r="D209">
        <f>IF($B209="","", MAXIFS(Repayment_Ledger!$J$2:$J$801,Repayment_Ledger!$A$2:$A$801,$B209))</f>
        <v/>
      </c>
      <c r="E209" s="8">
        <f>IF($B209="","", XLOOKUP($B209,Loan_Register!$A$2:$A$301,Loan_Register!$P$2:$P$301,""))</f>
        <v/>
      </c>
      <c r="F209">
        <f>IF($D209="","", IF($D209=0,"Current", IF($D209&lt;=7,"Early", IF($D209&lt;=30,"Watchlist", IF($D209&lt;=90,"Serious","Critical")))))</f>
        <v/>
      </c>
      <c r="J209" s="6" t="n"/>
    </row>
    <row r="210">
      <c r="A210" s="6" t="n"/>
      <c r="D210">
        <f>IF($B210="","", MAXIFS(Repayment_Ledger!$J$2:$J$801,Repayment_Ledger!$A$2:$A$801,$B210))</f>
        <v/>
      </c>
      <c r="E210" s="8">
        <f>IF($B210="","", XLOOKUP($B210,Loan_Register!$A$2:$A$301,Loan_Register!$P$2:$P$301,""))</f>
        <v/>
      </c>
      <c r="F210">
        <f>IF($D210="","", IF($D210=0,"Current", IF($D210&lt;=7,"Early", IF($D210&lt;=30,"Watchlist", IF($D210&lt;=90,"Serious","Critical")))))</f>
        <v/>
      </c>
      <c r="J210" s="6" t="n"/>
    </row>
    <row r="211">
      <c r="A211" s="6" t="n"/>
      <c r="D211">
        <f>IF($B211="","", MAXIFS(Repayment_Ledger!$J$2:$J$801,Repayment_Ledger!$A$2:$A$801,$B211))</f>
        <v/>
      </c>
      <c r="E211" s="8">
        <f>IF($B211="","", XLOOKUP($B211,Loan_Register!$A$2:$A$301,Loan_Register!$P$2:$P$301,""))</f>
        <v/>
      </c>
      <c r="F211">
        <f>IF($D211="","", IF($D211=0,"Current", IF($D211&lt;=7,"Early", IF($D211&lt;=30,"Watchlist", IF($D211&lt;=90,"Serious","Critical")))))</f>
        <v/>
      </c>
      <c r="J211" s="6" t="n"/>
    </row>
    <row r="212">
      <c r="A212" s="6" t="n"/>
      <c r="D212">
        <f>IF($B212="","", MAXIFS(Repayment_Ledger!$J$2:$J$801,Repayment_Ledger!$A$2:$A$801,$B212))</f>
        <v/>
      </c>
      <c r="E212" s="8">
        <f>IF($B212="","", XLOOKUP($B212,Loan_Register!$A$2:$A$301,Loan_Register!$P$2:$P$301,""))</f>
        <v/>
      </c>
      <c r="F212">
        <f>IF($D212="","", IF($D212=0,"Current", IF($D212&lt;=7,"Early", IF($D212&lt;=30,"Watchlist", IF($D212&lt;=90,"Serious","Critical")))))</f>
        <v/>
      </c>
      <c r="J212" s="6" t="n"/>
    </row>
    <row r="213">
      <c r="A213" s="6" t="n"/>
      <c r="D213">
        <f>IF($B213="","", MAXIFS(Repayment_Ledger!$J$2:$J$801,Repayment_Ledger!$A$2:$A$801,$B213))</f>
        <v/>
      </c>
      <c r="E213" s="8">
        <f>IF($B213="","", XLOOKUP($B213,Loan_Register!$A$2:$A$301,Loan_Register!$P$2:$P$301,""))</f>
        <v/>
      </c>
      <c r="F213">
        <f>IF($D213="","", IF($D213=0,"Current", IF($D213&lt;=7,"Early", IF($D213&lt;=30,"Watchlist", IF($D213&lt;=90,"Serious","Critical")))))</f>
        <v/>
      </c>
      <c r="J213" s="6" t="n"/>
    </row>
    <row r="214">
      <c r="A214" s="6" t="n"/>
      <c r="D214">
        <f>IF($B214="","", MAXIFS(Repayment_Ledger!$J$2:$J$801,Repayment_Ledger!$A$2:$A$801,$B214))</f>
        <v/>
      </c>
      <c r="E214" s="8">
        <f>IF($B214="","", XLOOKUP($B214,Loan_Register!$A$2:$A$301,Loan_Register!$P$2:$P$301,""))</f>
        <v/>
      </c>
      <c r="F214">
        <f>IF($D214="","", IF($D214=0,"Current", IF($D214&lt;=7,"Early", IF($D214&lt;=30,"Watchlist", IF($D214&lt;=90,"Serious","Critical")))))</f>
        <v/>
      </c>
      <c r="J214" s="6" t="n"/>
    </row>
    <row r="215">
      <c r="A215" s="6" t="n"/>
      <c r="D215">
        <f>IF($B215="","", MAXIFS(Repayment_Ledger!$J$2:$J$801,Repayment_Ledger!$A$2:$A$801,$B215))</f>
        <v/>
      </c>
      <c r="E215" s="8">
        <f>IF($B215="","", XLOOKUP($B215,Loan_Register!$A$2:$A$301,Loan_Register!$P$2:$P$301,""))</f>
        <v/>
      </c>
      <c r="F215">
        <f>IF($D215="","", IF($D215=0,"Current", IF($D215&lt;=7,"Early", IF($D215&lt;=30,"Watchlist", IF($D215&lt;=90,"Serious","Critical")))))</f>
        <v/>
      </c>
      <c r="J215" s="6" t="n"/>
    </row>
    <row r="216">
      <c r="A216" s="6" t="n"/>
      <c r="D216">
        <f>IF($B216="","", MAXIFS(Repayment_Ledger!$J$2:$J$801,Repayment_Ledger!$A$2:$A$801,$B216))</f>
        <v/>
      </c>
      <c r="E216" s="8">
        <f>IF($B216="","", XLOOKUP($B216,Loan_Register!$A$2:$A$301,Loan_Register!$P$2:$P$301,""))</f>
        <v/>
      </c>
      <c r="F216">
        <f>IF($D216="","", IF($D216=0,"Current", IF($D216&lt;=7,"Early", IF($D216&lt;=30,"Watchlist", IF($D216&lt;=90,"Serious","Critical")))))</f>
        <v/>
      </c>
      <c r="J216" s="6" t="n"/>
    </row>
    <row r="217">
      <c r="A217" s="6" t="n"/>
      <c r="D217">
        <f>IF($B217="","", MAXIFS(Repayment_Ledger!$J$2:$J$801,Repayment_Ledger!$A$2:$A$801,$B217))</f>
        <v/>
      </c>
      <c r="E217" s="8">
        <f>IF($B217="","", XLOOKUP($B217,Loan_Register!$A$2:$A$301,Loan_Register!$P$2:$P$301,""))</f>
        <v/>
      </c>
      <c r="F217">
        <f>IF($D217="","", IF($D217=0,"Current", IF($D217&lt;=7,"Early", IF($D217&lt;=30,"Watchlist", IF($D217&lt;=90,"Serious","Critical")))))</f>
        <v/>
      </c>
      <c r="J217" s="6" t="n"/>
    </row>
    <row r="218">
      <c r="A218" s="6" t="n"/>
      <c r="D218">
        <f>IF($B218="","", MAXIFS(Repayment_Ledger!$J$2:$J$801,Repayment_Ledger!$A$2:$A$801,$B218))</f>
        <v/>
      </c>
      <c r="E218" s="8">
        <f>IF($B218="","", XLOOKUP($B218,Loan_Register!$A$2:$A$301,Loan_Register!$P$2:$P$301,""))</f>
        <v/>
      </c>
      <c r="F218">
        <f>IF($D218="","", IF($D218=0,"Current", IF($D218&lt;=7,"Early", IF($D218&lt;=30,"Watchlist", IF($D218&lt;=90,"Serious","Critical")))))</f>
        <v/>
      </c>
      <c r="J218" s="6" t="n"/>
    </row>
    <row r="219">
      <c r="A219" s="6" t="n"/>
      <c r="D219">
        <f>IF($B219="","", MAXIFS(Repayment_Ledger!$J$2:$J$801,Repayment_Ledger!$A$2:$A$801,$B219))</f>
        <v/>
      </c>
      <c r="E219" s="8">
        <f>IF($B219="","", XLOOKUP($B219,Loan_Register!$A$2:$A$301,Loan_Register!$P$2:$P$301,""))</f>
        <v/>
      </c>
      <c r="F219">
        <f>IF($D219="","", IF($D219=0,"Current", IF($D219&lt;=7,"Early", IF($D219&lt;=30,"Watchlist", IF($D219&lt;=90,"Serious","Critical")))))</f>
        <v/>
      </c>
      <c r="J219" s="6" t="n"/>
    </row>
    <row r="220">
      <c r="A220" s="6" t="n"/>
      <c r="D220">
        <f>IF($B220="","", MAXIFS(Repayment_Ledger!$J$2:$J$801,Repayment_Ledger!$A$2:$A$801,$B220))</f>
        <v/>
      </c>
      <c r="E220" s="8">
        <f>IF($B220="","", XLOOKUP($B220,Loan_Register!$A$2:$A$301,Loan_Register!$P$2:$P$301,""))</f>
        <v/>
      </c>
      <c r="F220">
        <f>IF($D220="","", IF($D220=0,"Current", IF($D220&lt;=7,"Early", IF($D220&lt;=30,"Watchlist", IF($D220&lt;=90,"Serious","Critical")))))</f>
        <v/>
      </c>
      <c r="J220" s="6" t="n"/>
    </row>
    <row r="221">
      <c r="A221" s="6" t="n"/>
      <c r="D221">
        <f>IF($B221="","", MAXIFS(Repayment_Ledger!$J$2:$J$801,Repayment_Ledger!$A$2:$A$801,$B221))</f>
        <v/>
      </c>
      <c r="E221" s="8">
        <f>IF($B221="","", XLOOKUP($B221,Loan_Register!$A$2:$A$301,Loan_Register!$P$2:$P$301,""))</f>
        <v/>
      </c>
      <c r="F221">
        <f>IF($D221="","", IF($D221=0,"Current", IF($D221&lt;=7,"Early", IF($D221&lt;=30,"Watchlist", IF($D221&lt;=90,"Serious","Critical")))))</f>
        <v/>
      </c>
      <c r="J221" s="6" t="n"/>
    </row>
    <row r="222">
      <c r="A222" s="6" t="n"/>
      <c r="D222">
        <f>IF($B222="","", MAXIFS(Repayment_Ledger!$J$2:$J$801,Repayment_Ledger!$A$2:$A$801,$B222))</f>
        <v/>
      </c>
      <c r="E222" s="8">
        <f>IF($B222="","", XLOOKUP($B222,Loan_Register!$A$2:$A$301,Loan_Register!$P$2:$P$301,""))</f>
        <v/>
      </c>
      <c r="F222">
        <f>IF($D222="","", IF($D222=0,"Current", IF($D222&lt;=7,"Early", IF($D222&lt;=30,"Watchlist", IF($D222&lt;=90,"Serious","Critical")))))</f>
        <v/>
      </c>
      <c r="J222" s="6" t="n"/>
    </row>
    <row r="223">
      <c r="A223" s="6" t="n"/>
      <c r="D223">
        <f>IF($B223="","", MAXIFS(Repayment_Ledger!$J$2:$J$801,Repayment_Ledger!$A$2:$A$801,$B223))</f>
        <v/>
      </c>
      <c r="E223" s="8">
        <f>IF($B223="","", XLOOKUP($B223,Loan_Register!$A$2:$A$301,Loan_Register!$P$2:$P$301,""))</f>
        <v/>
      </c>
      <c r="F223">
        <f>IF($D223="","", IF($D223=0,"Current", IF($D223&lt;=7,"Early", IF($D223&lt;=30,"Watchlist", IF($D223&lt;=90,"Serious","Critical")))))</f>
        <v/>
      </c>
      <c r="J223" s="6" t="n"/>
    </row>
    <row r="224">
      <c r="A224" s="6" t="n"/>
      <c r="D224">
        <f>IF($B224="","", MAXIFS(Repayment_Ledger!$J$2:$J$801,Repayment_Ledger!$A$2:$A$801,$B224))</f>
        <v/>
      </c>
      <c r="E224" s="8">
        <f>IF($B224="","", XLOOKUP($B224,Loan_Register!$A$2:$A$301,Loan_Register!$P$2:$P$301,""))</f>
        <v/>
      </c>
      <c r="F224">
        <f>IF($D224="","", IF($D224=0,"Current", IF($D224&lt;=7,"Early", IF($D224&lt;=30,"Watchlist", IF($D224&lt;=90,"Serious","Critical")))))</f>
        <v/>
      </c>
      <c r="J224" s="6" t="n"/>
    </row>
    <row r="225">
      <c r="A225" s="6" t="n"/>
      <c r="D225">
        <f>IF($B225="","", MAXIFS(Repayment_Ledger!$J$2:$J$801,Repayment_Ledger!$A$2:$A$801,$B225))</f>
        <v/>
      </c>
      <c r="E225" s="8">
        <f>IF($B225="","", XLOOKUP($B225,Loan_Register!$A$2:$A$301,Loan_Register!$P$2:$P$301,""))</f>
        <v/>
      </c>
      <c r="F225">
        <f>IF($D225="","", IF($D225=0,"Current", IF($D225&lt;=7,"Early", IF($D225&lt;=30,"Watchlist", IF($D225&lt;=90,"Serious","Critical")))))</f>
        <v/>
      </c>
      <c r="J225" s="6" t="n"/>
    </row>
    <row r="226">
      <c r="A226" s="6" t="n"/>
      <c r="D226">
        <f>IF($B226="","", MAXIFS(Repayment_Ledger!$J$2:$J$801,Repayment_Ledger!$A$2:$A$801,$B226))</f>
        <v/>
      </c>
      <c r="E226" s="8">
        <f>IF($B226="","", XLOOKUP($B226,Loan_Register!$A$2:$A$301,Loan_Register!$P$2:$P$301,""))</f>
        <v/>
      </c>
      <c r="F226">
        <f>IF($D226="","", IF($D226=0,"Current", IF($D226&lt;=7,"Early", IF($D226&lt;=30,"Watchlist", IF($D226&lt;=90,"Serious","Critical")))))</f>
        <v/>
      </c>
      <c r="J226" s="6" t="n"/>
    </row>
    <row r="227">
      <c r="A227" s="6" t="n"/>
      <c r="D227">
        <f>IF($B227="","", MAXIFS(Repayment_Ledger!$J$2:$J$801,Repayment_Ledger!$A$2:$A$801,$B227))</f>
        <v/>
      </c>
      <c r="E227" s="8">
        <f>IF($B227="","", XLOOKUP($B227,Loan_Register!$A$2:$A$301,Loan_Register!$P$2:$P$301,""))</f>
        <v/>
      </c>
      <c r="F227">
        <f>IF($D227="","", IF($D227=0,"Current", IF($D227&lt;=7,"Early", IF($D227&lt;=30,"Watchlist", IF($D227&lt;=90,"Serious","Critical")))))</f>
        <v/>
      </c>
      <c r="J227" s="6" t="n"/>
    </row>
    <row r="228">
      <c r="A228" s="6" t="n"/>
      <c r="D228">
        <f>IF($B228="","", MAXIFS(Repayment_Ledger!$J$2:$J$801,Repayment_Ledger!$A$2:$A$801,$B228))</f>
        <v/>
      </c>
      <c r="E228" s="8">
        <f>IF($B228="","", XLOOKUP($B228,Loan_Register!$A$2:$A$301,Loan_Register!$P$2:$P$301,""))</f>
        <v/>
      </c>
      <c r="F228">
        <f>IF($D228="","", IF($D228=0,"Current", IF($D228&lt;=7,"Early", IF($D228&lt;=30,"Watchlist", IF($D228&lt;=90,"Serious","Critical")))))</f>
        <v/>
      </c>
      <c r="J228" s="6" t="n"/>
    </row>
    <row r="229">
      <c r="A229" s="6" t="n"/>
      <c r="D229">
        <f>IF($B229="","", MAXIFS(Repayment_Ledger!$J$2:$J$801,Repayment_Ledger!$A$2:$A$801,$B229))</f>
        <v/>
      </c>
      <c r="E229" s="8">
        <f>IF($B229="","", XLOOKUP($B229,Loan_Register!$A$2:$A$301,Loan_Register!$P$2:$P$301,""))</f>
        <v/>
      </c>
      <c r="F229">
        <f>IF($D229="","", IF($D229=0,"Current", IF($D229&lt;=7,"Early", IF($D229&lt;=30,"Watchlist", IF($D229&lt;=90,"Serious","Critical")))))</f>
        <v/>
      </c>
      <c r="J229" s="6" t="n"/>
    </row>
    <row r="230">
      <c r="A230" s="6" t="n"/>
      <c r="D230">
        <f>IF($B230="","", MAXIFS(Repayment_Ledger!$J$2:$J$801,Repayment_Ledger!$A$2:$A$801,$B230))</f>
        <v/>
      </c>
      <c r="E230" s="8">
        <f>IF($B230="","", XLOOKUP($B230,Loan_Register!$A$2:$A$301,Loan_Register!$P$2:$P$301,""))</f>
        <v/>
      </c>
      <c r="F230">
        <f>IF($D230="","", IF($D230=0,"Current", IF($D230&lt;=7,"Early", IF($D230&lt;=30,"Watchlist", IF($D230&lt;=90,"Serious","Critical")))))</f>
        <v/>
      </c>
      <c r="J230" s="6" t="n"/>
    </row>
    <row r="231">
      <c r="A231" s="6" t="n"/>
      <c r="D231">
        <f>IF($B231="","", MAXIFS(Repayment_Ledger!$J$2:$J$801,Repayment_Ledger!$A$2:$A$801,$B231))</f>
        <v/>
      </c>
      <c r="E231" s="8">
        <f>IF($B231="","", XLOOKUP($B231,Loan_Register!$A$2:$A$301,Loan_Register!$P$2:$P$301,""))</f>
        <v/>
      </c>
      <c r="F231">
        <f>IF($D231="","", IF($D231=0,"Current", IF($D231&lt;=7,"Early", IF($D231&lt;=30,"Watchlist", IF($D231&lt;=90,"Serious","Critical")))))</f>
        <v/>
      </c>
      <c r="J231" s="6" t="n"/>
    </row>
    <row r="232">
      <c r="A232" s="6" t="n"/>
      <c r="D232">
        <f>IF($B232="","", MAXIFS(Repayment_Ledger!$J$2:$J$801,Repayment_Ledger!$A$2:$A$801,$B232))</f>
        <v/>
      </c>
      <c r="E232" s="8">
        <f>IF($B232="","", XLOOKUP($B232,Loan_Register!$A$2:$A$301,Loan_Register!$P$2:$P$301,""))</f>
        <v/>
      </c>
      <c r="F232">
        <f>IF($D232="","", IF($D232=0,"Current", IF($D232&lt;=7,"Early", IF($D232&lt;=30,"Watchlist", IF($D232&lt;=90,"Serious","Critical")))))</f>
        <v/>
      </c>
      <c r="J232" s="6" t="n"/>
    </row>
    <row r="233">
      <c r="A233" s="6" t="n"/>
      <c r="D233">
        <f>IF($B233="","", MAXIFS(Repayment_Ledger!$J$2:$J$801,Repayment_Ledger!$A$2:$A$801,$B233))</f>
        <v/>
      </c>
      <c r="E233" s="8">
        <f>IF($B233="","", XLOOKUP($B233,Loan_Register!$A$2:$A$301,Loan_Register!$P$2:$P$301,""))</f>
        <v/>
      </c>
      <c r="F233">
        <f>IF($D233="","", IF($D233=0,"Current", IF($D233&lt;=7,"Early", IF($D233&lt;=30,"Watchlist", IF($D233&lt;=90,"Serious","Critical")))))</f>
        <v/>
      </c>
      <c r="J233" s="6" t="n"/>
    </row>
    <row r="234">
      <c r="A234" s="6" t="n"/>
      <c r="D234">
        <f>IF($B234="","", MAXIFS(Repayment_Ledger!$J$2:$J$801,Repayment_Ledger!$A$2:$A$801,$B234))</f>
        <v/>
      </c>
      <c r="E234" s="8">
        <f>IF($B234="","", XLOOKUP($B234,Loan_Register!$A$2:$A$301,Loan_Register!$P$2:$P$301,""))</f>
        <v/>
      </c>
      <c r="F234">
        <f>IF($D234="","", IF($D234=0,"Current", IF($D234&lt;=7,"Early", IF($D234&lt;=30,"Watchlist", IF($D234&lt;=90,"Serious","Critical")))))</f>
        <v/>
      </c>
      <c r="J234" s="6" t="n"/>
    </row>
    <row r="235">
      <c r="A235" s="6" t="n"/>
      <c r="D235">
        <f>IF($B235="","", MAXIFS(Repayment_Ledger!$J$2:$J$801,Repayment_Ledger!$A$2:$A$801,$B235))</f>
        <v/>
      </c>
      <c r="E235" s="8">
        <f>IF($B235="","", XLOOKUP($B235,Loan_Register!$A$2:$A$301,Loan_Register!$P$2:$P$301,""))</f>
        <v/>
      </c>
      <c r="F235">
        <f>IF($D235="","", IF($D235=0,"Current", IF($D235&lt;=7,"Early", IF($D235&lt;=30,"Watchlist", IF($D235&lt;=90,"Serious","Critical")))))</f>
        <v/>
      </c>
      <c r="J235" s="6" t="n"/>
    </row>
    <row r="236">
      <c r="A236" s="6" t="n"/>
      <c r="D236">
        <f>IF($B236="","", MAXIFS(Repayment_Ledger!$J$2:$J$801,Repayment_Ledger!$A$2:$A$801,$B236))</f>
        <v/>
      </c>
      <c r="E236" s="8">
        <f>IF($B236="","", XLOOKUP($B236,Loan_Register!$A$2:$A$301,Loan_Register!$P$2:$P$301,""))</f>
        <v/>
      </c>
      <c r="F236">
        <f>IF($D236="","", IF($D236=0,"Current", IF($D236&lt;=7,"Early", IF($D236&lt;=30,"Watchlist", IF($D236&lt;=90,"Serious","Critical")))))</f>
        <v/>
      </c>
      <c r="J236" s="6" t="n"/>
    </row>
    <row r="237">
      <c r="A237" s="6" t="n"/>
      <c r="D237">
        <f>IF($B237="","", MAXIFS(Repayment_Ledger!$J$2:$J$801,Repayment_Ledger!$A$2:$A$801,$B237))</f>
        <v/>
      </c>
      <c r="E237" s="8">
        <f>IF($B237="","", XLOOKUP($B237,Loan_Register!$A$2:$A$301,Loan_Register!$P$2:$P$301,""))</f>
        <v/>
      </c>
      <c r="F237">
        <f>IF($D237="","", IF($D237=0,"Current", IF($D237&lt;=7,"Early", IF($D237&lt;=30,"Watchlist", IF($D237&lt;=90,"Serious","Critical")))))</f>
        <v/>
      </c>
      <c r="J237" s="6" t="n"/>
    </row>
    <row r="238">
      <c r="A238" s="6" t="n"/>
      <c r="D238">
        <f>IF($B238="","", MAXIFS(Repayment_Ledger!$J$2:$J$801,Repayment_Ledger!$A$2:$A$801,$B238))</f>
        <v/>
      </c>
      <c r="E238" s="8">
        <f>IF($B238="","", XLOOKUP($B238,Loan_Register!$A$2:$A$301,Loan_Register!$P$2:$P$301,""))</f>
        <v/>
      </c>
      <c r="F238">
        <f>IF($D238="","", IF($D238=0,"Current", IF($D238&lt;=7,"Early", IF($D238&lt;=30,"Watchlist", IF($D238&lt;=90,"Serious","Critical")))))</f>
        <v/>
      </c>
      <c r="J238" s="6" t="n"/>
    </row>
    <row r="239">
      <c r="A239" s="6" t="n"/>
      <c r="D239">
        <f>IF($B239="","", MAXIFS(Repayment_Ledger!$J$2:$J$801,Repayment_Ledger!$A$2:$A$801,$B239))</f>
        <v/>
      </c>
      <c r="E239" s="8">
        <f>IF($B239="","", XLOOKUP($B239,Loan_Register!$A$2:$A$301,Loan_Register!$P$2:$P$301,""))</f>
        <v/>
      </c>
      <c r="F239">
        <f>IF($D239="","", IF($D239=0,"Current", IF($D239&lt;=7,"Early", IF($D239&lt;=30,"Watchlist", IF($D239&lt;=90,"Serious","Critical")))))</f>
        <v/>
      </c>
      <c r="J239" s="6" t="n"/>
    </row>
    <row r="240">
      <c r="A240" s="6" t="n"/>
      <c r="D240">
        <f>IF($B240="","", MAXIFS(Repayment_Ledger!$J$2:$J$801,Repayment_Ledger!$A$2:$A$801,$B240))</f>
        <v/>
      </c>
      <c r="E240" s="8">
        <f>IF($B240="","", XLOOKUP($B240,Loan_Register!$A$2:$A$301,Loan_Register!$P$2:$P$301,""))</f>
        <v/>
      </c>
      <c r="F240">
        <f>IF($D240="","", IF($D240=0,"Current", IF($D240&lt;=7,"Early", IF($D240&lt;=30,"Watchlist", IF($D240&lt;=90,"Serious","Critical")))))</f>
        <v/>
      </c>
      <c r="J240" s="6" t="n"/>
    </row>
    <row r="241">
      <c r="A241" s="6" t="n"/>
      <c r="D241">
        <f>IF($B241="","", MAXIFS(Repayment_Ledger!$J$2:$J$801,Repayment_Ledger!$A$2:$A$801,$B241))</f>
        <v/>
      </c>
      <c r="E241" s="8">
        <f>IF($B241="","", XLOOKUP($B241,Loan_Register!$A$2:$A$301,Loan_Register!$P$2:$P$301,""))</f>
        <v/>
      </c>
      <c r="F241">
        <f>IF($D241="","", IF($D241=0,"Current", IF($D241&lt;=7,"Early", IF($D241&lt;=30,"Watchlist", IF($D241&lt;=90,"Serious","Critical")))))</f>
        <v/>
      </c>
      <c r="J241" s="6" t="n"/>
    </row>
    <row r="242">
      <c r="A242" s="6" t="n"/>
      <c r="D242">
        <f>IF($B242="","", MAXIFS(Repayment_Ledger!$J$2:$J$801,Repayment_Ledger!$A$2:$A$801,$B242))</f>
        <v/>
      </c>
      <c r="E242" s="8">
        <f>IF($B242="","", XLOOKUP($B242,Loan_Register!$A$2:$A$301,Loan_Register!$P$2:$P$301,""))</f>
        <v/>
      </c>
      <c r="F242">
        <f>IF($D242="","", IF($D242=0,"Current", IF($D242&lt;=7,"Early", IF($D242&lt;=30,"Watchlist", IF($D242&lt;=90,"Serious","Critical")))))</f>
        <v/>
      </c>
      <c r="J242" s="6" t="n"/>
    </row>
    <row r="243">
      <c r="A243" s="6" t="n"/>
      <c r="D243">
        <f>IF($B243="","", MAXIFS(Repayment_Ledger!$J$2:$J$801,Repayment_Ledger!$A$2:$A$801,$B243))</f>
        <v/>
      </c>
      <c r="E243" s="8">
        <f>IF($B243="","", XLOOKUP($B243,Loan_Register!$A$2:$A$301,Loan_Register!$P$2:$P$301,""))</f>
        <v/>
      </c>
      <c r="F243">
        <f>IF($D243="","", IF($D243=0,"Current", IF($D243&lt;=7,"Early", IF($D243&lt;=30,"Watchlist", IF($D243&lt;=90,"Serious","Critical")))))</f>
        <v/>
      </c>
      <c r="J243" s="6" t="n"/>
    </row>
    <row r="244">
      <c r="A244" s="6" t="n"/>
      <c r="D244">
        <f>IF($B244="","", MAXIFS(Repayment_Ledger!$J$2:$J$801,Repayment_Ledger!$A$2:$A$801,$B244))</f>
        <v/>
      </c>
      <c r="E244" s="8">
        <f>IF($B244="","", XLOOKUP($B244,Loan_Register!$A$2:$A$301,Loan_Register!$P$2:$P$301,""))</f>
        <v/>
      </c>
      <c r="F244">
        <f>IF($D244="","", IF($D244=0,"Current", IF($D244&lt;=7,"Early", IF($D244&lt;=30,"Watchlist", IF($D244&lt;=90,"Serious","Critical")))))</f>
        <v/>
      </c>
      <c r="J244" s="6" t="n"/>
    </row>
    <row r="245">
      <c r="A245" s="6" t="n"/>
      <c r="D245">
        <f>IF($B245="","", MAXIFS(Repayment_Ledger!$J$2:$J$801,Repayment_Ledger!$A$2:$A$801,$B245))</f>
        <v/>
      </c>
      <c r="E245" s="8">
        <f>IF($B245="","", XLOOKUP($B245,Loan_Register!$A$2:$A$301,Loan_Register!$P$2:$P$301,""))</f>
        <v/>
      </c>
      <c r="F245">
        <f>IF($D245="","", IF($D245=0,"Current", IF($D245&lt;=7,"Early", IF($D245&lt;=30,"Watchlist", IF($D245&lt;=90,"Serious","Critical")))))</f>
        <v/>
      </c>
      <c r="J245" s="6" t="n"/>
    </row>
    <row r="246">
      <c r="A246" s="6" t="n"/>
      <c r="D246">
        <f>IF($B246="","", MAXIFS(Repayment_Ledger!$J$2:$J$801,Repayment_Ledger!$A$2:$A$801,$B246))</f>
        <v/>
      </c>
      <c r="E246" s="8">
        <f>IF($B246="","", XLOOKUP($B246,Loan_Register!$A$2:$A$301,Loan_Register!$P$2:$P$301,""))</f>
        <v/>
      </c>
      <c r="F246">
        <f>IF($D246="","", IF($D246=0,"Current", IF($D246&lt;=7,"Early", IF($D246&lt;=30,"Watchlist", IF($D246&lt;=90,"Serious","Critical")))))</f>
        <v/>
      </c>
      <c r="J246" s="6" t="n"/>
    </row>
    <row r="247">
      <c r="A247" s="6" t="n"/>
      <c r="D247">
        <f>IF($B247="","", MAXIFS(Repayment_Ledger!$J$2:$J$801,Repayment_Ledger!$A$2:$A$801,$B247))</f>
        <v/>
      </c>
      <c r="E247" s="8">
        <f>IF($B247="","", XLOOKUP($B247,Loan_Register!$A$2:$A$301,Loan_Register!$P$2:$P$301,""))</f>
        <v/>
      </c>
      <c r="F247">
        <f>IF($D247="","", IF($D247=0,"Current", IF($D247&lt;=7,"Early", IF($D247&lt;=30,"Watchlist", IF($D247&lt;=90,"Serious","Critical")))))</f>
        <v/>
      </c>
      <c r="J247" s="6" t="n"/>
    </row>
    <row r="248">
      <c r="A248" s="6" t="n"/>
      <c r="D248">
        <f>IF($B248="","", MAXIFS(Repayment_Ledger!$J$2:$J$801,Repayment_Ledger!$A$2:$A$801,$B248))</f>
        <v/>
      </c>
      <c r="E248" s="8">
        <f>IF($B248="","", XLOOKUP($B248,Loan_Register!$A$2:$A$301,Loan_Register!$P$2:$P$301,""))</f>
        <v/>
      </c>
      <c r="F248">
        <f>IF($D248="","", IF($D248=0,"Current", IF($D248&lt;=7,"Early", IF($D248&lt;=30,"Watchlist", IF($D248&lt;=90,"Serious","Critical")))))</f>
        <v/>
      </c>
      <c r="J248" s="6" t="n"/>
    </row>
    <row r="249">
      <c r="A249" s="6" t="n"/>
      <c r="D249">
        <f>IF($B249="","", MAXIFS(Repayment_Ledger!$J$2:$J$801,Repayment_Ledger!$A$2:$A$801,$B249))</f>
        <v/>
      </c>
      <c r="E249" s="8">
        <f>IF($B249="","", XLOOKUP($B249,Loan_Register!$A$2:$A$301,Loan_Register!$P$2:$P$301,""))</f>
        <v/>
      </c>
      <c r="F249">
        <f>IF($D249="","", IF($D249=0,"Current", IF($D249&lt;=7,"Early", IF($D249&lt;=30,"Watchlist", IF($D249&lt;=90,"Serious","Critical")))))</f>
        <v/>
      </c>
      <c r="J249" s="6" t="n"/>
    </row>
    <row r="250">
      <c r="A250" s="6" t="n"/>
      <c r="D250">
        <f>IF($B250="","", MAXIFS(Repayment_Ledger!$J$2:$J$801,Repayment_Ledger!$A$2:$A$801,$B250))</f>
        <v/>
      </c>
      <c r="E250" s="8">
        <f>IF($B250="","", XLOOKUP($B250,Loan_Register!$A$2:$A$301,Loan_Register!$P$2:$P$301,""))</f>
        <v/>
      </c>
      <c r="F250">
        <f>IF($D250="","", IF($D250=0,"Current", IF($D250&lt;=7,"Early", IF($D250&lt;=30,"Watchlist", IF($D250&lt;=90,"Serious","Critical")))))</f>
        <v/>
      </c>
      <c r="J250" s="6" t="n"/>
    </row>
    <row r="251">
      <c r="A251" s="6" t="n"/>
      <c r="D251">
        <f>IF($B251="","", MAXIFS(Repayment_Ledger!$J$2:$J$801,Repayment_Ledger!$A$2:$A$801,$B251))</f>
        <v/>
      </c>
      <c r="E251" s="8">
        <f>IF($B251="","", XLOOKUP($B251,Loan_Register!$A$2:$A$301,Loan_Register!$P$2:$P$301,""))</f>
        <v/>
      </c>
      <c r="F251">
        <f>IF($D251="","", IF($D251=0,"Current", IF($D251&lt;=7,"Early", IF($D251&lt;=30,"Watchlist", IF($D251&lt;=90,"Serious","Critical")))))</f>
        <v/>
      </c>
      <c r="J251" s="6" t="n"/>
    </row>
    <row r="252">
      <c r="A252" s="6" t="n"/>
      <c r="D252">
        <f>IF($B252="","", MAXIFS(Repayment_Ledger!$J$2:$J$801,Repayment_Ledger!$A$2:$A$801,$B252))</f>
        <v/>
      </c>
      <c r="E252" s="8">
        <f>IF($B252="","", XLOOKUP($B252,Loan_Register!$A$2:$A$301,Loan_Register!$P$2:$P$301,""))</f>
        <v/>
      </c>
      <c r="F252">
        <f>IF($D252="","", IF($D252=0,"Current", IF($D252&lt;=7,"Early", IF($D252&lt;=30,"Watchlist", IF($D252&lt;=90,"Serious","Critical")))))</f>
        <v/>
      </c>
      <c r="J252" s="6" t="n"/>
    </row>
    <row r="253">
      <c r="A253" s="6" t="n"/>
      <c r="D253">
        <f>IF($B253="","", MAXIFS(Repayment_Ledger!$J$2:$J$801,Repayment_Ledger!$A$2:$A$801,$B253))</f>
        <v/>
      </c>
      <c r="E253" s="8">
        <f>IF($B253="","", XLOOKUP($B253,Loan_Register!$A$2:$A$301,Loan_Register!$P$2:$P$301,""))</f>
        <v/>
      </c>
      <c r="F253">
        <f>IF($D253="","", IF($D253=0,"Current", IF($D253&lt;=7,"Early", IF($D253&lt;=30,"Watchlist", IF($D253&lt;=90,"Serious","Critical")))))</f>
        <v/>
      </c>
      <c r="J253" s="6" t="n"/>
    </row>
    <row r="254">
      <c r="A254" s="6" t="n"/>
      <c r="D254">
        <f>IF($B254="","", MAXIFS(Repayment_Ledger!$J$2:$J$801,Repayment_Ledger!$A$2:$A$801,$B254))</f>
        <v/>
      </c>
      <c r="E254" s="8">
        <f>IF($B254="","", XLOOKUP($B254,Loan_Register!$A$2:$A$301,Loan_Register!$P$2:$P$301,""))</f>
        <v/>
      </c>
      <c r="F254">
        <f>IF($D254="","", IF($D254=0,"Current", IF($D254&lt;=7,"Early", IF($D254&lt;=30,"Watchlist", IF($D254&lt;=90,"Serious","Critical")))))</f>
        <v/>
      </c>
      <c r="J254" s="6" t="n"/>
    </row>
    <row r="255">
      <c r="A255" s="6" t="n"/>
      <c r="D255">
        <f>IF($B255="","", MAXIFS(Repayment_Ledger!$J$2:$J$801,Repayment_Ledger!$A$2:$A$801,$B255))</f>
        <v/>
      </c>
      <c r="E255" s="8">
        <f>IF($B255="","", XLOOKUP($B255,Loan_Register!$A$2:$A$301,Loan_Register!$P$2:$P$301,""))</f>
        <v/>
      </c>
      <c r="F255">
        <f>IF($D255="","", IF($D255=0,"Current", IF($D255&lt;=7,"Early", IF($D255&lt;=30,"Watchlist", IF($D255&lt;=90,"Serious","Critical")))))</f>
        <v/>
      </c>
      <c r="J255" s="6" t="n"/>
    </row>
    <row r="256">
      <c r="A256" s="6" t="n"/>
      <c r="D256">
        <f>IF($B256="","", MAXIFS(Repayment_Ledger!$J$2:$J$801,Repayment_Ledger!$A$2:$A$801,$B256))</f>
        <v/>
      </c>
      <c r="E256" s="8">
        <f>IF($B256="","", XLOOKUP($B256,Loan_Register!$A$2:$A$301,Loan_Register!$P$2:$P$301,""))</f>
        <v/>
      </c>
      <c r="F256">
        <f>IF($D256="","", IF($D256=0,"Current", IF($D256&lt;=7,"Early", IF($D256&lt;=30,"Watchlist", IF($D256&lt;=90,"Serious","Critical")))))</f>
        <v/>
      </c>
      <c r="J256" s="6" t="n"/>
    </row>
    <row r="257">
      <c r="A257" s="6" t="n"/>
      <c r="D257">
        <f>IF($B257="","", MAXIFS(Repayment_Ledger!$J$2:$J$801,Repayment_Ledger!$A$2:$A$801,$B257))</f>
        <v/>
      </c>
      <c r="E257" s="8">
        <f>IF($B257="","", XLOOKUP($B257,Loan_Register!$A$2:$A$301,Loan_Register!$P$2:$P$301,""))</f>
        <v/>
      </c>
      <c r="F257">
        <f>IF($D257="","", IF($D257=0,"Current", IF($D257&lt;=7,"Early", IF($D257&lt;=30,"Watchlist", IF($D257&lt;=90,"Serious","Critical")))))</f>
        <v/>
      </c>
      <c r="J257" s="6" t="n"/>
    </row>
    <row r="258">
      <c r="A258" s="6" t="n"/>
      <c r="D258">
        <f>IF($B258="","", MAXIFS(Repayment_Ledger!$J$2:$J$801,Repayment_Ledger!$A$2:$A$801,$B258))</f>
        <v/>
      </c>
      <c r="E258" s="8">
        <f>IF($B258="","", XLOOKUP($B258,Loan_Register!$A$2:$A$301,Loan_Register!$P$2:$P$301,""))</f>
        <v/>
      </c>
      <c r="F258">
        <f>IF($D258="","", IF($D258=0,"Current", IF($D258&lt;=7,"Early", IF($D258&lt;=30,"Watchlist", IF($D258&lt;=90,"Serious","Critical")))))</f>
        <v/>
      </c>
      <c r="J258" s="6" t="n"/>
    </row>
    <row r="259">
      <c r="A259" s="6" t="n"/>
      <c r="D259">
        <f>IF($B259="","", MAXIFS(Repayment_Ledger!$J$2:$J$801,Repayment_Ledger!$A$2:$A$801,$B259))</f>
        <v/>
      </c>
      <c r="E259" s="8">
        <f>IF($B259="","", XLOOKUP($B259,Loan_Register!$A$2:$A$301,Loan_Register!$P$2:$P$301,""))</f>
        <v/>
      </c>
      <c r="F259">
        <f>IF($D259="","", IF($D259=0,"Current", IF($D259&lt;=7,"Early", IF($D259&lt;=30,"Watchlist", IF($D259&lt;=90,"Serious","Critical")))))</f>
        <v/>
      </c>
      <c r="J259" s="6" t="n"/>
    </row>
    <row r="260">
      <c r="A260" s="6" t="n"/>
      <c r="D260">
        <f>IF($B260="","", MAXIFS(Repayment_Ledger!$J$2:$J$801,Repayment_Ledger!$A$2:$A$801,$B260))</f>
        <v/>
      </c>
      <c r="E260" s="8">
        <f>IF($B260="","", XLOOKUP($B260,Loan_Register!$A$2:$A$301,Loan_Register!$P$2:$P$301,""))</f>
        <v/>
      </c>
      <c r="F260">
        <f>IF($D260="","", IF($D260=0,"Current", IF($D260&lt;=7,"Early", IF($D260&lt;=30,"Watchlist", IF($D260&lt;=90,"Serious","Critical")))))</f>
        <v/>
      </c>
      <c r="J260" s="6" t="n"/>
    </row>
    <row r="261">
      <c r="A261" s="6" t="n"/>
      <c r="D261">
        <f>IF($B261="","", MAXIFS(Repayment_Ledger!$J$2:$J$801,Repayment_Ledger!$A$2:$A$801,$B261))</f>
        <v/>
      </c>
      <c r="E261" s="8">
        <f>IF($B261="","", XLOOKUP($B261,Loan_Register!$A$2:$A$301,Loan_Register!$P$2:$P$301,""))</f>
        <v/>
      </c>
      <c r="F261">
        <f>IF($D261="","", IF($D261=0,"Current", IF($D261&lt;=7,"Early", IF($D261&lt;=30,"Watchlist", IF($D261&lt;=90,"Serious","Critical")))))</f>
        <v/>
      </c>
      <c r="J261" s="6" t="n"/>
    </row>
    <row r="262">
      <c r="A262" s="6" t="n"/>
      <c r="D262">
        <f>IF($B262="","", MAXIFS(Repayment_Ledger!$J$2:$J$801,Repayment_Ledger!$A$2:$A$801,$B262))</f>
        <v/>
      </c>
      <c r="E262" s="8">
        <f>IF($B262="","", XLOOKUP($B262,Loan_Register!$A$2:$A$301,Loan_Register!$P$2:$P$301,""))</f>
        <v/>
      </c>
      <c r="F262">
        <f>IF($D262="","", IF($D262=0,"Current", IF($D262&lt;=7,"Early", IF($D262&lt;=30,"Watchlist", IF($D262&lt;=90,"Serious","Critical")))))</f>
        <v/>
      </c>
      <c r="J262" s="6" t="n"/>
    </row>
    <row r="263">
      <c r="A263" s="6" t="n"/>
      <c r="D263">
        <f>IF($B263="","", MAXIFS(Repayment_Ledger!$J$2:$J$801,Repayment_Ledger!$A$2:$A$801,$B263))</f>
        <v/>
      </c>
      <c r="E263" s="8">
        <f>IF($B263="","", XLOOKUP($B263,Loan_Register!$A$2:$A$301,Loan_Register!$P$2:$P$301,""))</f>
        <v/>
      </c>
      <c r="F263">
        <f>IF($D263="","", IF($D263=0,"Current", IF($D263&lt;=7,"Early", IF($D263&lt;=30,"Watchlist", IF($D263&lt;=90,"Serious","Critical")))))</f>
        <v/>
      </c>
      <c r="J263" s="6" t="n"/>
    </row>
    <row r="264">
      <c r="A264" s="6" t="n"/>
      <c r="D264">
        <f>IF($B264="","", MAXIFS(Repayment_Ledger!$J$2:$J$801,Repayment_Ledger!$A$2:$A$801,$B264))</f>
        <v/>
      </c>
      <c r="E264" s="8">
        <f>IF($B264="","", XLOOKUP($B264,Loan_Register!$A$2:$A$301,Loan_Register!$P$2:$P$301,""))</f>
        <v/>
      </c>
      <c r="F264">
        <f>IF($D264="","", IF($D264=0,"Current", IF($D264&lt;=7,"Early", IF($D264&lt;=30,"Watchlist", IF($D264&lt;=90,"Serious","Critical")))))</f>
        <v/>
      </c>
      <c r="J264" s="6" t="n"/>
    </row>
    <row r="265">
      <c r="A265" s="6" t="n"/>
      <c r="D265">
        <f>IF($B265="","", MAXIFS(Repayment_Ledger!$J$2:$J$801,Repayment_Ledger!$A$2:$A$801,$B265))</f>
        <v/>
      </c>
      <c r="E265" s="8">
        <f>IF($B265="","", XLOOKUP($B265,Loan_Register!$A$2:$A$301,Loan_Register!$P$2:$P$301,""))</f>
        <v/>
      </c>
      <c r="F265">
        <f>IF($D265="","", IF($D265=0,"Current", IF($D265&lt;=7,"Early", IF($D265&lt;=30,"Watchlist", IF($D265&lt;=90,"Serious","Critical")))))</f>
        <v/>
      </c>
      <c r="J265" s="6" t="n"/>
    </row>
    <row r="266">
      <c r="A266" s="6" t="n"/>
      <c r="D266">
        <f>IF($B266="","", MAXIFS(Repayment_Ledger!$J$2:$J$801,Repayment_Ledger!$A$2:$A$801,$B266))</f>
        <v/>
      </c>
      <c r="E266" s="8">
        <f>IF($B266="","", XLOOKUP($B266,Loan_Register!$A$2:$A$301,Loan_Register!$P$2:$P$301,""))</f>
        <v/>
      </c>
      <c r="F266">
        <f>IF($D266="","", IF($D266=0,"Current", IF($D266&lt;=7,"Early", IF($D266&lt;=30,"Watchlist", IF($D266&lt;=90,"Serious","Critical")))))</f>
        <v/>
      </c>
      <c r="J266" s="6" t="n"/>
    </row>
    <row r="267">
      <c r="A267" s="6" t="n"/>
      <c r="D267">
        <f>IF($B267="","", MAXIFS(Repayment_Ledger!$J$2:$J$801,Repayment_Ledger!$A$2:$A$801,$B267))</f>
        <v/>
      </c>
      <c r="E267" s="8">
        <f>IF($B267="","", XLOOKUP($B267,Loan_Register!$A$2:$A$301,Loan_Register!$P$2:$P$301,""))</f>
        <v/>
      </c>
      <c r="F267">
        <f>IF($D267="","", IF($D267=0,"Current", IF($D267&lt;=7,"Early", IF($D267&lt;=30,"Watchlist", IF($D267&lt;=90,"Serious","Critical")))))</f>
        <v/>
      </c>
      <c r="J267" s="6" t="n"/>
    </row>
    <row r="268">
      <c r="A268" s="6" t="n"/>
      <c r="D268">
        <f>IF($B268="","", MAXIFS(Repayment_Ledger!$J$2:$J$801,Repayment_Ledger!$A$2:$A$801,$B268))</f>
        <v/>
      </c>
      <c r="E268" s="8">
        <f>IF($B268="","", XLOOKUP($B268,Loan_Register!$A$2:$A$301,Loan_Register!$P$2:$P$301,""))</f>
        <v/>
      </c>
      <c r="F268">
        <f>IF($D268="","", IF($D268=0,"Current", IF($D268&lt;=7,"Early", IF($D268&lt;=30,"Watchlist", IF($D268&lt;=90,"Serious","Critical")))))</f>
        <v/>
      </c>
      <c r="J268" s="6" t="n"/>
    </row>
    <row r="269">
      <c r="A269" s="6" t="n"/>
      <c r="D269">
        <f>IF($B269="","", MAXIFS(Repayment_Ledger!$J$2:$J$801,Repayment_Ledger!$A$2:$A$801,$B269))</f>
        <v/>
      </c>
      <c r="E269" s="8">
        <f>IF($B269="","", XLOOKUP($B269,Loan_Register!$A$2:$A$301,Loan_Register!$P$2:$P$301,""))</f>
        <v/>
      </c>
      <c r="F269">
        <f>IF($D269="","", IF($D269=0,"Current", IF($D269&lt;=7,"Early", IF($D269&lt;=30,"Watchlist", IF($D269&lt;=90,"Serious","Critical")))))</f>
        <v/>
      </c>
      <c r="J269" s="6" t="n"/>
    </row>
    <row r="270">
      <c r="A270" s="6" t="n"/>
      <c r="D270">
        <f>IF($B270="","", MAXIFS(Repayment_Ledger!$J$2:$J$801,Repayment_Ledger!$A$2:$A$801,$B270))</f>
        <v/>
      </c>
      <c r="E270" s="8">
        <f>IF($B270="","", XLOOKUP($B270,Loan_Register!$A$2:$A$301,Loan_Register!$P$2:$P$301,""))</f>
        <v/>
      </c>
      <c r="F270">
        <f>IF($D270="","", IF($D270=0,"Current", IF($D270&lt;=7,"Early", IF($D270&lt;=30,"Watchlist", IF($D270&lt;=90,"Serious","Critical")))))</f>
        <v/>
      </c>
      <c r="J270" s="6" t="n"/>
    </row>
    <row r="271">
      <c r="A271" s="6" t="n"/>
      <c r="D271">
        <f>IF($B271="","", MAXIFS(Repayment_Ledger!$J$2:$J$801,Repayment_Ledger!$A$2:$A$801,$B271))</f>
        <v/>
      </c>
      <c r="E271" s="8">
        <f>IF($B271="","", XLOOKUP($B271,Loan_Register!$A$2:$A$301,Loan_Register!$P$2:$P$301,""))</f>
        <v/>
      </c>
      <c r="F271">
        <f>IF($D271="","", IF($D271=0,"Current", IF($D271&lt;=7,"Early", IF($D271&lt;=30,"Watchlist", IF($D271&lt;=90,"Serious","Critical")))))</f>
        <v/>
      </c>
      <c r="J271" s="6" t="n"/>
    </row>
    <row r="272">
      <c r="A272" s="6" t="n"/>
      <c r="D272">
        <f>IF($B272="","", MAXIFS(Repayment_Ledger!$J$2:$J$801,Repayment_Ledger!$A$2:$A$801,$B272))</f>
        <v/>
      </c>
      <c r="E272" s="8">
        <f>IF($B272="","", XLOOKUP($B272,Loan_Register!$A$2:$A$301,Loan_Register!$P$2:$P$301,""))</f>
        <v/>
      </c>
      <c r="F272">
        <f>IF($D272="","", IF($D272=0,"Current", IF($D272&lt;=7,"Early", IF($D272&lt;=30,"Watchlist", IF($D272&lt;=90,"Serious","Critical")))))</f>
        <v/>
      </c>
      <c r="J272" s="6" t="n"/>
    </row>
    <row r="273">
      <c r="A273" s="6" t="n"/>
      <c r="D273">
        <f>IF($B273="","", MAXIFS(Repayment_Ledger!$J$2:$J$801,Repayment_Ledger!$A$2:$A$801,$B273))</f>
        <v/>
      </c>
      <c r="E273" s="8">
        <f>IF($B273="","", XLOOKUP($B273,Loan_Register!$A$2:$A$301,Loan_Register!$P$2:$P$301,""))</f>
        <v/>
      </c>
      <c r="F273">
        <f>IF($D273="","", IF($D273=0,"Current", IF($D273&lt;=7,"Early", IF($D273&lt;=30,"Watchlist", IF($D273&lt;=90,"Serious","Critical")))))</f>
        <v/>
      </c>
      <c r="J273" s="6" t="n"/>
    </row>
    <row r="274">
      <c r="A274" s="6" t="n"/>
      <c r="D274">
        <f>IF($B274="","", MAXIFS(Repayment_Ledger!$J$2:$J$801,Repayment_Ledger!$A$2:$A$801,$B274))</f>
        <v/>
      </c>
      <c r="E274" s="8">
        <f>IF($B274="","", XLOOKUP($B274,Loan_Register!$A$2:$A$301,Loan_Register!$P$2:$P$301,""))</f>
        <v/>
      </c>
      <c r="F274">
        <f>IF($D274="","", IF($D274=0,"Current", IF($D274&lt;=7,"Early", IF($D274&lt;=30,"Watchlist", IF($D274&lt;=90,"Serious","Critical")))))</f>
        <v/>
      </c>
      <c r="J274" s="6" t="n"/>
    </row>
    <row r="275">
      <c r="A275" s="6" t="n"/>
      <c r="D275">
        <f>IF($B275="","", MAXIFS(Repayment_Ledger!$J$2:$J$801,Repayment_Ledger!$A$2:$A$801,$B275))</f>
        <v/>
      </c>
      <c r="E275" s="8">
        <f>IF($B275="","", XLOOKUP($B275,Loan_Register!$A$2:$A$301,Loan_Register!$P$2:$P$301,""))</f>
        <v/>
      </c>
      <c r="F275">
        <f>IF($D275="","", IF($D275=0,"Current", IF($D275&lt;=7,"Early", IF($D275&lt;=30,"Watchlist", IF($D275&lt;=90,"Serious","Critical")))))</f>
        <v/>
      </c>
      <c r="J275" s="6" t="n"/>
    </row>
    <row r="276">
      <c r="A276" s="6" t="n"/>
      <c r="D276">
        <f>IF($B276="","", MAXIFS(Repayment_Ledger!$J$2:$J$801,Repayment_Ledger!$A$2:$A$801,$B276))</f>
        <v/>
      </c>
      <c r="E276" s="8">
        <f>IF($B276="","", XLOOKUP($B276,Loan_Register!$A$2:$A$301,Loan_Register!$P$2:$P$301,""))</f>
        <v/>
      </c>
      <c r="F276">
        <f>IF($D276="","", IF($D276=0,"Current", IF($D276&lt;=7,"Early", IF($D276&lt;=30,"Watchlist", IF($D276&lt;=90,"Serious","Critical")))))</f>
        <v/>
      </c>
      <c r="J276" s="6" t="n"/>
    </row>
    <row r="277">
      <c r="A277" s="6" t="n"/>
      <c r="D277">
        <f>IF($B277="","", MAXIFS(Repayment_Ledger!$J$2:$J$801,Repayment_Ledger!$A$2:$A$801,$B277))</f>
        <v/>
      </c>
      <c r="E277" s="8">
        <f>IF($B277="","", XLOOKUP($B277,Loan_Register!$A$2:$A$301,Loan_Register!$P$2:$P$301,""))</f>
        <v/>
      </c>
      <c r="F277">
        <f>IF($D277="","", IF($D277=0,"Current", IF($D277&lt;=7,"Early", IF($D277&lt;=30,"Watchlist", IF($D277&lt;=90,"Serious","Critical")))))</f>
        <v/>
      </c>
      <c r="J277" s="6" t="n"/>
    </row>
    <row r="278">
      <c r="A278" s="6" t="n"/>
      <c r="D278">
        <f>IF($B278="","", MAXIFS(Repayment_Ledger!$J$2:$J$801,Repayment_Ledger!$A$2:$A$801,$B278))</f>
        <v/>
      </c>
      <c r="E278" s="8">
        <f>IF($B278="","", XLOOKUP($B278,Loan_Register!$A$2:$A$301,Loan_Register!$P$2:$P$301,""))</f>
        <v/>
      </c>
      <c r="F278">
        <f>IF($D278="","", IF($D278=0,"Current", IF($D278&lt;=7,"Early", IF($D278&lt;=30,"Watchlist", IF($D278&lt;=90,"Serious","Critical")))))</f>
        <v/>
      </c>
      <c r="J278" s="6" t="n"/>
    </row>
    <row r="279">
      <c r="A279" s="6" t="n"/>
      <c r="D279">
        <f>IF($B279="","", MAXIFS(Repayment_Ledger!$J$2:$J$801,Repayment_Ledger!$A$2:$A$801,$B279))</f>
        <v/>
      </c>
      <c r="E279" s="8">
        <f>IF($B279="","", XLOOKUP($B279,Loan_Register!$A$2:$A$301,Loan_Register!$P$2:$P$301,""))</f>
        <v/>
      </c>
      <c r="F279">
        <f>IF($D279="","", IF($D279=0,"Current", IF($D279&lt;=7,"Early", IF($D279&lt;=30,"Watchlist", IF($D279&lt;=90,"Serious","Critical")))))</f>
        <v/>
      </c>
      <c r="J279" s="6" t="n"/>
    </row>
    <row r="280">
      <c r="A280" s="6" t="n"/>
      <c r="D280">
        <f>IF($B280="","", MAXIFS(Repayment_Ledger!$J$2:$J$801,Repayment_Ledger!$A$2:$A$801,$B280))</f>
        <v/>
      </c>
      <c r="E280" s="8">
        <f>IF($B280="","", XLOOKUP($B280,Loan_Register!$A$2:$A$301,Loan_Register!$P$2:$P$301,""))</f>
        <v/>
      </c>
      <c r="F280">
        <f>IF($D280="","", IF($D280=0,"Current", IF($D280&lt;=7,"Early", IF($D280&lt;=30,"Watchlist", IF($D280&lt;=90,"Serious","Critical")))))</f>
        <v/>
      </c>
      <c r="J280" s="6" t="n"/>
    </row>
    <row r="281">
      <c r="A281" s="6" t="n"/>
      <c r="D281">
        <f>IF($B281="","", MAXIFS(Repayment_Ledger!$J$2:$J$801,Repayment_Ledger!$A$2:$A$801,$B281))</f>
        <v/>
      </c>
      <c r="E281" s="8">
        <f>IF($B281="","", XLOOKUP($B281,Loan_Register!$A$2:$A$301,Loan_Register!$P$2:$P$301,""))</f>
        <v/>
      </c>
      <c r="F281">
        <f>IF($D281="","", IF($D281=0,"Current", IF($D281&lt;=7,"Early", IF($D281&lt;=30,"Watchlist", IF($D281&lt;=90,"Serious","Critical")))))</f>
        <v/>
      </c>
      <c r="J281" s="6" t="n"/>
    </row>
    <row r="282">
      <c r="A282" s="6" t="n"/>
      <c r="D282">
        <f>IF($B282="","", MAXIFS(Repayment_Ledger!$J$2:$J$801,Repayment_Ledger!$A$2:$A$801,$B282))</f>
        <v/>
      </c>
      <c r="E282" s="8">
        <f>IF($B282="","", XLOOKUP($B282,Loan_Register!$A$2:$A$301,Loan_Register!$P$2:$P$301,""))</f>
        <v/>
      </c>
      <c r="F282">
        <f>IF($D282="","", IF($D282=0,"Current", IF($D282&lt;=7,"Early", IF($D282&lt;=30,"Watchlist", IF($D282&lt;=90,"Serious","Critical")))))</f>
        <v/>
      </c>
      <c r="J282" s="6" t="n"/>
    </row>
    <row r="283">
      <c r="A283" s="6" t="n"/>
      <c r="D283">
        <f>IF($B283="","", MAXIFS(Repayment_Ledger!$J$2:$J$801,Repayment_Ledger!$A$2:$A$801,$B283))</f>
        <v/>
      </c>
      <c r="E283" s="8">
        <f>IF($B283="","", XLOOKUP($B283,Loan_Register!$A$2:$A$301,Loan_Register!$P$2:$P$301,""))</f>
        <v/>
      </c>
      <c r="F283">
        <f>IF($D283="","", IF($D283=0,"Current", IF($D283&lt;=7,"Early", IF($D283&lt;=30,"Watchlist", IF($D283&lt;=90,"Serious","Critical")))))</f>
        <v/>
      </c>
      <c r="J283" s="6" t="n"/>
    </row>
    <row r="284">
      <c r="A284" s="6" t="n"/>
      <c r="D284">
        <f>IF($B284="","", MAXIFS(Repayment_Ledger!$J$2:$J$801,Repayment_Ledger!$A$2:$A$801,$B284))</f>
        <v/>
      </c>
      <c r="E284" s="8">
        <f>IF($B284="","", XLOOKUP($B284,Loan_Register!$A$2:$A$301,Loan_Register!$P$2:$P$301,""))</f>
        <v/>
      </c>
      <c r="F284">
        <f>IF($D284="","", IF($D284=0,"Current", IF($D284&lt;=7,"Early", IF($D284&lt;=30,"Watchlist", IF($D284&lt;=90,"Serious","Critical")))))</f>
        <v/>
      </c>
      <c r="J284" s="6" t="n"/>
    </row>
    <row r="285">
      <c r="A285" s="6" t="n"/>
      <c r="D285">
        <f>IF($B285="","", MAXIFS(Repayment_Ledger!$J$2:$J$801,Repayment_Ledger!$A$2:$A$801,$B285))</f>
        <v/>
      </c>
      <c r="E285" s="8">
        <f>IF($B285="","", XLOOKUP($B285,Loan_Register!$A$2:$A$301,Loan_Register!$P$2:$P$301,""))</f>
        <v/>
      </c>
      <c r="F285">
        <f>IF($D285="","", IF($D285=0,"Current", IF($D285&lt;=7,"Early", IF($D285&lt;=30,"Watchlist", IF($D285&lt;=90,"Serious","Critical")))))</f>
        <v/>
      </c>
      <c r="J285" s="6" t="n"/>
    </row>
    <row r="286">
      <c r="A286" s="6" t="n"/>
      <c r="D286">
        <f>IF($B286="","", MAXIFS(Repayment_Ledger!$J$2:$J$801,Repayment_Ledger!$A$2:$A$801,$B286))</f>
        <v/>
      </c>
      <c r="E286" s="8">
        <f>IF($B286="","", XLOOKUP($B286,Loan_Register!$A$2:$A$301,Loan_Register!$P$2:$P$301,""))</f>
        <v/>
      </c>
      <c r="F286">
        <f>IF($D286="","", IF($D286=0,"Current", IF($D286&lt;=7,"Early", IF($D286&lt;=30,"Watchlist", IF($D286&lt;=90,"Serious","Critical")))))</f>
        <v/>
      </c>
      <c r="J286" s="6" t="n"/>
    </row>
    <row r="287">
      <c r="A287" s="6" t="n"/>
      <c r="D287">
        <f>IF($B287="","", MAXIFS(Repayment_Ledger!$J$2:$J$801,Repayment_Ledger!$A$2:$A$801,$B287))</f>
        <v/>
      </c>
      <c r="E287" s="8">
        <f>IF($B287="","", XLOOKUP($B287,Loan_Register!$A$2:$A$301,Loan_Register!$P$2:$P$301,""))</f>
        <v/>
      </c>
      <c r="F287">
        <f>IF($D287="","", IF($D287=0,"Current", IF($D287&lt;=7,"Early", IF($D287&lt;=30,"Watchlist", IF($D287&lt;=90,"Serious","Critical")))))</f>
        <v/>
      </c>
      <c r="J287" s="6" t="n"/>
    </row>
    <row r="288">
      <c r="A288" s="6" t="n"/>
      <c r="D288">
        <f>IF($B288="","", MAXIFS(Repayment_Ledger!$J$2:$J$801,Repayment_Ledger!$A$2:$A$801,$B288))</f>
        <v/>
      </c>
      <c r="E288" s="8">
        <f>IF($B288="","", XLOOKUP($B288,Loan_Register!$A$2:$A$301,Loan_Register!$P$2:$P$301,""))</f>
        <v/>
      </c>
      <c r="F288">
        <f>IF($D288="","", IF($D288=0,"Current", IF($D288&lt;=7,"Early", IF($D288&lt;=30,"Watchlist", IF($D288&lt;=90,"Serious","Critical")))))</f>
        <v/>
      </c>
      <c r="J288" s="6" t="n"/>
    </row>
    <row r="289">
      <c r="A289" s="6" t="n"/>
      <c r="D289">
        <f>IF($B289="","", MAXIFS(Repayment_Ledger!$J$2:$J$801,Repayment_Ledger!$A$2:$A$801,$B289))</f>
        <v/>
      </c>
      <c r="E289" s="8">
        <f>IF($B289="","", XLOOKUP($B289,Loan_Register!$A$2:$A$301,Loan_Register!$P$2:$P$301,""))</f>
        <v/>
      </c>
      <c r="F289">
        <f>IF($D289="","", IF($D289=0,"Current", IF($D289&lt;=7,"Early", IF($D289&lt;=30,"Watchlist", IF($D289&lt;=90,"Serious","Critical")))))</f>
        <v/>
      </c>
      <c r="J289" s="6" t="n"/>
    </row>
    <row r="290">
      <c r="A290" s="6" t="n"/>
      <c r="D290">
        <f>IF($B290="","", MAXIFS(Repayment_Ledger!$J$2:$J$801,Repayment_Ledger!$A$2:$A$801,$B290))</f>
        <v/>
      </c>
      <c r="E290" s="8">
        <f>IF($B290="","", XLOOKUP($B290,Loan_Register!$A$2:$A$301,Loan_Register!$P$2:$P$301,""))</f>
        <v/>
      </c>
      <c r="F290">
        <f>IF($D290="","", IF($D290=0,"Current", IF($D290&lt;=7,"Early", IF($D290&lt;=30,"Watchlist", IF($D290&lt;=90,"Serious","Critical")))))</f>
        <v/>
      </c>
      <c r="J290" s="6" t="n"/>
    </row>
    <row r="291">
      <c r="A291" s="6" t="n"/>
      <c r="D291">
        <f>IF($B291="","", MAXIFS(Repayment_Ledger!$J$2:$J$801,Repayment_Ledger!$A$2:$A$801,$B291))</f>
        <v/>
      </c>
      <c r="E291" s="8">
        <f>IF($B291="","", XLOOKUP($B291,Loan_Register!$A$2:$A$301,Loan_Register!$P$2:$P$301,""))</f>
        <v/>
      </c>
      <c r="F291">
        <f>IF($D291="","", IF($D291=0,"Current", IF($D291&lt;=7,"Early", IF($D291&lt;=30,"Watchlist", IF($D291&lt;=90,"Serious","Critical")))))</f>
        <v/>
      </c>
      <c r="J291" s="6" t="n"/>
    </row>
    <row r="292">
      <c r="A292" s="6" t="n"/>
      <c r="D292">
        <f>IF($B292="","", MAXIFS(Repayment_Ledger!$J$2:$J$801,Repayment_Ledger!$A$2:$A$801,$B292))</f>
        <v/>
      </c>
      <c r="E292" s="8">
        <f>IF($B292="","", XLOOKUP($B292,Loan_Register!$A$2:$A$301,Loan_Register!$P$2:$P$301,""))</f>
        <v/>
      </c>
      <c r="F292">
        <f>IF($D292="","", IF($D292=0,"Current", IF($D292&lt;=7,"Early", IF($D292&lt;=30,"Watchlist", IF($D292&lt;=90,"Serious","Critical")))))</f>
        <v/>
      </c>
      <c r="J292" s="6" t="n"/>
    </row>
    <row r="293">
      <c r="A293" s="6" t="n"/>
      <c r="D293">
        <f>IF($B293="","", MAXIFS(Repayment_Ledger!$J$2:$J$801,Repayment_Ledger!$A$2:$A$801,$B293))</f>
        <v/>
      </c>
      <c r="E293" s="8">
        <f>IF($B293="","", XLOOKUP($B293,Loan_Register!$A$2:$A$301,Loan_Register!$P$2:$P$301,""))</f>
        <v/>
      </c>
      <c r="F293">
        <f>IF($D293="","", IF($D293=0,"Current", IF($D293&lt;=7,"Early", IF($D293&lt;=30,"Watchlist", IF($D293&lt;=90,"Serious","Critical")))))</f>
        <v/>
      </c>
      <c r="J293" s="6" t="n"/>
    </row>
    <row r="294">
      <c r="A294" s="6" t="n"/>
      <c r="D294">
        <f>IF($B294="","", MAXIFS(Repayment_Ledger!$J$2:$J$801,Repayment_Ledger!$A$2:$A$801,$B294))</f>
        <v/>
      </c>
      <c r="E294" s="8">
        <f>IF($B294="","", XLOOKUP($B294,Loan_Register!$A$2:$A$301,Loan_Register!$P$2:$P$301,""))</f>
        <v/>
      </c>
      <c r="F294">
        <f>IF($D294="","", IF($D294=0,"Current", IF($D294&lt;=7,"Early", IF($D294&lt;=30,"Watchlist", IF($D294&lt;=90,"Serious","Critical")))))</f>
        <v/>
      </c>
      <c r="J294" s="6" t="n"/>
    </row>
    <row r="295">
      <c r="A295" s="6" t="n"/>
      <c r="D295">
        <f>IF($B295="","", MAXIFS(Repayment_Ledger!$J$2:$J$801,Repayment_Ledger!$A$2:$A$801,$B295))</f>
        <v/>
      </c>
      <c r="E295" s="8">
        <f>IF($B295="","", XLOOKUP($B295,Loan_Register!$A$2:$A$301,Loan_Register!$P$2:$P$301,""))</f>
        <v/>
      </c>
      <c r="F295">
        <f>IF($D295="","", IF($D295=0,"Current", IF($D295&lt;=7,"Early", IF($D295&lt;=30,"Watchlist", IF($D295&lt;=90,"Serious","Critical")))))</f>
        <v/>
      </c>
      <c r="J295" s="6" t="n"/>
    </row>
    <row r="296">
      <c r="A296" s="6" t="n"/>
      <c r="D296">
        <f>IF($B296="","", MAXIFS(Repayment_Ledger!$J$2:$J$801,Repayment_Ledger!$A$2:$A$801,$B296))</f>
        <v/>
      </c>
      <c r="E296" s="8">
        <f>IF($B296="","", XLOOKUP($B296,Loan_Register!$A$2:$A$301,Loan_Register!$P$2:$P$301,""))</f>
        <v/>
      </c>
      <c r="F296">
        <f>IF($D296="","", IF($D296=0,"Current", IF($D296&lt;=7,"Early", IF($D296&lt;=30,"Watchlist", IF($D296&lt;=90,"Serious","Critical")))))</f>
        <v/>
      </c>
      <c r="J296" s="6" t="n"/>
    </row>
    <row r="297">
      <c r="A297" s="6" t="n"/>
      <c r="D297">
        <f>IF($B297="","", MAXIFS(Repayment_Ledger!$J$2:$J$801,Repayment_Ledger!$A$2:$A$801,$B297))</f>
        <v/>
      </c>
      <c r="E297" s="8">
        <f>IF($B297="","", XLOOKUP($B297,Loan_Register!$A$2:$A$301,Loan_Register!$P$2:$P$301,""))</f>
        <v/>
      </c>
      <c r="F297">
        <f>IF($D297="","", IF($D297=0,"Current", IF($D297&lt;=7,"Early", IF($D297&lt;=30,"Watchlist", IF($D297&lt;=90,"Serious","Critical")))))</f>
        <v/>
      </c>
      <c r="J297" s="6" t="n"/>
    </row>
    <row r="298">
      <c r="A298" s="6" t="n"/>
      <c r="D298">
        <f>IF($B298="","", MAXIFS(Repayment_Ledger!$J$2:$J$801,Repayment_Ledger!$A$2:$A$801,$B298))</f>
        <v/>
      </c>
      <c r="E298" s="8">
        <f>IF($B298="","", XLOOKUP($B298,Loan_Register!$A$2:$A$301,Loan_Register!$P$2:$P$301,""))</f>
        <v/>
      </c>
      <c r="F298">
        <f>IF($D298="","", IF($D298=0,"Current", IF($D298&lt;=7,"Early", IF($D298&lt;=30,"Watchlist", IF($D298&lt;=90,"Serious","Critical")))))</f>
        <v/>
      </c>
      <c r="J298" s="6" t="n"/>
    </row>
    <row r="299">
      <c r="A299" s="6" t="n"/>
      <c r="D299">
        <f>IF($B299="","", MAXIFS(Repayment_Ledger!$J$2:$J$801,Repayment_Ledger!$A$2:$A$801,$B299))</f>
        <v/>
      </c>
      <c r="E299" s="8">
        <f>IF($B299="","", XLOOKUP($B299,Loan_Register!$A$2:$A$301,Loan_Register!$P$2:$P$301,""))</f>
        <v/>
      </c>
      <c r="F299">
        <f>IF($D299="","", IF($D299=0,"Current", IF($D299&lt;=7,"Early", IF($D299&lt;=30,"Watchlist", IF($D299&lt;=90,"Serious","Critical")))))</f>
        <v/>
      </c>
      <c r="J299" s="6" t="n"/>
    </row>
    <row r="300">
      <c r="A300" s="6" t="n"/>
      <c r="D300">
        <f>IF($B300="","", MAXIFS(Repayment_Ledger!$J$2:$J$801,Repayment_Ledger!$A$2:$A$801,$B300))</f>
        <v/>
      </c>
      <c r="E300" s="8">
        <f>IF($B300="","", XLOOKUP($B300,Loan_Register!$A$2:$A$301,Loan_Register!$P$2:$P$301,""))</f>
        <v/>
      </c>
      <c r="F300">
        <f>IF($D300="","", IF($D300=0,"Current", IF($D300&lt;=7,"Early", IF($D300&lt;=30,"Watchlist", IF($D300&lt;=90,"Serious","Critical")))))</f>
        <v/>
      </c>
      <c r="J300" s="6" t="n"/>
    </row>
    <row r="301">
      <c r="A301" s="6" t="n"/>
      <c r="D301">
        <f>IF($B301="","", MAXIFS(Repayment_Ledger!$J$2:$J$801,Repayment_Ledger!$A$2:$A$801,$B301))</f>
        <v/>
      </c>
      <c r="E301" s="8">
        <f>IF($B301="","", XLOOKUP($B301,Loan_Register!$A$2:$A$301,Loan_Register!$P$2:$P$301,""))</f>
        <v/>
      </c>
      <c r="F301">
        <f>IF($D301="","", IF($D301=0,"Current", IF($D301&lt;=7,"Early", IF($D301&lt;=30,"Watchlist", IF($D301&lt;=90,"Serious","Critical")))))</f>
        <v/>
      </c>
      <c r="J301" s="6" t="n"/>
    </row>
    <row r="302">
      <c r="A302" s="6" t="n"/>
      <c r="D302">
        <f>IF($B302="","", MAXIFS(Repayment_Ledger!$J$2:$J$801,Repayment_Ledger!$A$2:$A$801,$B302))</f>
        <v/>
      </c>
      <c r="E302" s="8">
        <f>IF($B302="","", XLOOKUP($B302,Loan_Register!$A$2:$A$301,Loan_Register!$P$2:$P$301,""))</f>
        <v/>
      </c>
      <c r="F302">
        <f>IF($D302="","", IF($D302=0,"Current", IF($D302&lt;=7,"Early", IF($D302&lt;=30,"Watchlist", IF($D302&lt;=90,"Serious","Critical")))))</f>
        <v/>
      </c>
      <c r="J302" s="6" t="n"/>
    </row>
    <row r="303">
      <c r="A303" s="6" t="n"/>
      <c r="D303">
        <f>IF($B303="","", MAXIFS(Repayment_Ledger!$J$2:$J$801,Repayment_Ledger!$A$2:$A$801,$B303))</f>
        <v/>
      </c>
      <c r="E303" s="8">
        <f>IF($B303="","", XLOOKUP($B303,Loan_Register!$A$2:$A$301,Loan_Register!$P$2:$P$301,""))</f>
        <v/>
      </c>
      <c r="F303">
        <f>IF($D303="","", IF($D303=0,"Current", IF($D303&lt;=7,"Early", IF($D303&lt;=30,"Watchlist", IF($D303&lt;=90,"Serious","Critical")))))</f>
        <v/>
      </c>
      <c r="J303" s="6" t="n"/>
    </row>
    <row r="304">
      <c r="A304" s="6" t="n"/>
      <c r="D304">
        <f>IF($B304="","", MAXIFS(Repayment_Ledger!$J$2:$J$801,Repayment_Ledger!$A$2:$A$801,$B304))</f>
        <v/>
      </c>
      <c r="E304" s="8">
        <f>IF($B304="","", XLOOKUP($B304,Loan_Register!$A$2:$A$301,Loan_Register!$P$2:$P$301,""))</f>
        <v/>
      </c>
      <c r="F304">
        <f>IF($D304="","", IF($D304=0,"Current", IF($D304&lt;=7,"Early", IF($D304&lt;=30,"Watchlist", IF($D304&lt;=90,"Serious","Critical")))))</f>
        <v/>
      </c>
      <c r="J304" s="6" t="n"/>
    </row>
    <row r="305">
      <c r="A305" s="6" t="n"/>
      <c r="D305">
        <f>IF($B305="","", MAXIFS(Repayment_Ledger!$J$2:$J$801,Repayment_Ledger!$A$2:$A$801,$B305))</f>
        <v/>
      </c>
      <c r="E305" s="8">
        <f>IF($B305="","", XLOOKUP($B305,Loan_Register!$A$2:$A$301,Loan_Register!$P$2:$P$301,""))</f>
        <v/>
      </c>
      <c r="F305">
        <f>IF($D305="","", IF($D305=0,"Current", IF($D305&lt;=7,"Early", IF($D305&lt;=30,"Watchlist", IF($D305&lt;=90,"Serious","Critical")))))</f>
        <v/>
      </c>
      <c r="J305" s="6" t="n"/>
    </row>
    <row r="306">
      <c r="A306" s="6" t="n"/>
      <c r="D306">
        <f>IF($B306="","", MAXIFS(Repayment_Ledger!$J$2:$J$801,Repayment_Ledger!$A$2:$A$801,$B306))</f>
        <v/>
      </c>
      <c r="E306" s="8">
        <f>IF($B306="","", XLOOKUP($B306,Loan_Register!$A$2:$A$301,Loan_Register!$P$2:$P$301,""))</f>
        <v/>
      </c>
      <c r="F306">
        <f>IF($D306="","", IF($D306=0,"Current", IF($D306&lt;=7,"Early", IF($D306&lt;=30,"Watchlist", IF($D306&lt;=90,"Serious","Critical")))))</f>
        <v/>
      </c>
      <c r="J306" s="6" t="n"/>
    </row>
    <row r="307">
      <c r="A307" s="6" t="n"/>
      <c r="D307">
        <f>IF($B307="","", MAXIFS(Repayment_Ledger!$J$2:$J$801,Repayment_Ledger!$A$2:$A$801,$B307))</f>
        <v/>
      </c>
      <c r="E307" s="8">
        <f>IF($B307="","", XLOOKUP($B307,Loan_Register!$A$2:$A$301,Loan_Register!$P$2:$P$301,""))</f>
        <v/>
      </c>
      <c r="F307">
        <f>IF($D307="","", IF($D307=0,"Current", IF($D307&lt;=7,"Early", IF($D307&lt;=30,"Watchlist", IF($D307&lt;=90,"Serious","Critical")))))</f>
        <v/>
      </c>
      <c r="J307" s="6" t="n"/>
    </row>
    <row r="308">
      <c r="A308" s="6" t="n"/>
      <c r="D308">
        <f>IF($B308="","", MAXIFS(Repayment_Ledger!$J$2:$J$801,Repayment_Ledger!$A$2:$A$801,$B308))</f>
        <v/>
      </c>
      <c r="E308" s="8">
        <f>IF($B308="","", XLOOKUP($B308,Loan_Register!$A$2:$A$301,Loan_Register!$P$2:$P$301,""))</f>
        <v/>
      </c>
      <c r="F308">
        <f>IF($D308="","", IF($D308=0,"Current", IF($D308&lt;=7,"Early", IF($D308&lt;=30,"Watchlist", IF($D308&lt;=90,"Serious","Critical")))))</f>
        <v/>
      </c>
      <c r="J308" s="6" t="n"/>
    </row>
    <row r="309">
      <c r="A309" s="6" t="n"/>
      <c r="D309">
        <f>IF($B309="","", MAXIFS(Repayment_Ledger!$J$2:$J$801,Repayment_Ledger!$A$2:$A$801,$B309))</f>
        <v/>
      </c>
      <c r="E309" s="8">
        <f>IF($B309="","", XLOOKUP($B309,Loan_Register!$A$2:$A$301,Loan_Register!$P$2:$P$301,""))</f>
        <v/>
      </c>
      <c r="F309">
        <f>IF($D309="","", IF($D309=0,"Current", IF($D309&lt;=7,"Early", IF($D309&lt;=30,"Watchlist", IF($D309&lt;=90,"Serious","Critical")))))</f>
        <v/>
      </c>
      <c r="J309" s="6" t="n"/>
    </row>
    <row r="310">
      <c r="A310" s="6" t="n"/>
      <c r="D310">
        <f>IF($B310="","", MAXIFS(Repayment_Ledger!$J$2:$J$801,Repayment_Ledger!$A$2:$A$801,$B310))</f>
        <v/>
      </c>
      <c r="E310" s="8">
        <f>IF($B310="","", XLOOKUP($B310,Loan_Register!$A$2:$A$301,Loan_Register!$P$2:$P$301,""))</f>
        <v/>
      </c>
      <c r="F310">
        <f>IF($D310="","", IF($D310=0,"Current", IF($D310&lt;=7,"Early", IF($D310&lt;=30,"Watchlist", IF($D310&lt;=90,"Serious","Critical")))))</f>
        <v/>
      </c>
      <c r="J310" s="6" t="n"/>
    </row>
    <row r="311">
      <c r="A311" s="6" t="n"/>
      <c r="D311">
        <f>IF($B311="","", MAXIFS(Repayment_Ledger!$J$2:$J$801,Repayment_Ledger!$A$2:$A$801,$B311))</f>
        <v/>
      </c>
      <c r="E311" s="8">
        <f>IF($B311="","", XLOOKUP($B311,Loan_Register!$A$2:$A$301,Loan_Register!$P$2:$P$301,""))</f>
        <v/>
      </c>
      <c r="F311">
        <f>IF($D311="","", IF($D311=0,"Current", IF($D311&lt;=7,"Early", IF($D311&lt;=30,"Watchlist", IF($D311&lt;=90,"Serious","Critical")))))</f>
        <v/>
      </c>
      <c r="J311" s="6" t="n"/>
    </row>
    <row r="312">
      <c r="A312" s="6" t="n"/>
      <c r="D312">
        <f>IF($B312="","", MAXIFS(Repayment_Ledger!$J$2:$J$801,Repayment_Ledger!$A$2:$A$801,$B312))</f>
        <v/>
      </c>
      <c r="E312" s="8">
        <f>IF($B312="","", XLOOKUP($B312,Loan_Register!$A$2:$A$301,Loan_Register!$P$2:$P$301,""))</f>
        <v/>
      </c>
      <c r="F312">
        <f>IF($D312="","", IF($D312=0,"Current", IF($D312&lt;=7,"Early", IF($D312&lt;=30,"Watchlist", IF($D312&lt;=90,"Serious","Critical")))))</f>
        <v/>
      </c>
      <c r="J312" s="6" t="n"/>
    </row>
    <row r="313">
      <c r="A313" s="6" t="n"/>
      <c r="D313">
        <f>IF($B313="","", MAXIFS(Repayment_Ledger!$J$2:$J$801,Repayment_Ledger!$A$2:$A$801,$B313))</f>
        <v/>
      </c>
      <c r="E313" s="8">
        <f>IF($B313="","", XLOOKUP($B313,Loan_Register!$A$2:$A$301,Loan_Register!$P$2:$P$301,""))</f>
        <v/>
      </c>
      <c r="F313">
        <f>IF($D313="","", IF($D313=0,"Current", IF($D313&lt;=7,"Early", IF($D313&lt;=30,"Watchlist", IF($D313&lt;=90,"Serious","Critical")))))</f>
        <v/>
      </c>
      <c r="J313" s="6" t="n"/>
    </row>
    <row r="314">
      <c r="A314" s="6" t="n"/>
      <c r="D314">
        <f>IF($B314="","", MAXIFS(Repayment_Ledger!$J$2:$J$801,Repayment_Ledger!$A$2:$A$801,$B314))</f>
        <v/>
      </c>
      <c r="E314" s="8">
        <f>IF($B314="","", XLOOKUP($B314,Loan_Register!$A$2:$A$301,Loan_Register!$P$2:$P$301,""))</f>
        <v/>
      </c>
      <c r="F314">
        <f>IF($D314="","", IF($D314=0,"Current", IF($D314&lt;=7,"Early", IF($D314&lt;=30,"Watchlist", IF($D314&lt;=90,"Serious","Critical")))))</f>
        <v/>
      </c>
      <c r="J314" s="6" t="n"/>
    </row>
    <row r="315">
      <c r="A315" s="6" t="n"/>
      <c r="D315">
        <f>IF($B315="","", MAXIFS(Repayment_Ledger!$J$2:$J$801,Repayment_Ledger!$A$2:$A$801,$B315))</f>
        <v/>
      </c>
      <c r="E315" s="8">
        <f>IF($B315="","", XLOOKUP($B315,Loan_Register!$A$2:$A$301,Loan_Register!$P$2:$P$301,""))</f>
        <v/>
      </c>
      <c r="F315">
        <f>IF($D315="","", IF($D315=0,"Current", IF($D315&lt;=7,"Early", IF($D315&lt;=30,"Watchlist", IF($D315&lt;=90,"Serious","Critical")))))</f>
        <v/>
      </c>
      <c r="J315" s="6" t="n"/>
    </row>
    <row r="316">
      <c r="A316" s="6" t="n"/>
      <c r="D316">
        <f>IF($B316="","", MAXIFS(Repayment_Ledger!$J$2:$J$801,Repayment_Ledger!$A$2:$A$801,$B316))</f>
        <v/>
      </c>
      <c r="E316" s="8">
        <f>IF($B316="","", XLOOKUP($B316,Loan_Register!$A$2:$A$301,Loan_Register!$P$2:$P$301,""))</f>
        <v/>
      </c>
      <c r="F316">
        <f>IF($D316="","", IF($D316=0,"Current", IF($D316&lt;=7,"Early", IF($D316&lt;=30,"Watchlist", IF($D316&lt;=90,"Serious","Critical")))))</f>
        <v/>
      </c>
      <c r="J316" s="6" t="n"/>
    </row>
    <row r="317">
      <c r="A317" s="6" t="n"/>
      <c r="D317">
        <f>IF($B317="","", MAXIFS(Repayment_Ledger!$J$2:$J$801,Repayment_Ledger!$A$2:$A$801,$B317))</f>
        <v/>
      </c>
      <c r="E317" s="8">
        <f>IF($B317="","", XLOOKUP($B317,Loan_Register!$A$2:$A$301,Loan_Register!$P$2:$P$301,""))</f>
        <v/>
      </c>
      <c r="F317">
        <f>IF($D317="","", IF($D317=0,"Current", IF($D317&lt;=7,"Early", IF($D317&lt;=30,"Watchlist", IF($D317&lt;=90,"Serious","Critical")))))</f>
        <v/>
      </c>
      <c r="J317" s="6" t="n"/>
    </row>
    <row r="318">
      <c r="A318" s="6" t="n"/>
      <c r="D318">
        <f>IF($B318="","", MAXIFS(Repayment_Ledger!$J$2:$J$801,Repayment_Ledger!$A$2:$A$801,$B318))</f>
        <v/>
      </c>
      <c r="E318" s="8">
        <f>IF($B318="","", XLOOKUP($B318,Loan_Register!$A$2:$A$301,Loan_Register!$P$2:$P$301,""))</f>
        <v/>
      </c>
      <c r="F318">
        <f>IF($D318="","", IF($D318=0,"Current", IF($D318&lt;=7,"Early", IF($D318&lt;=30,"Watchlist", IF($D318&lt;=90,"Serious","Critical")))))</f>
        <v/>
      </c>
      <c r="J318" s="6" t="n"/>
    </row>
    <row r="319">
      <c r="A319" s="6" t="n"/>
      <c r="D319">
        <f>IF($B319="","", MAXIFS(Repayment_Ledger!$J$2:$J$801,Repayment_Ledger!$A$2:$A$801,$B319))</f>
        <v/>
      </c>
      <c r="E319" s="8">
        <f>IF($B319="","", XLOOKUP($B319,Loan_Register!$A$2:$A$301,Loan_Register!$P$2:$P$301,""))</f>
        <v/>
      </c>
      <c r="F319">
        <f>IF($D319="","", IF($D319=0,"Current", IF($D319&lt;=7,"Early", IF($D319&lt;=30,"Watchlist", IF($D319&lt;=90,"Serious","Critical")))))</f>
        <v/>
      </c>
      <c r="J319" s="6" t="n"/>
    </row>
    <row r="320">
      <c r="A320" s="6" t="n"/>
      <c r="D320">
        <f>IF($B320="","", MAXIFS(Repayment_Ledger!$J$2:$J$801,Repayment_Ledger!$A$2:$A$801,$B320))</f>
        <v/>
      </c>
      <c r="E320" s="8">
        <f>IF($B320="","", XLOOKUP($B320,Loan_Register!$A$2:$A$301,Loan_Register!$P$2:$P$301,""))</f>
        <v/>
      </c>
      <c r="F320">
        <f>IF($D320="","", IF($D320=0,"Current", IF($D320&lt;=7,"Early", IF($D320&lt;=30,"Watchlist", IF($D320&lt;=90,"Serious","Critical")))))</f>
        <v/>
      </c>
      <c r="J320" s="6" t="n"/>
    </row>
    <row r="321">
      <c r="A321" s="6" t="n"/>
      <c r="D321">
        <f>IF($B321="","", MAXIFS(Repayment_Ledger!$J$2:$J$801,Repayment_Ledger!$A$2:$A$801,$B321))</f>
        <v/>
      </c>
      <c r="E321" s="8">
        <f>IF($B321="","", XLOOKUP($B321,Loan_Register!$A$2:$A$301,Loan_Register!$P$2:$P$301,""))</f>
        <v/>
      </c>
      <c r="F321">
        <f>IF($D321="","", IF($D321=0,"Current", IF($D321&lt;=7,"Early", IF($D321&lt;=30,"Watchlist", IF($D321&lt;=90,"Serious","Critical")))))</f>
        <v/>
      </c>
      <c r="J321" s="6" t="n"/>
    </row>
    <row r="322">
      <c r="A322" s="6" t="n"/>
      <c r="D322">
        <f>IF($B322="","", MAXIFS(Repayment_Ledger!$J$2:$J$801,Repayment_Ledger!$A$2:$A$801,$B322))</f>
        <v/>
      </c>
      <c r="E322" s="8">
        <f>IF($B322="","", XLOOKUP($B322,Loan_Register!$A$2:$A$301,Loan_Register!$P$2:$P$301,""))</f>
        <v/>
      </c>
      <c r="F322">
        <f>IF($D322="","", IF($D322=0,"Current", IF($D322&lt;=7,"Early", IF($D322&lt;=30,"Watchlist", IF($D322&lt;=90,"Serious","Critical")))))</f>
        <v/>
      </c>
      <c r="J322" s="6" t="n"/>
    </row>
    <row r="323">
      <c r="A323" s="6" t="n"/>
      <c r="D323">
        <f>IF($B323="","", MAXIFS(Repayment_Ledger!$J$2:$J$801,Repayment_Ledger!$A$2:$A$801,$B323))</f>
        <v/>
      </c>
      <c r="E323" s="8">
        <f>IF($B323="","", XLOOKUP($B323,Loan_Register!$A$2:$A$301,Loan_Register!$P$2:$P$301,""))</f>
        <v/>
      </c>
      <c r="F323">
        <f>IF($D323="","", IF($D323=0,"Current", IF($D323&lt;=7,"Early", IF($D323&lt;=30,"Watchlist", IF($D323&lt;=90,"Serious","Critical")))))</f>
        <v/>
      </c>
      <c r="J323" s="6" t="n"/>
    </row>
    <row r="324">
      <c r="A324" s="6" t="n"/>
      <c r="D324">
        <f>IF($B324="","", MAXIFS(Repayment_Ledger!$J$2:$J$801,Repayment_Ledger!$A$2:$A$801,$B324))</f>
        <v/>
      </c>
      <c r="E324" s="8">
        <f>IF($B324="","", XLOOKUP($B324,Loan_Register!$A$2:$A$301,Loan_Register!$P$2:$P$301,""))</f>
        <v/>
      </c>
      <c r="F324">
        <f>IF($D324="","", IF($D324=0,"Current", IF($D324&lt;=7,"Early", IF($D324&lt;=30,"Watchlist", IF($D324&lt;=90,"Serious","Critical")))))</f>
        <v/>
      </c>
      <c r="J324" s="6" t="n"/>
    </row>
    <row r="325">
      <c r="A325" s="6" t="n"/>
      <c r="D325">
        <f>IF($B325="","", MAXIFS(Repayment_Ledger!$J$2:$J$801,Repayment_Ledger!$A$2:$A$801,$B325))</f>
        <v/>
      </c>
      <c r="E325" s="8">
        <f>IF($B325="","", XLOOKUP($B325,Loan_Register!$A$2:$A$301,Loan_Register!$P$2:$P$301,""))</f>
        <v/>
      </c>
      <c r="F325">
        <f>IF($D325="","", IF($D325=0,"Current", IF($D325&lt;=7,"Early", IF($D325&lt;=30,"Watchlist", IF($D325&lt;=90,"Serious","Critical")))))</f>
        <v/>
      </c>
      <c r="J325" s="6" t="n"/>
    </row>
    <row r="326">
      <c r="A326" s="6" t="n"/>
      <c r="D326">
        <f>IF($B326="","", MAXIFS(Repayment_Ledger!$J$2:$J$801,Repayment_Ledger!$A$2:$A$801,$B326))</f>
        <v/>
      </c>
      <c r="E326" s="8">
        <f>IF($B326="","", XLOOKUP($B326,Loan_Register!$A$2:$A$301,Loan_Register!$P$2:$P$301,""))</f>
        <v/>
      </c>
      <c r="F326">
        <f>IF($D326="","", IF($D326=0,"Current", IF($D326&lt;=7,"Early", IF($D326&lt;=30,"Watchlist", IF($D326&lt;=90,"Serious","Critical")))))</f>
        <v/>
      </c>
      <c r="J326" s="6" t="n"/>
    </row>
    <row r="327">
      <c r="A327" s="6" t="n"/>
      <c r="D327">
        <f>IF($B327="","", MAXIFS(Repayment_Ledger!$J$2:$J$801,Repayment_Ledger!$A$2:$A$801,$B327))</f>
        <v/>
      </c>
      <c r="E327" s="8">
        <f>IF($B327="","", XLOOKUP($B327,Loan_Register!$A$2:$A$301,Loan_Register!$P$2:$P$301,""))</f>
        <v/>
      </c>
      <c r="F327">
        <f>IF($D327="","", IF($D327=0,"Current", IF($D327&lt;=7,"Early", IF($D327&lt;=30,"Watchlist", IF($D327&lt;=90,"Serious","Critical")))))</f>
        <v/>
      </c>
      <c r="J327" s="6" t="n"/>
    </row>
    <row r="328">
      <c r="A328" s="6" t="n"/>
      <c r="D328">
        <f>IF($B328="","", MAXIFS(Repayment_Ledger!$J$2:$J$801,Repayment_Ledger!$A$2:$A$801,$B328))</f>
        <v/>
      </c>
      <c r="E328" s="8">
        <f>IF($B328="","", XLOOKUP($B328,Loan_Register!$A$2:$A$301,Loan_Register!$P$2:$P$301,""))</f>
        <v/>
      </c>
      <c r="F328">
        <f>IF($D328="","", IF($D328=0,"Current", IF($D328&lt;=7,"Early", IF($D328&lt;=30,"Watchlist", IF($D328&lt;=90,"Serious","Critical")))))</f>
        <v/>
      </c>
      <c r="J328" s="6" t="n"/>
    </row>
    <row r="329">
      <c r="A329" s="6" t="n"/>
      <c r="D329">
        <f>IF($B329="","", MAXIFS(Repayment_Ledger!$J$2:$J$801,Repayment_Ledger!$A$2:$A$801,$B329))</f>
        <v/>
      </c>
      <c r="E329" s="8">
        <f>IF($B329="","", XLOOKUP($B329,Loan_Register!$A$2:$A$301,Loan_Register!$P$2:$P$301,""))</f>
        <v/>
      </c>
      <c r="F329">
        <f>IF($D329="","", IF($D329=0,"Current", IF($D329&lt;=7,"Early", IF($D329&lt;=30,"Watchlist", IF($D329&lt;=90,"Serious","Critical")))))</f>
        <v/>
      </c>
      <c r="J329" s="6" t="n"/>
    </row>
    <row r="330">
      <c r="A330" s="6" t="n"/>
      <c r="D330">
        <f>IF($B330="","", MAXIFS(Repayment_Ledger!$J$2:$J$801,Repayment_Ledger!$A$2:$A$801,$B330))</f>
        <v/>
      </c>
      <c r="E330" s="8">
        <f>IF($B330="","", XLOOKUP($B330,Loan_Register!$A$2:$A$301,Loan_Register!$P$2:$P$301,""))</f>
        <v/>
      </c>
      <c r="F330">
        <f>IF($D330="","", IF($D330=0,"Current", IF($D330&lt;=7,"Early", IF($D330&lt;=30,"Watchlist", IF($D330&lt;=90,"Serious","Critical")))))</f>
        <v/>
      </c>
      <c r="J330" s="6" t="n"/>
    </row>
    <row r="331">
      <c r="A331" s="6" t="n"/>
      <c r="D331">
        <f>IF($B331="","", MAXIFS(Repayment_Ledger!$J$2:$J$801,Repayment_Ledger!$A$2:$A$801,$B331))</f>
        <v/>
      </c>
      <c r="E331" s="8">
        <f>IF($B331="","", XLOOKUP($B331,Loan_Register!$A$2:$A$301,Loan_Register!$P$2:$P$301,""))</f>
        <v/>
      </c>
      <c r="F331">
        <f>IF($D331="","", IF($D331=0,"Current", IF($D331&lt;=7,"Early", IF($D331&lt;=30,"Watchlist", IF($D331&lt;=90,"Serious","Critical")))))</f>
        <v/>
      </c>
      <c r="J331" s="6" t="n"/>
    </row>
    <row r="332">
      <c r="A332" s="6" t="n"/>
      <c r="D332">
        <f>IF($B332="","", MAXIFS(Repayment_Ledger!$J$2:$J$801,Repayment_Ledger!$A$2:$A$801,$B332))</f>
        <v/>
      </c>
      <c r="E332" s="8">
        <f>IF($B332="","", XLOOKUP($B332,Loan_Register!$A$2:$A$301,Loan_Register!$P$2:$P$301,""))</f>
        <v/>
      </c>
      <c r="F332">
        <f>IF($D332="","", IF($D332=0,"Current", IF($D332&lt;=7,"Early", IF($D332&lt;=30,"Watchlist", IF($D332&lt;=90,"Serious","Critical")))))</f>
        <v/>
      </c>
      <c r="J332" s="6" t="n"/>
    </row>
    <row r="333">
      <c r="A333" s="6" t="n"/>
      <c r="D333">
        <f>IF($B333="","", MAXIFS(Repayment_Ledger!$J$2:$J$801,Repayment_Ledger!$A$2:$A$801,$B333))</f>
        <v/>
      </c>
      <c r="E333" s="8">
        <f>IF($B333="","", XLOOKUP($B333,Loan_Register!$A$2:$A$301,Loan_Register!$P$2:$P$301,""))</f>
        <v/>
      </c>
      <c r="F333">
        <f>IF($D333="","", IF($D333=0,"Current", IF($D333&lt;=7,"Early", IF($D333&lt;=30,"Watchlist", IF($D333&lt;=90,"Serious","Critical")))))</f>
        <v/>
      </c>
      <c r="J333" s="6" t="n"/>
    </row>
    <row r="334">
      <c r="A334" s="6" t="n"/>
      <c r="D334">
        <f>IF($B334="","", MAXIFS(Repayment_Ledger!$J$2:$J$801,Repayment_Ledger!$A$2:$A$801,$B334))</f>
        <v/>
      </c>
      <c r="E334" s="8">
        <f>IF($B334="","", XLOOKUP($B334,Loan_Register!$A$2:$A$301,Loan_Register!$P$2:$P$301,""))</f>
        <v/>
      </c>
      <c r="F334">
        <f>IF($D334="","", IF($D334=0,"Current", IF($D334&lt;=7,"Early", IF($D334&lt;=30,"Watchlist", IF($D334&lt;=90,"Serious","Critical")))))</f>
        <v/>
      </c>
      <c r="J334" s="6" t="n"/>
    </row>
    <row r="335">
      <c r="A335" s="6" t="n"/>
      <c r="D335">
        <f>IF($B335="","", MAXIFS(Repayment_Ledger!$J$2:$J$801,Repayment_Ledger!$A$2:$A$801,$B335))</f>
        <v/>
      </c>
      <c r="E335" s="8">
        <f>IF($B335="","", XLOOKUP($B335,Loan_Register!$A$2:$A$301,Loan_Register!$P$2:$P$301,""))</f>
        <v/>
      </c>
      <c r="F335">
        <f>IF($D335="","", IF($D335=0,"Current", IF($D335&lt;=7,"Early", IF($D335&lt;=30,"Watchlist", IF($D335&lt;=90,"Serious","Critical")))))</f>
        <v/>
      </c>
      <c r="J335" s="6" t="n"/>
    </row>
    <row r="336">
      <c r="A336" s="6" t="n"/>
      <c r="D336">
        <f>IF($B336="","", MAXIFS(Repayment_Ledger!$J$2:$J$801,Repayment_Ledger!$A$2:$A$801,$B336))</f>
        <v/>
      </c>
      <c r="E336" s="8">
        <f>IF($B336="","", XLOOKUP($B336,Loan_Register!$A$2:$A$301,Loan_Register!$P$2:$P$301,""))</f>
        <v/>
      </c>
      <c r="F336">
        <f>IF($D336="","", IF($D336=0,"Current", IF($D336&lt;=7,"Early", IF($D336&lt;=30,"Watchlist", IF($D336&lt;=90,"Serious","Critical")))))</f>
        <v/>
      </c>
      <c r="J336" s="6" t="n"/>
    </row>
    <row r="337">
      <c r="A337" s="6" t="n"/>
      <c r="D337">
        <f>IF($B337="","", MAXIFS(Repayment_Ledger!$J$2:$J$801,Repayment_Ledger!$A$2:$A$801,$B337))</f>
        <v/>
      </c>
      <c r="E337" s="8">
        <f>IF($B337="","", XLOOKUP($B337,Loan_Register!$A$2:$A$301,Loan_Register!$P$2:$P$301,""))</f>
        <v/>
      </c>
      <c r="F337">
        <f>IF($D337="","", IF($D337=0,"Current", IF($D337&lt;=7,"Early", IF($D337&lt;=30,"Watchlist", IF($D337&lt;=90,"Serious","Critical")))))</f>
        <v/>
      </c>
      <c r="J337" s="6" t="n"/>
    </row>
    <row r="338">
      <c r="A338" s="6" t="n"/>
      <c r="D338">
        <f>IF($B338="","", MAXIFS(Repayment_Ledger!$J$2:$J$801,Repayment_Ledger!$A$2:$A$801,$B338))</f>
        <v/>
      </c>
      <c r="E338" s="8">
        <f>IF($B338="","", XLOOKUP($B338,Loan_Register!$A$2:$A$301,Loan_Register!$P$2:$P$301,""))</f>
        <v/>
      </c>
      <c r="F338">
        <f>IF($D338="","", IF($D338=0,"Current", IF($D338&lt;=7,"Early", IF($D338&lt;=30,"Watchlist", IF($D338&lt;=90,"Serious","Critical")))))</f>
        <v/>
      </c>
      <c r="J338" s="6" t="n"/>
    </row>
    <row r="339">
      <c r="A339" s="6" t="n"/>
      <c r="D339">
        <f>IF($B339="","", MAXIFS(Repayment_Ledger!$J$2:$J$801,Repayment_Ledger!$A$2:$A$801,$B339))</f>
        <v/>
      </c>
      <c r="E339" s="8">
        <f>IF($B339="","", XLOOKUP($B339,Loan_Register!$A$2:$A$301,Loan_Register!$P$2:$P$301,""))</f>
        <v/>
      </c>
      <c r="F339">
        <f>IF($D339="","", IF($D339=0,"Current", IF($D339&lt;=7,"Early", IF($D339&lt;=30,"Watchlist", IF($D339&lt;=90,"Serious","Critical")))))</f>
        <v/>
      </c>
      <c r="J339" s="6" t="n"/>
    </row>
    <row r="340">
      <c r="A340" s="6" t="n"/>
      <c r="D340">
        <f>IF($B340="","", MAXIFS(Repayment_Ledger!$J$2:$J$801,Repayment_Ledger!$A$2:$A$801,$B340))</f>
        <v/>
      </c>
      <c r="E340" s="8">
        <f>IF($B340="","", XLOOKUP($B340,Loan_Register!$A$2:$A$301,Loan_Register!$P$2:$P$301,""))</f>
        <v/>
      </c>
      <c r="F340">
        <f>IF($D340="","", IF($D340=0,"Current", IF($D340&lt;=7,"Early", IF($D340&lt;=30,"Watchlist", IF($D340&lt;=90,"Serious","Critical")))))</f>
        <v/>
      </c>
      <c r="J340" s="6" t="n"/>
    </row>
    <row r="341">
      <c r="A341" s="6" t="n"/>
      <c r="D341">
        <f>IF($B341="","", MAXIFS(Repayment_Ledger!$J$2:$J$801,Repayment_Ledger!$A$2:$A$801,$B341))</f>
        <v/>
      </c>
      <c r="E341" s="8">
        <f>IF($B341="","", XLOOKUP($B341,Loan_Register!$A$2:$A$301,Loan_Register!$P$2:$P$301,""))</f>
        <v/>
      </c>
      <c r="F341">
        <f>IF($D341="","", IF($D341=0,"Current", IF($D341&lt;=7,"Early", IF($D341&lt;=30,"Watchlist", IF($D341&lt;=90,"Serious","Critical")))))</f>
        <v/>
      </c>
      <c r="J341" s="6" t="n"/>
    </row>
    <row r="342">
      <c r="A342" s="6" t="n"/>
      <c r="D342">
        <f>IF($B342="","", MAXIFS(Repayment_Ledger!$J$2:$J$801,Repayment_Ledger!$A$2:$A$801,$B342))</f>
        <v/>
      </c>
      <c r="E342" s="8">
        <f>IF($B342="","", XLOOKUP($B342,Loan_Register!$A$2:$A$301,Loan_Register!$P$2:$P$301,""))</f>
        <v/>
      </c>
      <c r="F342">
        <f>IF($D342="","", IF($D342=0,"Current", IF($D342&lt;=7,"Early", IF($D342&lt;=30,"Watchlist", IF($D342&lt;=90,"Serious","Critical")))))</f>
        <v/>
      </c>
      <c r="J342" s="6" t="n"/>
    </row>
    <row r="343">
      <c r="A343" s="6" t="n"/>
      <c r="D343">
        <f>IF($B343="","", MAXIFS(Repayment_Ledger!$J$2:$J$801,Repayment_Ledger!$A$2:$A$801,$B343))</f>
        <v/>
      </c>
      <c r="E343" s="8">
        <f>IF($B343="","", XLOOKUP($B343,Loan_Register!$A$2:$A$301,Loan_Register!$P$2:$P$301,""))</f>
        <v/>
      </c>
      <c r="F343">
        <f>IF($D343="","", IF($D343=0,"Current", IF($D343&lt;=7,"Early", IF($D343&lt;=30,"Watchlist", IF($D343&lt;=90,"Serious","Critical")))))</f>
        <v/>
      </c>
      <c r="J343" s="6" t="n"/>
    </row>
    <row r="344">
      <c r="A344" s="6" t="n"/>
      <c r="D344">
        <f>IF($B344="","", MAXIFS(Repayment_Ledger!$J$2:$J$801,Repayment_Ledger!$A$2:$A$801,$B344))</f>
        <v/>
      </c>
      <c r="E344" s="8">
        <f>IF($B344="","", XLOOKUP($B344,Loan_Register!$A$2:$A$301,Loan_Register!$P$2:$P$301,""))</f>
        <v/>
      </c>
      <c r="F344">
        <f>IF($D344="","", IF($D344=0,"Current", IF($D344&lt;=7,"Early", IF($D344&lt;=30,"Watchlist", IF($D344&lt;=90,"Serious","Critical")))))</f>
        <v/>
      </c>
      <c r="J344" s="6" t="n"/>
    </row>
    <row r="345">
      <c r="A345" s="6" t="n"/>
      <c r="D345">
        <f>IF($B345="","", MAXIFS(Repayment_Ledger!$J$2:$J$801,Repayment_Ledger!$A$2:$A$801,$B345))</f>
        <v/>
      </c>
      <c r="E345" s="8">
        <f>IF($B345="","", XLOOKUP($B345,Loan_Register!$A$2:$A$301,Loan_Register!$P$2:$P$301,""))</f>
        <v/>
      </c>
      <c r="F345">
        <f>IF($D345="","", IF($D345=0,"Current", IF($D345&lt;=7,"Early", IF($D345&lt;=30,"Watchlist", IF($D345&lt;=90,"Serious","Critical")))))</f>
        <v/>
      </c>
      <c r="J345" s="6" t="n"/>
    </row>
    <row r="346">
      <c r="A346" s="6" t="n"/>
      <c r="D346">
        <f>IF($B346="","", MAXIFS(Repayment_Ledger!$J$2:$J$801,Repayment_Ledger!$A$2:$A$801,$B346))</f>
        <v/>
      </c>
      <c r="E346" s="8">
        <f>IF($B346="","", XLOOKUP($B346,Loan_Register!$A$2:$A$301,Loan_Register!$P$2:$P$301,""))</f>
        <v/>
      </c>
      <c r="F346">
        <f>IF($D346="","", IF($D346=0,"Current", IF($D346&lt;=7,"Early", IF($D346&lt;=30,"Watchlist", IF($D346&lt;=90,"Serious","Critical")))))</f>
        <v/>
      </c>
      <c r="J346" s="6" t="n"/>
    </row>
    <row r="347">
      <c r="A347" s="6" t="n"/>
      <c r="D347">
        <f>IF($B347="","", MAXIFS(Repayment_Ledger!$J$2:$J$801,Repayment_Ledger!$A$2:$A$801,$B347))</f>
        <v/>
      </c>
      <c r="E347" s="8">
        <f>IF($B347="","", XLOOKUP($B347,Loan_Register!$A$2:$A$301,Loan_Register!$P$2:$P$301,""))</f>
        <v/>
      </c>
      <c r="F347">
        <f>IF($D347="","", IF($D347=0,"Current", IF($D347&lt;=7,"Early", IF($D347&lt;=30,"Watchlist", IF($D347&lt;=90,"Serious","Critical")))))</f>
        <v/>
      </c>
      <c r="J347" s="6" t="n"/>
    </row>
    <row r="348">
      <c r="A348" s="6" t="n"/>
      <c r="D348">
        <f>IF($B348="","", MAXIFS(Repayment_Ledger!$J$2:$J$801,Repayment_Ledger!$A$2:$A$801,$B348))</f>
        <v/>
      </c>
      <c r="E348" s="8">
        <f>IF($B348="","", XLOOKUP($B348,Loan_Register!$A$2:$A$301,Loan_Register!$P$2:$P$301,""))</f>
        <v/>
      </c>
      <c r="F348">
        <f>IF($D348="","", IF($D348=0,"Current", IF($D348&lt;=7,"Early", IF($D348&lt;=30,"Watchlist", IF($D348&lt;=90,"Serious","Critical")))))</f>
        <v/>
      </c>
      <c r="J348" s="6" t="n"/>
    </row>
    <row r="349">
      <c r="A349" s="6" t="n"/>
      <c r="D349">
        <f>IF($B349="","", MAXIFS(Repayment_Ledger!$J$2:$J$801,Repayment_Ledger!$A$2:$A$801,$B349))</f>
        <v/>
      </c>
      <c r="E349" s="8">
        <f>IF($B349="","", XLOOKUP($B349,Loan_Register!$A$2:$A$301,Loan_Register!$P$2:$P$301,""))</f>
        <v/>
      </c>
      <c r="F349">
        <f>IF($D349="","", IF($D349=0,"Current", IF($D349&lt;=7,"Early", IF($D349&lt;=30,"Watchlist", IF($D349&lt;=90,"Serious","Critical")))))</f>
        <v/>
      </c>
      <c r="J349" s="6" t="n"/>
    </row>
    <row r="350">
      <c r="A350" s="6" t="n"/>
      <c r="D350">
        <f>IF($B350="","", MAXIFS(Repayment_Ledger!$J$2:$J$801,Repayment_Ledger!$A$2:$A$801,$B350))</f>
        <v/>
      </c>
      <c r="E350" s="8">
        <f>IF($B350="","", XLOOKUP($B350,Loan_Register!$A$2:$A$301,Loan_Register!$P$2:$P$301,""))</f>
        <v/>
      </c>
      <c r="F350">
        <f>IF($D350="","", IF($D350=0,"Current", IF($D350&lt;=7,"Early", IF($D350&lt;=30,"Watchlist", IF($D350&lt;=90,"Serious","Critical")))))</f>
        <v/>
      </c>
      <c r="J350" s="6" t="n"/>
    </row>
    <row r="351">
      <c r="A351" s="6" t="n"/>
      <c r="D351">
        <f>IF($B351="","", MAXIFS(Repayment_Ledger!$J$2:$J$801,Repayment_Ledger!$A$2:$A$801,$B351))</f>
        <v/>
      </c>
      <c r="E351" s="8">
        <f>IF($B351="","", XLOOKUP($B351,Loan_Register!$A$2:$A$301,Loan_Register!$P$2:$P$301,""))</f>
        <v/>
      </c>
      <c r="F351">
        <f>IF($D351="","", IF($D351=0,"Current", IF($D351&lt;=7,"Early", IF($D351&lt;=30,"Watchlist", IF($D351&lt;=90,"Serious","Critical")))))</f>
        <v/>
      </c>
      <c r="J351" s="6" t="n"/>
    </row>
    <row r="352">
      <c r="A352" s="6" t="n"/>
      <c r="D352">
        <f>IF($B352="","", MAXIFS(Repayment_Ledger!$J$2:$J$801,Repayment_Ledger!$A$2:$A$801,$B352))</f>
        <v/>
      </c>
      <c r="E352" s="8">
        <f>IF($B352="","", XLOOKUP($B352,Loan_Register!$A$2:$A$301,Loan_Register!$P$2:$P$301,""))</f>
        <v/>
      </c>
      <c r="F352">
        <f>IF($D352="","", IF($D352=0,"Current", IF($D352&lt;=7,"Early", IF($D352&lt;=30,"Watchlist", IF($D352&lt;=90,"Serious","Critical")))))</f>
        <v/>
      </c>
      <c r="J352" s="6" t="n"/>
    </row>
    <row r="353">
      <c r="A353" s="6" t="n"/>
      <c r="D353">
        <f>IF($B353="","", MAXIFS(Repayment_Ledger!$J$2:$J$801,Repayment_Ledger!$A$2:$A$801,$B353))</f>
        <v/>
      </c>
      <c r="E353" s="8">
        <f>IF($B353="","", XLOOKUP($B353,Loan_Register!$A$2:$A$301,Loan_Register!$P$2:$P$301,""))</f>
        <v/>
      </c>
      <c r="F353">
        <f>IF($D353="","", IF($D353=0,"Current", IF($D353&lt;=7,"Early", IF($D353&lt;=30,"Watchlist", IF($D353&lt;=90,"Serious","Critical")))))</f>
        <v/>
      </c>
      <c r="J353" s="6" t="n"/>
    </row>
    <row r="354">
      <c r="A354" s="6" t="n"/>
      <c r="D354">
        <f>IF($B354="","", MAXIFS(Repayment_Ledger!$J$2:$J$801,Repayment_Ledger!$A$2:$A$801,$B354))</f>
        <v/>
      </c>
      <c r="E354" s="8">
        <f>IF($B354="","", XLOOKUP($B354,Loan_Register!$A$2:$A$301,Loan_Register!$P$2:$P$301,""))</f>
        <v/>
      </c>
      <c r="F354">
        <f>IF($D354="","", IF($D354=0,"Current", IF($D354&lt;=7,"Early", IF($D354&lt;=30,"Watchlist", IF($D354&lt;=90,"Serious","Critical")))))</f>
        <v/>
      </c>
      <c r="J354" s="6" t="n"/>
    </row>
    <row r="355">
      <c r="A355" s="6" t="n"/>
      <c r="D355">
        <f>IF($B355="","", MAXIFS(Repayment_Ledger!$J$2:$J$801,Repayment_Ledger!$A$2:$A$801,$B355))</f>
        <v/>
      </c>
      <c r="E355" s="8">
        <f>IF($B355="","", XLOOKUP($B355,Loan_Register!$A$2:$A$301,Loan_Register!$P$2:$P$301,""))</f>
        <v/>
      </c>
      <c r="F355">
        <f>IF($D355="","", IF($D355=0,"Current", IF($D355&lt;=7,"Early", IF($D355&lt;=30,"Watchlist", IF($D355&lt;=90,"Serious","Critical")))))</f>
        <v/>
      </c>
      <c r="J355" s="6" t="n"/>
    </row>
    <row r="356">
      <c r="A356" s="6" t="n"/>
      <c r="D356">
        <f>IF($B356="","", MAXIFS(Repayment_Ledger!$J$2:$J$801,Repayment_Ledger!$A$2:$A$801,$B356))</f>
        <v/>
      </c>
      <c r="E356" s="8">
        <f>IF($B356="","", XLOOKUP($B356,Loan_Register!$A$2:$A$301,Loan_Register!$P$2:$P$301,""))</f>
        <v/>
      </c>
      <c r="F356">
        <f>IF($D356="","", IF($D356=0,"Current", IF($D356&lt;=7,"Early", IF($D356&lt;=30,"Watchlist", IF($D356&lt;=90,"Serious","Critical")))))</f>
        <v/>
      </c>
      <c r="J356" s="6" t="n"/>
    </row>
    <row r="357">
      <c r="A357" s="6" t="n"/>
      <c r="D357">
        <f>IF($B357="","", MAXIFS(Repayment_Ledger!$J$2:$J$801,Repayment_Ledger!$A$2:$A$801,$B357))</f>
        <v/>
      </c>
      <c r="E357" s="8">
        <f>IF($B357="","", XLOOKUP($B357,Loan_Register!$A$2:$A$301,Loan_Register!$P$2:$P$301,""))</f>
        <v/>
      </c>
      <c r="F357">
        <f>IF($D357="","", IF($D357=0,"Current", IF($D357&lt;=7,"Early", IF($D357&lt;=30,"Watchlist", IF($D357&lt;=90,"Serious","Critical")))))</f>
        <v/>
      </c>
      <c r="J357" s="6" t="n"/>
    </row>
    <row r="358">
      <c r="A358" s="6" t="n"/>
      <c r="D358">
        <f>IF($B358="","", MAXIFS(Repayment_Ledger!$J$2:$J$801,Repayment_Ledger!$A$2:$A$801,$B358))</f>
        <v/>
      </c>
      <c r="E358" s="8">
        <f>IF($B358="","", XLOOKUP($B358,Loan_Register!$A$2:$A$301,Loan_Register!$P$2:$P$301,""))</f>
        <v/>
      </c>
      <c r="F358">
        <f>IF($D358="","", IF($D358=0,"Current", IF($D358&lt;=7,"Early", IF($D358&lt;=30,"Watchlist", IF($D358&lt;=90,"Serious","Critical")))))</f>
        <v/>
      </c>
      <c r="J358" s="6" t="n"/>
    </row>
    <row r="359">
      <c r="A359" s="6" t="n"/>
      <c r="D359">
        <f>IF($B359="","", MAXIFS(Repayment_Ledger!$J$2:$J$801,Repayment_Ledger!$A$2:$A$801,$B359))</f>
        <v/>
      </c>
      <c r="E359" s="8">
        <f>IF($B359="","", XLOOKUP($B359,Loan_Register!$A$2:$A$301,Loan_Register!$P$2:$P$301,""))</f>
        <v/>
      </c>
      <c r="F359">
        <f>IF($D359="","", IF($D359=0,"Current", IF($D359&lt;=7,"Early", IF($D359&lt;=30,"Watchlist", IF($D359&lt;=90,"Serious","Critical")))))</f>
        <v/>
      </c>
      <c r="J359" s="6" t="n"/>
    </row>
    <row r="360">
      <c r="A360" s="6" t="n"/>
      <c r="D360">
        <f>IF($B360="","", MAXIFS(Repayment_Ledger!$J$2:$J$801,Repayment_Ledger!$A$2:$A$801,$B360))</f>
        <v/>
      </c>
      <c r="E360" s="8">
        <f>IF($B360="","", XLOOKUP($B360,Loan_Register!$A$2:$A$301,Loan_Register!$P$2:$P$301,""))</f>
        <v/>
      </c>
      <c r="F360">
        <f>IF($D360="","", IF($D360=0,"Current", IF($D360&lt;=7,"Early", IF($D360&lt;=30,"Watchlist", IF($D360&lt;=90,"Serious","Critical")))))</f>
        <v/>
      </c>
      <c r="J360" s="6" t="n"/>
    </row>
    <row r="361">
      <c r="A361" s="6" t="n"/>
      <c r="D361">
        <f>IF($B361="","", MAXIFS(Repayment_Ledger!$J$2:$J$801,Repayment_Ledger!$A$2:$A$801,$B361))</f>
        <v/>
      </c>
      <c r="E361" s="8">
        <f>IF($B361="","", XLOOKUP($B361,Loan_Register!$A$2:$A$301,Loan_Register!$P$2:$P$301,""))</f>
        <v/>
      </c>
      <c r="F361">
        <f>IF($D361="","", IF($D361=0,"Current", IF($D361&lt;=7,"Early", IF($D361&lt;=30,"Watchlist", IF($D361&lt;=90,"Serious","Critical")))))</f>
        <v/>
      </c>
      <c r="J361" s="6" t="n"/>
    </row>
    <row r="362">
      <c r="A362" s="6" t="n"/>
      <c r="D362">
        <f>IF($B362="","", MAXIFS(Repayment_Ledger!$J$2:$J$801,Repayment_Ledger!$A$2:$A$801,$B362))</f>
        <v/>
      </c>
      <c r="E362" s="8">
        <f>IF($B362="","", XLOOKUP($B362,Loan_Register!$A$2:$A$301,Loan_Register!$P$2:$P$301,""))</f>
        <v/>
      </c>
      <c r="F362">
        <f>IF($D362="","", IF($D362=0,"Current", IF($D362&lt;=7,"Early", IF($D362&lt;=30,"Watchlist", IF($D362&lt;=90,"Serious","Critical")))))</f>
        <v/>
      </c>
      <c r="J362" s="6" t="n"/>
    </row>
    <row r="363">
      <c r="A363" s="6" t="n"/>
      <c r="D363">
        <f>IF($B363="","", MAXIFS(Repayment_Ledger!$J$2:$J$801,Repayment_Ledger!$A$2:$A$801,$B363))</f>
        <v/>
      </c>
      <c r="E363" s="8">
        <f>IF($B363="","", XLOOKUP($B363,Loan_Register!$A$2:$A$301,Loan_Register!$P$2:$P$301,""))</f>
        <v/>
      </c>
      <c r="F363">
        <f>IF($D363="","", IF($D363=0,"Current", IF($D363&lt;=7,"Early", IF($D363&lt;=30,"Watchlist", IF($D363&lt;=90,"Serious","Critical")))))</f>
        <v/>
      </c>
      <c r="J363" s="6" t="n"/>
    </row>
    <row r="364">
      <c r="A364" s="6" t="n"/>
      <c r="D364">
        <f>IF($B364="","", MAXIFS(Repayment_Ledger!$J$2:$J$801,Repayment_Ledger!$A$2:$A$801,$B364))</f>
        <v/>
      </c>
      <c r="E364" s="8">
        <f>IF($B364="","", XLOOKUP($B364,Loan_Register!$A$2:$A$301,Loan_Register!$P$2:$P$301,""))</f>
        <v/>
      </c>
      <c r="F364">
        <f>IF($D364="","", IF($D364=0,"Current", IF($D364&lt;=7,"Early", IF($D364&lt;=30,"Watchlist", IF($D364&lt;=90,"Serious","Critical")))))</f>
        <v/>
      </c>
      <c r="J364" s="6" t="n"/>
    </row>
    <row r="365">
      <c r="A365" s="6" t="n"/>
      <c r="D365">
        <f>IF($B365="","", MAXIFS(Repayment_Ledger!$J$2:$J$801,Repayment_Ledger!$A$2:$A$801,$B365))</f>
        <v/>
      </c>
      <c r="E365" s="8">
        <f>IF($B365="","", XLOOKUP($B365,Loan_Register!$A$2:$A$301,Loan_Register!$P$2:$P$301,""))</f>
        <v/>
      </c>
      <c r="F365">
        <f>IF($D365="","", IF($D365=0,"Current", IF($D365&lt;=7,"Early", IF($D365&lt;=30,"Watchlist", IF($D365&lt;=90,"Serious","Critical")))))</f>
        <v/>
      </c>
      <c r="J365" s="6" t="n"/>
    </row>
    <row r="366">
      <c r="A366" s="6" t="n"/>
      <c r="D366">
        <f>IF($B366="","", MAXIFS(Repayment_Ledger!$J$2:$J$801,Repayment_Ledger!$A$2:$A$801,$B366))</f>
        <v/>
      </c>
      <c r="E366" s="8">
        <f>IF($B366="","", XLOOKUP($B366,Loan_Register!$A$2:$A$301,Loan_Register!$P$2:$P$301,""))</f>
        <v/>
      </c>
      <c r="F366">
        <f>IF($D366="","", IF($D366=0,"Current", IF($D366&lt;=7,"Early", IF($D366&lt;=30,"Watchlist", IF($D366&lt;=90,"Serious","Critical")))))</f>
        <v/>
      </c>
      <c r="J366" s="6" t="n"/>
    </row>
    <row r="367">
      <c r="A367" s="6" t="n"/>
      <c r="D367">
        <f>IF($B367="","", MAXIFS(Repayment_Ledger!$J$2:$J$801,Repayment_Ledger!$A$2:$A$801,$B367))</f>
        <v/>
      </c>
      <c r="E367" s="8">
        <f>IF($B367="","", XLOOKUP($B367,Loan_Register!$A$2:$A$301,Loan_Register!$P$2:$P$301,""))</f>
        <v/>
      </c>
      <c r="F367">
        <f>IF($D367="","", IF($D367=0,"Current", IF($D367&lt;=7,"Early", IF($D367&lt;=30,"Watchlist", IF($D367&lt;=90,"Serious","Critical")))))</f>
        <v/>
      </c>
      <c r="J367" s="6" t="n"/>
    </row>
    <row r="368">
      <c r="A368" s="6" t="n"/>
      <c r="D368">
        <f>IF($B368="","", MAXIFS(Repayment_Ledger!$J$2:$J$801,Repayment_Ledger!$A$2:$A$801,$B368))</f>
        <v/>
      </c>
      <c r="E368" s="8">
        <f>IF($B368="","", XLOOKUP($B368,Loan_Register!$A$2:$A$301,Loan_Register!$P$2:$P$301,""))</f>
        <v/>
      </c>
      <c r="F368">
        <f>IF($D368="","", IF($D368=0,"Current", IF($D368&lt;=7,"Early", IF($D368&lt;=30,"Watchlist", IF($D368&lt;=90,"Serious","Critical")))))</f>
        <v/>
      </c>
      <c r="J368" s="6" t="n"/>
    </row>
    <row r="369">
      <c r="A369" s="6" t="n"/>
      <c r="D369">
        <f>IF($B369="","", MAXIFS(Repayment_Ledger!$J$2:$J$801,Repayment_Ledger!$A$2:$A$801,$B369))</f>
        <v/>
      </c>
      <c r="E369" s="8">
        <f>IF($B369="","", XLOOKUP($B369,Loan_Register!$A$2:$A$301,Loan_Register!$P$2:$P$301,""))</f>
        <v/>
      </c>
      <c r="F369">
        <f>IF($D369="","", IF($D369=0,"Current", IF($D369&lt;=7,"Early", IF($D369&lt;=30,"Watchlist", IF($D369&lt;=90,"Serious","Critical")))))</f>
        <v/>
      </c>
      <c r="J369" s="6" t="n"/>
    </row>
    <row r="370">
      <c r="A370" s="6" t="n"/>
      <c r="D370">
        <f>IF($B370="","", MAXIFS(Repayment_Ledger!$J$2:$J$801,Repayment_Ledger!$A$2:$A$801,$B370))</f>
        <v/>
      </c>
      <c r="E370" s="8">
        <f>IF($B370="","", XLOOKUP($B370,Loan_Register!$A$2:$A$301,Loan_Register!$P$2:$P$301,""))</f>
        <v/>
      </c>
      <c r="F370">
        <f>IF($D370="","", IF($D370=0,"Current", IF($D370&lt;=7,"Early", IF($D370&lt;=30,"Watchlist", IF($D370&lt;=90,"Serious","Critical")))))</f>
        <v/>
      </c>
      <c r="J370" s="6" t="n"/>
    </row>
    <row r="371">
      <c r="A371" s="6" t="n"/>
      <c r="D371">
        <f>IF($B371="","", MAXIFS(Repayment_Ledger!$J$2:$J$801,Repayment_Ledger!$A$2:$A$801,$B371))</f>
        <v/>
      </c>
      <c r="E371" s="8">
        <f>IF($B371="","", XLOOKUP($B371,Loan_Register!$A$2:$A$301,Loan_Register!$P$2:$P$301,""))</f>
        <v/>
      </c>
      <c r="F371">
        <f>IF($D371="","", IF($D371=0,"Current", IF($D371&lt;=7,"Early", IF($D371&lt;=30,"Watchlist", IF($D371&lt;=90,"Serious","Critical")))))</f>
        <v/>
      </c>
      <c r="J371" s="6" t="n"/>
    </row>
    <row r="372">
      <c r="A372" s="6" t="n"/>
      <c r="D372">
        <f>IF($B372="","", MAXIFS(Repayment_Ledger!$J$2:$J$801,Repayment_Ledger!$A$2:$A$801,$B372))</f>
        <v/>
      </c>
      <c r="E372" s="8">
        <f>IF($B372="","", XLOOKUP($B372,Loan_Register!$A$2:$A$301,Loan_Register!$P$2:$P$301,""))</f>
        <v/>
      </c>
      <c r="F372">
        <f>IF($D372="","", IF($D372=0,"Current", IF($D372&lt;=7,"Early", IF($D372&lt;=30,"Watchlist", IF($D372&lt;=90,"Serious","Critical")))))</f>
        <v/>
      </c>
      <c r="J372" s="6" t="n"/>
    </row>
    <row r="373">
      <c r="A373" s="6" t="n"/>
      <c r="D373">
        <f>IF($B373="","", MAXIFS(Repayment_Ledger!$J$2:$J$801,Repayment_Ledger!$A$2:$A$801,$B373))</f>
        <v/>
      </c>
      <c r="E373" s="8">
        <f>IF($B373="","", XLOOKUP($B373,Loan_Register!$A$2:$A$301,Loan_Register!$P$2:$P$301,""))</f>
        <v/>
      </c>
      <c r="F373">
        <f>IF($D373="","", IF($D373=0,"Current", IF($D373&lt;=7,"Early", IF($D373&lt;=30,"Watchlist", IF($D373&lt;=90,"Serious","Critical")))))</f>
        <v/>
      </c>
      <c r="J373" s="6" t="n"/>
    </row>
    <row r="374">
      <c r="A374" s="6" t="n"/>
      <c r="D374">
        <f>IF($B374="","", MAXIFS(Repayment_Ledger!$J$2:$J$801,Repayment_Ledger!$A$2:$A$801,$B374))</f>
        <v/>
      </c>
      <c r="E374" s="8">
        <f>IF($B374="","", XLOOKUP($B374,Loan_Register!$A$2:$A$301,Loan_Register!$P$2:$P$301,""))</f>
        <v/>
      </c>
      <c r="F374">
        <f>IF($D374="","", IF($D374=0,"Current", IF($D374&lt;=7,"Early", IF($D374&lt;=30,"Watchlist", IF($D374&lt;=90,"Serious","Critical")))))</f>
        <v/>
      </c>
      <c r="J374" s="6" t="n"/>
    </row>
    <row r="375">
      <c r="A375" s="6" t="n"/>
      <c r="D375">
        <f>IF($B375="","", MAXIFS(Repayment_Ledger!$J$2:$J$801,Repayment_Ledger!$A$2:$A$801,$B375))</f>
        <v/>
      </c>
      <c r="E375" s="8">
        <f>IF($B375="","", XLOOKUP($B375,Loan_Register!$A$2:$A$301,Loan_Register!$P$2:$P$301,""))</f>
        <v/>
      </c>
      <c r="F375">
        <f>IF($D375="","", IF($D375=0,"Current", IF($D375&lt;=7,"Early", IF($D375&lt;=30,"Watchlist", IF($D375&lt;=90,"Serious","Critical")))))</f>
        <v/>
      </c>
      <c r="J375" s="6" t="n"/>
    </row>
    <row r="376">
      <c r="A376" s="6" t="n"/>
      <c r="D376">
        <f>IF($B376="","", MAXIFS(Repayment_Ledger!$J$2:$J$801,Repayment_Ledger!$A$2:$A$801,$B376))</f>
        <v/>
      </c>
      <c r="E376" s="8">
        <f>IF($B376="","", XLOOKUP($B376,Loan_Register!$A$2:$A$301,Loan_Register!$P$2:$P$301,""))</f>
        <v/>
      </c>
      <c r="F376">
        <f>IF($D376="","", IF($D376=0,"Current", IF($D376&lt;=7,"Early", IF($D376&lt;=30,"Watchlist", IF($D376&lt;=90,"Serious","Critical")))))</f>
        <v/>
      </c>
      <c r="J376" s="6" t="n"/>
    </row>
    <row r="377">
      <c r="A377" s="6" t="n"/>
      <c r="D377">
        <f>IF($B377="","", MAXIFS(Repayment_Ledger!$J$2:$J$801,Repayment_Ledger!$A$2:$A$801,$B377))</f>
        <v/>
      </c>
      <c r="E377" s="8">
        <f>IF($B377="","", XLOOKUP($B377,Loan_Register!$A$2:$A$301,Loan_Register!$P$2:$P$301,""))</f>
        <v/>
      </c>
      <c r="F377">
        <f>IF($D377="","", IF($D377=0,"Current", IF($D377&lt;=7,"Early", IF($D377&lt;=30,"Watchlist", IF($D377&lt;=90,"Serious","Critical")))))</f>
        <v/>
      </c>
      <c r="J377" s="6" t="n"/>
    </row>
    <row r="378">
      <c r="A378" s="6" t="n"/>
      <c r="D378">
        <f>IF($B378="","", MAXIFS(Repayment_Ledger!$J$2:$J$801,Repayment_Ledger!$A$2:$A$801,$B378))</f>
        <v/>
      </c>
      <c r="E378" s="8">
        <f>IF($B378="","", XLOOKUP($B378,Loan_Register!$A$2:$A$301,Loan_Register!$P$2:$P$301,""))</f>
        <v/>
      </c>
      <c r="F378">
        <f>IF($D378="","", IF($D378=0,"Current", IF($D378&lt;=7,"Early", IF($D378&lt;=30,"Watchlist", IF($D378&lt;=90,"Serious","Critical")))))</f>
        <v/>
      </c>
      <c r="J378" s="6" t="n"/>
    </row>
    <row r="379">
      <c r="A379" s="6" t="n"/>
      <c r="D379">
        <f>IF($B379="","", MAXIFS(Repayment_Ledger!$J$2:$J$801,Repayment_Ledger!$A$2:$A$801,$B379))</f>
        <v/>
      </c>
      <c r="E379" s="8">
        <f>IF($B379="","", XLOOKUP($B379,Loan_Register!$A$2:$A$301,Loan_Register!$P$2:$P$301,""))</f>
        <v/>
      </c>
      <c r="F379">
        <f>IF($D379="","", IF($D379=0,"Current", IF($D379&lt;=7,"Early", IF($D379&lt;=30,"Watchlist", IF($D379&lt;=90,"Serious","Critical")))))</f>
        <v/>
      </c>
      <c r="J379" s="6" t="n"/>
    </row>
    <row r="380">
      <c r="A380" s="6" t="n"/>
      <c r="D380">
        <f>IF($B380="","", MAXIFS(Repayment_Ledger!$J$2:$J$801,Repayment_Ledger!$A$2:$A$801,$B380))</f>
        <v/>
      </c>
      <c r="E380" s="8">
        <f>IF($B380="","", XLOOKUP($B380,Loan_Register!$A$2:$A$301,Loan_Register!$P$2:$P$301,""))</f>
        <v/>
      </c>
      <c r="F380">
        <f>IF($D380="","", IF($D380=0,"Current", IF($D380&lt;=7,"Early", IF($D380&lt;=30,"Watchlist", IF($D380&lt;=90,"Serious","Critical")))))</f>
        <v/>
      </c>
      <c r="J380" s="6" t="n"/>
    </row>
    <row r="381">
      <c r="A381" s="6" t="n"/>
      <c r="D381">
        <f>IF($B381="","", MAXIFS(Repayment_Ledger!$J$2:$J$801,Repayment_Ledger!$A$2:$A$801,$B381))</f>
        <v/>
      </c>
      <c r="E381" s="8">
        <f>IF($B381="","", XLOOKUP($B381,Loan_Register!$A$2:$A$301,Loan_Register!$P$2:$P$301,""))</f>
        <v/>
      </c>
      <c r="F381">
        <f>IF($D381="","", IF($D381=0,"Current", IF($D381&lt;=7,"Early", IF($D381&lt;=30,"Watchlist", IF($D381&lt;=90,"Serious","Critical")))))</f>
        <v/>
      </c>
      <c r="J381" s="6" t="n"/>
    </row>
    <row r="382">
      <c r="A382" s="6" t="n"/>
      <c r="D382">
        <f>IF($B382="","", MAXIFS(Repayment_Ledger!$J$2:$J$801,Repayment_Ledger!$A$2:$A$801,$B382))</f>
        <v/>
      </c>
      <c r="E382" s="8">
        <f>IF($B382="","", XLOOKUP($B382,Loan_Register!$A$2:$A$301,Loan_Register!$P$2:$P$301,""))</f>
        <v/>
      </c>
      <c r="F382">
        <f>IF($D382="","", IF($D382=0,"Current", IF($D382&lt;=7,"Early", IF($D382&lt;=30,"Watchlist", IF($D382&lt;=90,"Serious","Critical")))))</f>
        <v/>
      </c>
      <c r="J382" s="6" t="n"/>
    </row>
    <row r="383">
      <c r="A383" s="6" t="n"/>
      <c r="D383">
        <f>IF($B383="","", MAXIFS(Repayment_Ledger!$J$2:$J$801,Repayment_Ledger!$A$2:$A$801,$B383))</f>
        <v/>
      </c>
      <c r="E383" s="8">
        <f>IF($B383="","", XLOOKUP($B383,Loan_Register!$A$2:$A$301,Loan_Register!$P$2:$P$301,""))</f>
        <v/>
      </c>
      <c r="F383">
        <f>IF($D383="","", IF($D383=0,"Current", IF($D383&lt;=7,"Early", IF($D383&lt;=30,"Watchlist", IF($D383&lt;=90,"Serious","Critical")))))</f>
        <v/>
      </c>
      <c r="J383" s="6" t="n"/>
    </row>
    <row r="384">
      <c r="A384" s="6" t="n"/>
      <c r="D384">
        <f>IF($B384="","", MAXIFS(Repayment_Ledger!$J$2:$J$801,Repayment_Ledger!$A$2:$A$801,$B384))</f>
        <v/>
      </c>
      <c r="E384" s="8">
        <f>IF($B384="","", XLOOKUP($B384,Loan_Register!$A$2:$A$301,Loan_Register!$P$2:$P$301,""))</f>
        <v/>
      </c>
      <c r="F384">
        <f>IF($D384="","", IF($D384=0,"Current", IF($D384&lt;=7,"Early", IF($D384&lt;=30,"Watchlist", IF($D384&lt;=90,"Serious","Critical")))))</f>
        <v/>
      </c>
      <c r="J384" s="6" t="n"/>
    </row>
    <row r="385">
      <c r="A385" s="6" t="n"/>
      <c r="D385">
        <f>IF($B385="","", MAXIFS(Repayment_Ledger!$J$2:$J$801,Repayment_Ledger!$A$2:$A$801,$B385))</f>
        <v/>
      </c>
      <c r="E385" s="8">
        <f>IF($B385="","", XLOOKUP($B385,Loan_Register!$A$2:$A$301,Loan_Register!$P$2:$P$301,""))</f>
        <v/>
      </c>
      <c r="F385">
        <f>IF($D385="","", IF($D385=0,"Current", IF($D385&lt;=7,"Early", IF($D385&lt;=30,"Watchlist", IF($D385&lt;=90,"Serious","Critical")))))</f>
        <v/>
      </c>
      <c r="J385" s="6" t="n"/>
    </row>
    <row r="386">
      <c r="A386" s="6" t="n"/>
      <c r="D386">
        <f>IF($B386="","", MAXIFS(Repayment_Ledger!$J$2:$J$801,Repayment_Ledger!$A$2:$A$801,$B386))</f>
        <v/>
      </c>
      <c r="E386" s="8">
        <f>IF($B386="","", XLOOKUP($B386,Loan_Register!$A$2:$A$301,Loan_Register!$P$2:$P$301,""))</f>
        <v/>
      </c>
      <c r="F386">
        <f>IF($D386="","", IF($D386=0,"Current", IF($D386&lt;=7,"Early", IF($D386&lt;=30,"Watchlist", IF($D386&lt;=90,"Serious","Critical")))))</f>
        <v/>
      </c>
      <c r="J386" s="6" t="n"/>
    </row>
    <row r="387">
      <c r="A387" s="6" t="n"/>
      <c r="D387">
        <f>IF($B387="","", MAXIFS(Repayment_Ledger!$J$2:$J$801,Repayment_Ledger!$A$2:$A$801,$B387))</f>
        <v/>
      </c>
      <c r="E387" s="8">
        <f>IF($B387="","", XLOOKUP($B387,Loan_Register!$A$2:$A$301,Loan_Register!$P$2:$P$301,""))</f>
        <v/>
      </c>
      <c r="F387">
        <f>IF($D387="","", IF($D387=0,"Current", IF($D387&lt;=7,"Early", IF($D387&lt;=30,"Watchlist", IF($D387&lt;=90,"Serious","Critical")))))</f>
        <v/>
      </c>
      <c r="J387" s="6" t="n"/>
    </row>
    <row r="388">
      <c r="A388" s="6" t="n"/>
      <c r="D388">
        <f>IF($B388="","", MAXIFS(Repayment_Ledger!$J$2:$J$801,Repayment_Ledger!$A$2:$A$801,$B388))</f>
        <v/>
      </c>
      <c r="E388" s="8">
        <f>IF($B388="","", XLOOKUP($B388,Loan_Register!$A$2:$A$301,Loan_Register!$P$2:$P$301,""))</f>
        <v/>
      </c>
      <c r="F388">
        <f>IF($D388="","", IF($D388=0,"Current", IF($D388&lt;=7,"Early", IF($D388&lt;=30,"Watchlist", IF($D388&lt;=90,"Serious","Critical")))))</f>
        <v/>
      </c>
      <c r="J388" s="6" t="n"/>
    </row>
    <row r="389">
      <c r="A389" s="6" t="n"/>
      <c r="D389">
        <f>IF($B389="","", MAXIFS(Repayment_Ledger!$J$2:$J$801,Repayment_Ledger!$A$2:$A$801,$B389))</f>
        <v/>
      </c>
      <c r="E389" s="8">
        <f>IF($B389="","", XLOOKUP($B389,Loan_Register!$A$2:$A$301,Loan_Register!$P$2:$P$301,""))</f>
        <v/>
      </c>
      <c r="F389">
        <f>IF($D389="","", IF($D389=0,"Current", IF($D389&lt;=7,"Early", IF($D389&lt;=30,"Watchlist", IF($D389&lt;=90,"Serious","Critical")))))</f>
        <v/>
      </c>
      <c r="J389" s="6" t="n"/>
    </row>
    <row r="390">
      <c r="A390" s="6" t="n"/>
      <c r="D390">
        <f>IF($B390="","", MAXIFS(Repayment_Ledger!$J$2:$J$801,Repayment_Ledger!$A$2:$A$801,$B390))</f>
        <v/>
      </c>
      <c r="E390" s="8">
        <f>IF($B390="","", XLOOKUP($B390,Loan_Register!$A$2:$A$301,Loan_Register!$P$2:$P$301,""))</f>
        <v/>
      </c>
      <c r="F390">
        <f>IF($D390="","", IF($D390=0,"Current", IF($D390&lt;=7,"Early", IF($D390&lt;=30,"Watchlist", IF($D390&lt;=90,"Serious","Critical")))))</f>
        <v/>
      </c>
      <c r="J390" s="6" t="n"/>
    </row>
    <row r="391">
      <c r="A391" s="6" t="n"/>
      <c r="D391">
        <f>IF($B391="","", MAXIFS(Repayment_Ledger!$J$2:$J$801,Repayment_Ledger!$A$2:$A$801,$B391))</f>
        <v/>
      </c>
      <c r="E391" s="8">
        <f>IF($B391="","", XLOOKUP($B391,Loan_Register!$A$2:$A$301,Loan_Register!$P$2:$P$301,""))</f>
        <v/>
      </c>
      <c r="F391">
        <f>IF($D391="","", IF($D391=0,"Current", IF($D391&lt;=7,"Early", IF($D391&lt;=30,"Watchlist", IF($D391&lt;=90,"Serious","Critical")))))</f>
        <v/>
      </c>
      <c r="J391" s="6" t="n"/>
    </row>
    <row r="392">
      <c r="A392" s="6" t="n"/>
      <c r="D392">
        <f>IF($B392="","", MAXIFS(Repayment_Ledger!$J$2:$J$801,Repayment_Ledger!$A$2:$A$801,$B392))</f>
        <v/>
      </c>
      <c r="E392" s="8">
        <f>IF($B392="","", XLOOKUP($B392,Loan_Register!$A$2:$A$301,Loan_Register!$P$2:$P$301,""))</f>
        <v/>
      </c>
      <c r="F392">
        <f>IF($D392="","", IF($D392=0,"Current", IF($D392&lt;=7,"Early", IF($D392&lt;=30,"Watchlist", IF($D392&lt;=90,"Serious","Critical")))))</f>
        <v/>
      </c>
      <c r="J392" s="6" t="n"/>
    </row>
    <row r="393">
      <c r="A393" s="6" t="n"/>
      <c r="D393">
        <f>IF($B393="","", MAXIFS(Repayment_Ledger!$J$2:$J$801,Repayment_Ledger!$A$2:$A$801,$B393))</f>
        <v/>
      </c>
      <c r="E393" s="8">
        <f>IF($B393="","", XLOOKUP($B393,Loan_Register!$A$2:$A$301,Loan_Register!$P$2:$P$301,""))</f>
        <v/>
      </c>
      <c r="F393">
        <f>IF($D393="","", IF($D393=0,"Current", IF($D393&lt;=7,"Early", IF($D393&lt;=30,"Watchlist", IF($D393&lt;=90,"Serious","Critical")))))</f>
        <v/>
      </c>
      <c r="J393" s="6" t="n"/>
    </row>
    <row r="394">
      <c r="A394" s="6" t="n"/>
      <c r="D394">
        <f>IF($B394="","", MAXIFS(Repayment_Ledger!$J$2:$J$801,Repayment_Ledger!$A$2:$A$801,$B394))</f>
        <v/>
      </c>
      <c r="E394" s="8">
        <f>IF($B394="","", XLOOKUP($B394,Loan_Register!$A$2:$A$301,Loan_Register!$P$2:$P$301,""))</f>
        <v/>
      </c>
      <c r="F394">
        <f>IF($D394="","", IF($D394=0,"Current", IF($D394&lt;=7,"Early", IF($D394&lt;=30,"Watchlist", IF($D394&lt;=90,"Serious","Critical")))))</f>
        <v/>
      </c>
      <c r="J394" s="6" t="n"/>
    </row>
    <row r="395">
      <c r="A395" s="6" t="n"/>
      <c r="D395">
        <f>IF($B395="","", MAXIFS(Repayment_Ledger!$J$2:$J$801,Repayment_Ledger!$A$2:$A$801,$B395))</f>
        <v/>
      </c>
      <c r="E395" s="8">
        <f>IF($B395="","", XLOOKUP($B395,Loan_Register!$A$2:$A$301,Loan_Register!$P$2:$P$301,""))</f>
        <v/>
      </c>
      <c r="F395">
        <f>IF($D395="","", IF($D395=0,"Current", IF($D395&lt;=7,"Early", IF($D395&lt;=30,"Watchlist", IF($D395&lt;=90,"Serious","Critical")))))</f>
        <v/>
      </c>
      <c r="J395" s="6" t="n"/>
    </row>
    <row r="396">
      <c r="A396" s="6" t="n"/>
      <c r="D396">
        <f>IF($B396="","", MAXIFS(Repayment_Ledger!$J$2:$J$801,Repayment_Ledger!$A$2:$A$801,$B396))</f>
        <v/>
      </c>
      <c r="E396" s="8">
        <f>IF($B396="","", XLOOKUP($B396,Loan_Register!$A$2:$A$301,Loan_Register!$P$2:$P$301,""))</f>
        <v/>
      </c>
      <c r="F396">
        <f>IF($D396="","", IF($D396=0,"Current", IF($D396&lt;=7,"Early", IF($D396&lt;=30,"Watchlist", IF($D396&lt;=90,"Serious","Critical")))))</f>
        <v/>
      </c>
      <c r="J396" s="6" t="n"/>
    </row>
    <row r="397">
      <c r="A397" s="6" t="n"/>
      <c r="D397">
        <f>IF($B397="","", MAXIFS(Repayment_Ledger!$J$2:$J$801,Repayment_Ledger!$A$2:$A$801,$B397))</f>
        <v/>
      </c>
      <c r="E397" s="8">
        <f>IF($B397="","", XLOOKUP($B397,Loan_Register!$A$2:$A$301,Loan_Register!$P$2:$P$301,""))</f>
        <v/>
      </c>
      <c r="F397">
        <f>IF($D397="","", IF($D397=0,"Current", IF($D397&lt;=7,"Early", IF($D397&lt;=30,"Watchlist", IF($D397&lt;=90,"Serious","Critical")))))</f>
        <v/>
      </c>
      <c r="J397" s="6" t="n"/>
    </row>
    <row r="398">
      <c r="A398" s="6" t="n"/>
      <c r="D398">
        <f>IF($B398="","", MAXIFS(Repayment_Ledger!$J$2:$J$801,Repayment_Ledger!$A$2:$A$801,$B398))</f>
        <v/>
      </c>
      <c r="E398" s="8">
        <f>IF($B398="","", XLOOKUP($B398,Loan_Register!$A$2:$A$301,Loan_Register!$P$2:$P$301,""))</f>
        <v/>
      </c>
      <c r="F398">
        <f>IF($D398="","", IF($D398=0,"Current", IF($D398&lt;=7,"Early", IF($D398&lt;=30,"Watchlist", IF($D398&lt;=90,"Serious","Critical")))))</f>
        <v/>
      </c>
      <c r="J398" s="6" t="n"/>
    </row>
    <row r="399">
      <c r="A399" s="6" t="n"/>
      <c r="D399">
        <f>IF($B399="","", MAXIFS(Repayment_Ledger!$J$2:$J$801,Repayment_Ledger!$A$2:$A$801,$B399))</f>
        <v/>
      </c>
      <c r="E399" s="8">
        <f>IF($B399="","", XLOOKUP($B399,Loan_Register!$A$2:$A$301,Loan_Register!$P$2:$P$301,""))</f>
        <v/>
      </c>
      <c r="F399">
        <f>IF($D399="","", IF($D399=0,"Current", IF($D399&lt;=7,"Early", IF($D399&lt;=30,"Watchlist", IF($D399&lt;=90,"Serious","Critical")))))</f>
        <v/>
      </c>
      <c r="J399" s="6" t="n"/>
    </row>
    <row r="400">
      <c r="A400" s="6" t="n"/>
      <c r="D400">
        <f>IF($B400="","", MAXIFS(Repayment_Ledger!$J$2:$J$801,Repayment_Ledger!$A$2:$A$801,$B400))</f>
        <v/>
      </c>
      <c r="E400" s="8">
        <f>IF($B400="","", XLOOKUP($B400,Loan_Register!$A$2:$A$301,Loan_Register!$P$2:$P$301,""))</f>
        <v/>
      </c>
      <c r="F400">
        <f>IF($D400="","", IF($D400=0,"Current", IF($D400&lt;=7,"Early", IF($D400&lt;=30,"Watchlist", IF($D400&lt;=90,"Serious","Critical")))))</f>
        <v/>
      </c>
      <c r="J400" s="6" t="n"/>
    </row>
    <row r="401">
      <c r="A401" s="6" t="n"/>
      <c r="D401">
        <f>IF($B401="","", MAXIFS(Repayment_Ledger!$J$2:$J$801,Repayment_Ledger!$A$2:$A$801,$B401))</f>
        <v/>
      </c>
      <c r="E401" s="8">
        <f>IF($B401="","", XLOOKUP($B401,Loan_Register!$A$2:$A$301,Loan_Register!$P$2:$P$301,""))</f>
        <v/>
      </c>
      <c r="F401">
        <f>IF($D401="","", IF($D401=0,"Current", IF($D401&lt;=7,"Early", IF($D401&lt;=30,"Watchlist", IF($D401&lt;=90,"Serious","Critical")))))</f>
        <v/>
      </c>
      <c r="J401" s="6" t="n"/>
    </row>
  </sheetData>
  <dataValidations count="3">
    <dataValidation sqref="B2:B401" showDropDown="0" showInputMessage="0" showErrorMessage="0" allowBlank="1" type="list">
      <formula1>=LoanIDs</formula1>
    </dataValidation>
    <dataValidation sqref="G2:G401" showDropDown="0" showInputMessage="0" showErrorMessage="0" allowBlank="1" type="list">
      <formula1>=StaffNames</formula1>
    </dataValidation>
    <dataValidation sqref="I2:I401" showDropDown="0" showInputMessage="0" showErrorMessage="0" allowBlank="1" type="list">
      <formula1>=StatusList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8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2" customWidth="1" min="5" max="5"/>
    <col width="16" customWidth="1" min="6" max="6"/>
    <col width="14" customWidth="1" min="7" max="7"/>
    <col width="14" customWidth="1" min="8" max="8"/>
    <col width="14" customWidth="1" min="9" max="9"/>
    <col width="18" customWidth="1" min="10" max="10"/>
    <col width="14" customWidth="1" min="11" max="11"/>
    <col width="14" customWidth="1" min="12" max="12"/>
    <col width="24" customWidth="1" min="13" max="13"/>
  </cols>
  <sheetData>
    <row r="1" ht="28" customHeight="1">
      <c r="A1" s="3" t="inlineStr">
        <is>
          <t>Reminder ID</t>
        </is>
      </c>
      <c r="B1" s="3" t="inlineStr">
        <is>
          <t>Date Sent</t>
        </is>
      </c>
      <c r="C1" s="3" t="inlineStr">
        <is>
          <t>Loan ID</t>
        </is>
      </c>
      <c r="D1" s="3" t="inlineStr">
        <is>
          <t>Client ID</t>
        </is>
      </c>
      <c r="E1" s="3" t="inlineStr">
        <is>
          <t>Channel</t>
        </is>
      </c>
      <c r="F1" s="3" t="inlineStr">
        <is>
          <t>Reminder Type</t>
        </is>
      </c>
      <c r="G1" s="3" t="inlineStr">
        <is>
          <t>Due Date</t>
        </is>
      </c>
      <c r="H1" s="3" t="inlineStr">
        <is>
          <t>Amount Due</t>
        </is>
      </c>
      <c r="I1" s="3" t="inlineStr">
        <is>
          <t>Days Past Due</t>
        </is>
      </c>
      <c r="J1" s="3" t="inlineStr">
        <is>
          <t>Sent By</t>
        </is>
      </c>
      <c r="K1" s="3" t="inlineStr">
        <is>
          <t>Result</t>
        </is>
      </c>
      <c r="L1" s="3" t="inlineStr">
        <is>
          <t>Follow-up Date</t>
        </is>
      </c>
      <c r="M1" s="3" t="inlineStr">
        <is>
          <t>Notes</t>
        </is>
      </c>
    </row>
    <row r="2">
      <c r="A2" s="4">
        <f>IF($C2="","", "REM"&amp;TEXT(ROW()-1,"0000"))</f>
        <v/>
      </c>
      <c r="B2" s="5" t="n"/>
      <c r="C2" s="4" t="n"/>
      <c r="D2" s="4" t="n"/>
      <c r="E2" s="4" t="n"/>
      <c r="F2" s="4" t="n"/>
      <c r="G2" s="5" t="n"/>
      <c r="H2" s="7" t="n"/>
      <c r="I2" s="4">
        <f>IF($G2="","", MAX(0, TODAY()-$G2))</f>
        <v/>
      </c>
      <c r="J2" s="4" t="n"/>
      <c r="K2" s="4" t="n"/>
      <c r="L2" s="5" t="n"/>
      <c r="M2" s="4" t="n"/>
    </row>
    <row r="3">
      <c r="A3" s="4">
        <f>IF($C3="","", "REM"&amp;TEXT(ROW()-1,"0000"))</f>
        <v/>
      </c>
      <c r="B3" s="5" t="n"/>
      <c r="C3" s="4" t="n"/>
      <c r="D3" s="4" t="n"/>
      <c r="E3" s="4" t="n"/>
      <c r="F3" s="4" t="n"/>
      <c r="G3" s="5" t="n"/>
      <c r="H3" s="7" t="n"/>
      <c r="I3" s="4">
        <f>IF($G3="","", MAX(0, TODAY()-$G3))</f>
        <v/>
      </c>
      <c r="J3" s="4" t="n"/>
      <c r="K3" s="4" t="n"/>
      <c r="L3" s="5" t="n"/>
      <c r="M3" s="4" t="n"/>
    </row>
    <row r="4">
      <c r="A4" s="4">
        <f>IF($C4="","", "REM"&amp;TEXT(ROW()-1,"0000"))</f>
        <v/>
      </c>
      <c r="B4" s="5" t="n"/>
      <c r="C4" s="4" t="n"/>
      <c r="D4" s="4" t="n"/>
      <c r="E4" s="4" t="n"/>
      <c r="F4" s="4" t="n"/>
      <c r="G4" s="5" t="n"/>
      <c r="H4" s="7" t="n"/>
      <c r="I4" s="4">
        <f>IF($G4="","", MAX(0, TODAY()-$G4))</f>
        <v/>
      </c>
      <c r="J4" s="4" t="n"/>
      <c r="K4" s="4" t="n"/>
      <c r="L4" s="5" t="n"/>
      <c r="M4" s="4" t="n"/>
    </row>
    <row r="5">
      <c r="A5" s="4">
        <f>IF($C5="","", "REM"&amp;TEXT(ROW()-1,"0000"))</f>
        <v/>
      </c>
      <c r="B5" s="5" t="n"/>
      <c r="C5" s="4" t="n"/>
      <c r="D5" s="4" t="n"/>
      <c r="E5" s="4" t="n"/>
      <c r="F5" s="4" t="n"/>
      <c r="G5" s="5" t="n"/>
      <c r="H5" s="7" t="n"/>
      <c r="I5" s="4">
        <f>IF($G5="","", MAX(0, TODAY()-$G5))</f>
        <v/>
      </c>
      <c r="J5" s="4" t="n"/>
      <c r="K5" s="4" t="n"/>
      <c r="L5" s="5" t="n"/>
      <c r="M5" s="4" t="n"/>
    </row>
    <row r="6">
      <c r="A6" s="4">
        <f>IF($C6="","", "REM"&amp;TEXT(ROW()-1,"0000"))</f>
        <v/>
      </c>
      <c r="B6" s="5" t="n"/>
      <c r="C6" s="4" t="n"/>
      <c r="D6" s="4" t="n"/>
      <c r="E6" s="4" t="n"/>
      <c r="F6" s="4" t="n"/>
      <c r="G6" s="5" t="n"/>
      <c r="H6" s="7" t="n"/>
      <c r="I6" s="4">
        <f>IF($G6="","", MAX(0, TODAY()-$G6))</f>
        <v/>
      </c>
      <c r="J6" s="4" t="n"/>
      <c r="K6" s="4" t="n"/>
      <c r="L6" s="5" t="n"/>
      <c r="M6" s="4" t="n"/>
    </row>
    <row r="7">
      <c r="A7" s="4">
        <f>IF($C7="","", "REM"&amp;TEXT(ROW()-1,"0000"))</f>
        <v/>
      </c>
      <c r="B7" s="5" t="n"/>
      <c r="C7" s="4" t="n"/>
      <c r="D7" s="4" t="n"/>
      <c r="E7" s="4" t="n"/>
      <c r="F7" s="4" t="n"/>
      <c r="G7" s="5" t="n"/>
      <c r="H7" s="7" t="n"/>
      <c r="I7" s="4">
        <f>IF($G7="","", MAX(0, TODAY()-$G7))</f>
        <v/>
      </c>
      <c r="J7" s="4" t="n"/>
      <c r="K7" s="4" t="n"/>
      <c r="L7" s="5" t="n"/>
      <c r="M7" s="4" t="n"/>
    </row>
    <row r="8">
      <c r="A8" s="4">
        <f>IF($C8="","", "REM"&amp;TEXT(ROW()-1,"0000"))</f>
        <v/>
      </c>
      <c r="B8" s="5" t="n"/>
      <c r="C8" s="4" t="n"/>
      <c r="D8" s="4" t="n"/>
      <c r="E8" s="4" t="n"/>
      <c r="F8" s="4" t="n"/>
      <c r="G8" s="5" t="n"/>
      <c r="H8" s="7" t="n"/>
      <c r="I8" s="4">
        <f>IF($G8="","", MAX(0, TODAY()-$G8))</f>
        <v/>
      </c>
      <c r="J8" s="4" t="n"/>
      <c r="K8" s="4" t="n"/>
      <c r="L8" s="5" t="n"/>
      <c r="M8" s="4" t="n"/>
    </row>
    <row r="9">
      <c r="A9" s="4">
        <f>IF($C9="","", "REM"&amp;TEXT(ROW()-1,"0000"))</f>
        <v/>
      </c>
      <c r="B9" s="5" t="n"/>
      <c r="C9" s="4" t="n"/>
      <c r="D9" s="4" t="n"/>
      <c r="E9" s="4" t="n"/>
      <c r="F9" s="4" t="n"/>
      <c r="G9" s="5" t="n"/>
      <c r="H9" s="7" t="n"/>
      <c r="I9" s="4">
        <f>IF($G9="","", MAX(0, TODAY()-$G9))</f>
        <v/>
      </c>
      <c r="J9" s="4" t="n"/>
      <c r="K9" s="4" t="n"/>
      <c r="L9" s="5" t="n"/>
      <c r="M9" s="4" t="n"/>
    </row>
    <row r="10">
      <c r="A10" s="4">
        <f>IF($C10="","", "REM"&amp;TEXT(ROW()-1,"0000"))</f>
        <v/>
      </c>
      <c r="B10" s="5" t="n"/>
      <c r="C10" s="4" t="n"/>
      <c r="D10" s="4" t="n"/>
      <c r="E10" s="4" t="n"/>
      <c r="F10" s="4" t="n"/>
      <c r="G10" s="5" t="n"/>
      <c r="H10" s="7" t="n"/>
      <c r="I10" s="4">
        <f>IF($G10="","", MAX(0, TODAY()-$G10))</f>
        <v/>
      </c>
      <c r="J10" s="4" t="n"/>
      <c r="K10" s="4" t="n"/>
      <c r="L10" s="5" t="n"/>
      <c r="M10" s="4" t="n"/>
    </row>
    <row r="11">
      <c r="A11" s="4">
        <f>IF($C11="","", "REM"&amp;TEXT(ROW()-1,"0000"))</f>
        <v/>
      </c>
      <c r="B11" s="5" t="n"/>
      <c r="C11" s="4" t="n"/>
      <c r="D11" s="4" t="n"/>
      <c r="E11" s="4" t="n"/>
      <c r="F11" s="4" t="n"/>
      <c r="G11" s="5" t="n"/>
      <c r="H11" s="7" t="n"/>
      <c r="I11" s="4">
        <f>IF($G11="","", MAX(0, TODAY()-$G11))</f>
        <v/>
      </c>
      <c r="J11" s="4" t="n"/>
      <c r="K11" s="4" t="n"/>
      <c r="L11" s="5" t="n"/>
      <c r="M11" s="4" t="n"/>
    </row>
    <row r="12">
      <c r="A12" s="4">
        <f>IF($C12="","", "REM"&amp;TEXT(ROW()-1,"0000"))</f>
        <v/>
      </c>
      <c r="B12" s="5" t="n"/>
      <c r="C12" s="4" t="n"/>
      <c r="D12" s="4" t="n"/>
      <c r="E12" s="4" t="n"/>
      <c r="F12" s="4" t="n"/>
      <c r="G12" s="5" t="n"/>
      <c r="H12" s="7" t="n"/>
      <c r="I12" s="4">
        <f>IF($G12="","", MAX(0, TODAY()-$G12))</f>
        <v/>
      </c>
      <c r="J12" s="4" t="n"/>
      <c r="K12" s="4" t="n"/>
      <c r="L12" s="5" t="n"/>
      <c r="M12" s="4" t="n"/>
    </row>
    <row r="13">
      <c r="A13" s="4">
        <f>IF($C13="","", "REM"&amp;TEXT(ROW()-1,"0000"))</f>
        <v/>
      </c>
      <c r="B13" s="5" t="n"/>
      <c r="C13" s="4" t="n"/>
      <c r="D13" s="4" t="n"/>
      <c r="E13" s="4" t="n"/>
      <c r="F13" s="4" t="n"/>
      <c r="G13" s="5" t="n"/>
      <c r="H13" s="7" t="n"/>
      <c r="I13" s="4">
        <f>IF($G13="","", MAX(0, TODAY()-$G13))</f>
        <v/>
      </c>
      <c r="J13" s="4" t="n"/>
      <c r="K13" s="4" t="n"/>
      <c r="L13" s="5" t="n"/>
      <c r="M13" s="4" t="n"/>
    </row>
    <row r="14">
      <c r="A14" s="4">
        <f>IF($C14="","", "REM"&amp;TEXT(ROW()-1,"0000"))</f>
        <v/>
      </c>
      <c r="B14" s="5" t="n"/>
      <c r="C14" s="4" t="n"/>
      <c r="D14" s="4" t="n"/>
      <c r="E14" s="4" t="n"/>
      <c r="F14" s="4" t="n"/>
      <c r="G14" s="5" t="n"/>
      <c r="H14" s="7" t="n"/>
      <c r="I14" s="4">
        <f>IF($G14="","", MAX(0, TODAY()-$G14))</f>
        <v/>
      </c>
      <c r="J14" s="4" t="n"/>
      <c r="K14" s="4" t="n"/>
      <c r="L14" s="5" t="n"/>
      <c r="M14" s="4" t="n"/>
    </row>
    <row r="15">
      <c r="A15" s="4">
        <f>IF($C15="","", "REM"&amp;TEXT(ROW()-1,"0000"))</f>
        <v/>
      </c>
      <c r="B15" s="5" t="n"/>
      <c r="C15" s="4" t="n"/>
      <c r="D15" s="4" t="n"/>
      <c r="E15" s="4" t="n"/>
      <c r="F15" s="4" t="n"/>
      <c r="G15" s="5" t="n"/>
      <c r="H15" s="7" t="n"/>
      <c r="I15" s="4">
        <f>IF($G15="","", MAX(0, TODAY()-$G15))</f>
        <v/>
      </c>
      <c r="J15" s="4" t="n"/>
      <c r="K15" s="4" t="n"/>
      <c r="L15" s="5" t="n"/>
      <c r="M15" s="4" t="n"/>
    </row>
    <row r="16">
      <c r="A16" s="4">
        <f>IF($C16="","", "REM"&amp;TEXT(ROW()-1,"0000"))</f>
        <v/>
      </c>
      <c r="B16" s="5" t="n"/>
      <c r="C16" s="4" t="n"/>
      <c r="D16" s="4" t="n"/>
      <c r="E16" s="4" t="n"/>
      <c r="F16" s="4" t="n"/>
      <c r="G16" s="5" t="n"/>
      <c r="H16" s="7" t="n"/>
      <c r="I16" s="4">
        <f>IF($G16="","", MAX(0, TODAY()-$G16))</f>
        <v/>
      </c>
      <c r="J16" s="4" t="n"/>
      <c r="K16" s="4" t="n"/>
      <c r="L16" s="5" t="n"/>
      <c r="M16" s="4" t="n"/>
    </row>
    <row r="17">
      <c r="A17" s="4">
        <f>IF($C17="","", "REM"&amp;TEXT(ROW()-1,"0000"))</f>
        <v/>
      </c>
      <c r="B17" s="5" t="n"/>
      <c r="C17" s="4" t="n"/>
      <c r="D17" s="4" t="n"/>
      <c r="E17" s="4" t="n"/>
      <c r="F17" s="4" t="n"/>
      <c r="G17" s="5" t="n"/>
      <c r="H17" s="7" t="n"/>
      <c r="I17" s="4">
        <f>IF($G17="","", MAX(0, TODAY()-$G17))</f>
        <v/>
      </c>
      <c r="J17" s="4" t="n"/>
      <c r="K17" s="4" t="n"/>
      <c r="L17" s="5" t="n"/>
      <c r="M17" s="4" t="n"/>
    </row>
    <row r="18">
      <c r="A18" s="4">
        <f>IF($C18="","", "REM"&amp;TEXT(ROW()-1,"0000"))</f>
        <v/>
      </c>
      <c r="B18" s="5" t="n"/>
      <c r="C18" s="4" t="n"/>
      <c r="D18" s="4" t="n"/>
      <c r="E18" s="4" t="n"/>
      <c r="F18" s="4" t="n"/>
      <c r="G18" s="5" t="n"/>
      <c r="H18" s="7" t="n"/>
      <c r="I18" s="4">
        <f>IF($G18="","", MAX(0, TODAY()-$G18))</f>
        <v/>
      </c>
      <c r="J18" s="4" t="n"/>
      <c r="K18" s="4" t="n"/>
      <c r="L18" s="5" t="n"/>
      <c r="M18" s="4" t="n"/>
    </row>
    <row r="19">
      <c r="A19" s="4">
        <f>IF($C19="","", "REM"&amp;TEXT(ROW()-1,"0000"))</f>
        <v/>
      </c>
      <c r="B19" s="5" t="n"/>
      <c r="C19" s="4" t="n"/>
      <c r="D19" s="4" t="n"/>
      <c r="E19" s="4" t="n"/>
      <c r="F19" s="4" t="n"/>
      <c r="G19" s="5" t="n"/>
      <c r="H19" s="7" t="n"/>
      <c r="I19" s="4">
        <f>IF($G19="","", MAX(0, TODAY()-$G19))</f>
        <v/>
      </c>
      <c r="J19" s="4" t="n"/>
      <c r="K19" s="4" t="n"/>
      <c r="L19" s="5" t="n"/>
      <c r="M19" s="4" t="n"/>
    </row>
    <row r="20">
      <c r="A20" s="4">
        <f>IF($C20="","", "REM"&amp;TEXT(ROW()-1,"0000"))</f>
        <v/>
      </c>
      <c r="B20" s="5" t="n"/>
      <c r="C20" s="4" t="n"/>
      <c r="D20" s="4" t="n"/>
      <c r="E20" s="4" t="n"/>
      <c r="F20" s="4" t="n"/>
      <c r="G20" s="5" t="n"/>
      <c r="H20" s="7" t="n"/>
      <c r="I20" s="4">
        <f>IF($G20="","", MAX(0, TODAY()-$G20))</f>
        <v/>
      </c>
      <c r="J20" s="4" t="n"/>
      <c r="K20" s="4" t="n"/>
      <c r="L20" s="5" t="n"/>
      <c r="M20" s="4" t="n"/>
    </row>
    <row r="21">
      <c r="A21" s="4">
        <f>IF($C21="","", "REM"&amp;TEXT(ROW()-1,"0000"))</f>
        <v/>
      </c>
      <c r="B21" s="5" t="n"/>
      <c r="C21" s="4" t="n"/>
      <c r="D21" s="4" t="n"/>
      <c r="E21" s="4" t="n"/>
      <c r="F21" s="4" t="n"/>
      <c r="G21" s="5" t="n"/>
      <c r="H21" s="7" t="n"/>
      <c r="I21" s="4">
        <f>IF($G21="","", MAX(0, TODAY()-$G21))</f>
        <v/>
      </c>
      <c r="J21" s="4" t="n"/>
      <c r="K21" s="4" t="n"/>
      <c r="L21" s="5" t="n"/>
      <c r="M21" s="4" t="n"/>
    </row>
    <row r="22">
      <c r="A22" s="4">
        <f>IF($C22="","", "REM"&amp;TEXT(ROW()-1,"0000"))</f>
        <v/>
      </c>
      <c r="B22" s="5" t="n"/>
      <c r="C22" s="4" t="n"/>
      <c r="D22" s="4" t="n"/>
      <c r="E22" s="4" t="n"/>
      <c r="F22" s="4" t="n"/>
      <c r="G22" s="5" t="n"/>
      <c r="H22" s="7" t="n"/>
      <c r="I22" s="4">
        <f>IF($G22="","", MAX(0, TODAY()-$G22))</f>
        <v/>
      </c>
      <c r="J22" s="4" t="n"/>
      <c r="K22" s="4" t="n"/>
      <c r="L22" s="5" t="n"/>
      <c r="M22" s="4" t="n"/>
    </row>
    <row r="23">
      <c r="A23" s="4">
        <f>IF($C23="","", "REM"&amp;TEXT(ROW()-1,"0000"))</f>
        <v/>
      </c>
      <c r="B23" s="5" t="n"/>
      <c r="C23" s="4" t="n"/>
      <c r="D23" s="4" t="n"/>
      <c r="E23" s="4" t="n"/>
      <c r="F23" s="4" t="n"/>
      <c r="G23" s="5" t="n"/>
      <c r="H23" s="7" t="n"/>
      <c r="I23" s="4">
        <f>IF($G23="","", MAX(0, TODAY()-$G23))</f>
        <v/>
      </c>
      <c r="J23" s="4" t="n"/>
      <c r="K23" s="4" t="n"/>
      <c r="L23" s="5" t="n"/>
      <c r="M23" s="4" t="n"/>
    </row>
    <row r="24">
      <c r="A24" s="4">
        <f>IF($C24="","", "REM"&amp;TEXT(ROW()-1,"0000"))</f>
        <v/>
      </c>
      <c r="B24" s="5" t="n"/>
      <c r="C24" s="4" t="n"/>
      <c r="D24" s="4" t="n"/>
      <c r="E24" s="4" t="n"/>
      <c r="F24" s="4" t="n"/>
      <c r="G24" s="5" t="n"/>
      <c r="H24" s="7" t="n"/>
      <c r="I24" s="4">
        <f>IF($G24="","", MAX(0, TODAY()-$G24))</f>
        <v/>
      </c>
      <c r="J24" s="4" t="n"/>
      <c r="K24" s="4" t="n"/>
      <c r="L24" s="5" t="n"/>
      <c r="M24" s="4" t="n"/>
    </row>
    <row r="25">
      <c r="A25" s="4">
        <f>IF($C25="","", "REM"&amp;TEXT(ROW()-1,"0000"))</f>
        <v/>
      </c>
      <c r="B25" s="5" t="n"/>
      <c r="C25" s="4" t="n"/>
      <c r="D25" s="4" t="n"/>
      <c r="E25" s="4" t="n"/>
      <c r="F25" s="4" t="n"/>
      <c r="G25" s="5" t="n"/>
      <c r="H25" s="7" t="n"/>
      <c r="I25" s="4">
        <f>IF($G25="","", MAX(0, TODAY()-$G25))</f>
        <v/>
      </c>
      <c r="J25" s="4" t="n"/>
      <c r="K25" s="4" t="n"/>
      <c r="L25" s="5" t="n"/>
      <c r="M25" s="4" t="n"/>
    </row>
    <row r="26">
      <c r="A26" s="4">
        <f>IF($C26="","", "REM"&amp;TEXT(ROW()-1,"0000"))</f>
        <v/>
      </c>
      <c r="B26" s="5" t="n"/>
      <c r="C26" s="4" t="n"/>
      <c r="D26" s="4" t="n"/>
      <c r="E26" s="4" t="n"/>
      <c r="F26" s="4" t="n"/>
      <c r="G26" s="5" t="n"/>
      <c r="H26" s="7" t="n"/>
      <c r="I26" s="4">
        <f>IF($G26="","", MAX(0, TODAY()-$G26))</f>
        <v/>
      </c>
      <c r="J26" s="4" t="n"/>
      <c r="K26" s="4" t="n"/>
      <c r="L26" s="5" t="n"/>
      <c r="M26" s="4" t="n"/>
    </row>
    <row r="27">
      <c r="A27" s="4">
        <f>IF($C27="","", "REM"&amp;TEXT(ROW()-1,"0000"))</f>
        <v/>
      </c>
      <c r="B27" s="5" t="n"/>
      <c r="C27" s="4" t="n"/>
      <c r="D27" s="4" t="n"/>
      <c r="E27" s="4" t="n"/>
      <c r="F27" s="4" t="n"/>
      <c r="G27" s="5" t="n"/>
      <c r="H27" s="7" t="n"/>
      <c r="I27" s="4">
        <f>IF($G27="","", MAX(0, TODAY()-$G27))</f>
        <v/>
      </c>
      <c r="J27" s="4" t="n"/>
      <c r="K27" s="4" t="n"/>
      <c r="L27" s="5" t="n"/>
      <c r="M27" s="4" t="n"/>
    </row>
    <row r="28">
      <c r="A28" s="4">
        <f>IF($C28="","", "REM"&amp;TEXT(ROW()-1,"0000"))</f>
        <v/>
      </c>
      <c r="B28" s="5" t="n"/>
      <c r="C28" s="4" t="n"/>
      <c r="D28" s="4" t="n"/>
      <c r="E28" s="4" t="n"/>
      <c r="F28" s="4" t="n"/>
      <c r="G28" s="5" t="n"/>
      <c r="H28" s="7" t="n"/>
      <c r="I28" s="4">
        <f>IF($G28="","", MAX(0, TODAY()-$G28))</f>
        <v/>
      </c>
      <c r="J28" s="4" t="n"/>
      <c r="K28" s="4" t="n"/>
      <c r="L28" s="5" t="n"/>
      <c r="M28" s="4" t="n"/>
    </row>
    <row r="29">
      <c r="A29" s="4">
        <f>IF($C29="","", "REM"&amp;TEXT(ROW()-1,"0000"))</f>
        <v/>
      </c>
      <c r="B29" s="5" t="n"/>
      <c r="C29" s="4" t="n"/>
      <c r="D29" s="4" t="n"/>
      <c r="E29" s="4" t="n"/>
      <c r="F29" s="4" t="n"/>
      <c r="G29" s="5" t="n"/>
      <c r="H29" s="7" t="n"/>
      <c r="I29" s="4">
        <f>IF($G29="","", MAX(0, TODAY()-$G29))</f>
        <v/>
      </c>
      <c r="J29" s="4" t="n"/>
      <c r="K29" s="4" t="n"/>
      <c r="L29" s="5" t="n"/>
      <c r="M29" s="4" t="n"/>
    </row>
    <row r="30">
      <c r="A30" s="4">
        <f>IF($C30="","", "REM"&amp;TEXT(ROW()-1,"0000"))</f>
        <v/>
      </c>
      <c r="B30" s="5" t="n"/>
      <c r="C30" s="4" t="n"/>
      <c r="D30" s="4" t="n"/>
      <c r="E30" s="4" t="n"/>
      <c r="F30" s="4" t="n"/>
      <c r="G30" s="5" t="n"/>
      <c r="H30" s="7" t="n"/>
      <c r="I30" s="4">
        <f>IF($G30="","", MAX(0, TODAY()-$G30))</f>
        <v/>
      </c>
      <c r="J30" s="4" t="n"/>
      <c r="K30" s="4" t="n"/>
      <c r="L30" s="5" t="n"/>
      <c r="M30" s="4" t="n"/>
    </row>
    <row r="31">
      <c r="A31" s="4">
        <f>IF($C31="","", "REM"&amp;TEXT(ROW()-1,"0000"))</f>
        <v/>
      </c>
      <c r="B31" s="5" t="n"/>
      <c r="C31" s="4" t="n"/>
      <c r="D31" s="4" t="n"/>
      <c r="E31" s="4" t="n"/>
      <c r="F31" s="4" t="n"/>
      <c r="G31" s="5" t="n"/>
      <c r="H31" s="7" t="n"/>
      <c r="I31" s="4">
        <f>IF($G31="","", MAX(0, TODAY()-$G31))</f>
        <v/>
      </c>
      <c r="J31" s="4" t="n"/>
      <c r="K31" s="4" t="n"/>
      <c r="L31" s="5" t="n"/>
      <c r="M31" s="4" t="n"/>
    </row>
    <row r="32">
      <c r="A32" s="4">
        <f>IF($C32="","", "REM"&amp;TEXT(ROW()-1,"0000"))</f>
        <v/>
      </c>
      <c r="B32" s="5" t="n"/>
      <c r="C32" s="4" t="n"/>
      <c r="D32" s="4" t="n"/>
      <c r="E32" s="4" t="n"/>
      <c r="F32" s="4" t="n"/>
      <c r="G32" s="5" t="n"/>
      <c r="H32" s="7" t="n"/>
      <c r="I32" s="4">
        <f>IF($G32="","", MAX(0, TODAY()-$G32))</f>
        <v/>
      </c>
      <c r="J32" s="4" t="n"/>
      <c r="K32" s="4" t="n"/>
      <c r="L32" s="5" t="n"/>
      <c r="M32" s="4" t="n"/>
    </row>
    <row r="33">
      <c r="A33" s="4">
        <f>IF($C33="","", "REM"&amp;TEXT(ROW()-1,"0000"))</f>
        <v/>
      </c>
      <c r="B33" s="5" t="n"/>
      <c r="C33" s="4" t="n"/>
      <c r="D33" s="4" t="n"/>
      <c r="E33" s="4" t="n"/>
      <c r="F33" s="4" t="n"/>
      <c r="G33" s="5" t="n"/>
      <c r="H33" s="7" t="n"/>
      <c r="I33" s="4">
        <f>IF($G33="","", MAX(0, TODAY()-$G33))</f>
        <v/>
      </c>
      <c r="J33" s="4" t="n"/>
      <c r="K33" s="4" t="n"/>
      <c r="L33" s="5" t="n"/>
      <c r="M33" s="4" t="n"/>
    </row>
    <row r="34">
      <c r="A34" s="4">
        <f>IF($C34="","", "REM"&amp;TEXT(ROW()-1,"0000"))</f>
        <v/>
      </c>
      <c r="B34" s="5" t="n"/>
      <c r="C34" s="4" t="n"/>
      <c r="D34" s="4" t="n"/>
      <c r="E34" s="4" t="n"/>
      <c r="F34" s="4" t="n"/>
      <c r="G34" s="5" t="n"/>
      <c r="H34" s="7" t="n"/>
      <c r="I34" s="4">
        <f>IF($G34="","", MAX(0, TODAY()-$G34))</f>
        <v/>
      </c>
      <c r="J34" s="4" t="n"/>
      <c r="K34" s="4" t="n"/>
      <c r="L34" s="5" t="n"/>
      <c r="M34" s="4" t="n"/>
    </row>
    <row r="35">
      <c r="A35" s="4">
        <f>IF($C35="","", "REM"&amp;TEXT(ROW()-1,"0000"))</f>
        <v/>
      </c>
      <c r="B35" s="5" t="n"/>
      <c r="C35" s="4" t="n"/>
      <c r="D35" s="4" t="n"/>
      <c r="E35" s="4" t="n"/>
      <c r="F35" s="4" t="n"/>
      <c r="G35" s="5" t="n"/>
      <c r="H35" s="7" t="n"/>
      <c r="I35" s="4">
        <f>IF($G35="","", MAX(0, TODAY()-$G35))</f>
        <v/>
      </c>
      <c r="J35" s="4" t="n"/>
      <c r="K35" s="4" t="n"/>
      <c r="L35" s="5" t="n"/>
      <c r="M35" s="4" t="n"/>
    </row>
    <row r="36">
      <c r="A36" s="4">
        <f>IF($C36="","", "REM"&amp;TEXT(ROW()-1,"0000"))</f>
        <v/>
      </c>
      <c r="B36" s="5" t="n"/>
      <c r="C36" s="4" t="n"/>
      <c r="D36" s="4" t="n"/>
      <c r="E36" s="4" t="n"/>
      <c r="F36" s="4" t="n"/>
      <c r="G36" s="5" t="n"/>
      <c r="H36" s="7" t="n"/>
      <c r="I36" s="4">
        <f>IF($G36="","", MAX(0, TODAY()-$G36))</f>
        <v/>
      </c>
      <c r="J36" s="4" t="n"/>
      <c r="K36" s="4" t="n"/>
      <c r="L36" s="5" t="n"/>
      <c r="M36" s="4" t="n"/>
    </row>
    <row r="37">
      <c r="A37" s="4">
        <f>IF($C37="","", "REM"&amp;TEXT(ROW()-1,"0000"))</f>
        <v/>
      </c>
      <c r="B37" s="5" t="n"/>
      <c r="C37" s="4" t="n"/>
      <c r="D37" s="4" t="n"/>
      <c r="E37" s="4" t="n"/>
      <c r="F37" s="4" t="n"/>
      <c r="G37" s="5" t="n"/>
      <c r="H37" s="7" t="n"/>
      <c r="I37" s="4">
        <f>IF($G37="","", MAX(0, TODAY()-$G37))</f>
        <v/>
      </c>
      <c r="J37" s="4" t="n"/>
      <c r="K37" s="4" t="n"/>
      <c r="L37" s="5" t="n"/>
      <c r="M37" s="4" t="n"/>
    </row>
    <row r="38">
      <c r="A38" s="4">
        <f>IF($C38="","", "REM"&amp;TEXT(ROW()-1,"0000"))</f>
        <v/>
      </c>
      <c r="B38" s="5" t="n"/>
      <c r="C38" s="4" t="n"/>
      <c r="D38" s="4" t="n"/>
      <c r="E38" s="4" t="n"/>
      <c r="F38" s="4" t="n"/>
      <c r="G38" s="5" t="n"/>
      <c r="H38" s="7" t="n"/>
      <c r="I38" s="4">
        <f>IF($G38="","", MAX(0, TODAY()-$G38))</f>
        <v/>
      </c>
      <c r="J38" s="4" t="n"/>
      <c r="K38" s="4" t="n"/>
      <c r="L38" s="5" t="n"/>
      <c r="M38" s="4" t="n"/>
    </row>
    <row r="39">
      <c r="A39" s="4">
        <f>IF($C39="","", "REM"&amp;TEXT(ROW()-1,"0000"))</f>
        <v/>
      </c>
      <c r="B39" s="5" t="n"/>
      <c r="C39" s="4" t="n"/>
      <c r="D39" s="4" t="n"/>
      <c r="E39" s="4" t="n"/>
      <c r="F39" s="4" t="n"/>
      <c r="G39" s="5" t="n"/>
      <c r="H39" s="7" t="n"/>
      <c r="I39" s="4">
        <f>IF($G39="","", MAX(0, TODAY()-$G39))</f>
        <v/>
      </c>
      <c r="J39" s="4" t="n"/>
      <c r="K39" s="4" t="n"/>
      <c r="L39" s="5" t="n"/>
      <c r="M39" s="4" t="n"/>
    </row>
    <row r="40">
      <c r="A40" s="4">
        <f>IF($C40="","", "REM"&amp;TEXT(ROW()-1,"0000"))</f>
        <v/>
      </c>
      <c r="B40" s="5" t="n"/>
      <c r="C40" s="4" t="n"/>
      <c r="D40" s="4" t="n"/>
      <c r="E40" s="4" t="n"/>
      <c r="F40" s="4" t="n"/>
      <c r="G40" s="5" t="n"/>
      <c r="H40" s="7" t="n"/>
      <c r="I40" s="4">
        <f>IF($G40="","", MAX(0, TODAY()-$G40))</f>
        <v/>
      </c>
      <c r="J40" s="4" t="n"/>
      <c r="K40" s="4" t="n"/>
      <c r="L40" s="5" t="n"/>
      <c r="M40" s="4" t="n"/>
    </row>
    <row r="41">
      <c r="A41" s="4">
        <f>IF($C41="","", "REM"&amp;TEXT(ROW()-1,"0000"))</f>
        <v/>
      </c>
      <c r="B41" s="5" t="n"/>
      <c r="C41" s="4" t="n"/>
      <c r="D41" s="4" t="n"/>
      <c r="E41" s="4" t="n"/>
      <c r="F41" s="4" t="n"/>
      <c r="G41" s="5" t="n"/>
      <c r="H41" s="7" t="n"/>
      <c r="I41" s="4">
        <f>IF($G41="","", MAX(0, TODAY()-$G41))</f>
        <v/>
      </c>
      <c r="J41" s="4" t="n"/>
      <c r="K41" s="4" t="n"/>
      <c r="L41" s="5" t="n"/>
      <c r="M41" s="4" t="n"/>
    </row>
    <row r="42">
      <c r="A42" s="4">
        <f>IF($C42="","", "REM"&amp;TEXT(ROW()-1,"0000"))</f>
        <v/>
      </c>
      <c r="B42" s="5" t="n"/>
      <c r="C42" s="4" t="n"/>
      <c r="D42" s="4" t="n"/>
      <c r="E42" s="4" t="n"/>
      <c r="F42" s="4" t="n"/>
      <c r="G42" s="5" t="n"/>
      <c r="H42" s="7" t="n"/>
      <c r="I42" s="4">
        <f>IF($G42="","", MAX(0, TODAY()-$G42))</f>
        <v/>
      </c>
      <c r="J42" s="4" t="n"/>
      <c r="K42" s="4" t="n"/>
      <c r="L42" s="5" t="n"/>
      <c r="M42" s="4" t="n"/>
    </row>
    <row r="43">
      <c r="A43" s="4">
        <f>IF($C43="","", "REM"&amp;TEXT(ROW()-1,"0000"))</f>
        <v/>
      </c>
      <c r="B43" s="5" t="n"/>
      <c r="C43" s="4" t="n"/>
      <c r="D43" s="4" t="n"/>
      <c r="E43" s="4" t="n"/>
      <c r="F43" s="4" t="n"/>
      <c r="G43" s="5" t="n"/>
      <c r="H43" s="7" t="n"/>
      <c r="I43" s="4">
        <f>IF($G43="","", MAX(0, TODAY()-$G43))</f>
        <v/>
      </c>
      <c r="J43" s="4" t="n"/>
      <c r="K43" s="4" t="n"/>
      <c r="L43" s="5" t="n"/>
      <c r="M43" s="4" t="n"/>
    </row>
    <row r="44">
      <c r="A44" s="4">
        <f>IF($C44="","", "REM"&amp;TEXT(ROW()-1,"0000"))</f>
        <v/>
      </c>
      <c r="B44" s="5" t="n"/>
      <c r="C44" s="4" t="n"/>
      <c r="D44" s="4" t="n"/>
      <c r="E44" s="4" t="n"/>
      <c r="F44" s="4" t="n"/>
      <c r="G44" s="5" t="n"/>
      <c r="H44" s="7" t="n"/>
      <c r="I44" s="4">
        <f>IF($G44="","", MAX(0, TODAY()-$G44))</f>
        <v/>
      </c>
      <c r="J44" s="4" t="n"/>
      <c r="K44" s="4" t="n"/>
      <c r="L44" s="5" t="n"/>
      <c r="M44" s="4" t="n"/>
    </row>
    <row r="45">
      <c r="A45" s="4">
        <f>IF($C45="","", "REM"&amp;TEXT(ROW()-1,"0000"))</f>
        <v/>
      </c>
      <c r="B45" s="5" t="n"/>
      <c r="C45" s="4" t="n"/>
      <c r="D45" s="4" t="n"/>
      <c r="E45" s="4" t="n"/>
      <c r="F45" s="4" t="n"/>
      <c r="G45" s="5" t="n"/>
      <c r="H45" s="7" t="n"/>
      <c r="I45" s="4">
        <f>IF($G45="","", MAX(0, TODAY()-$G45))</f>
        <v/>
      </c>
      <c r="J45" s="4" t="n"/>
      <c r="K45" s="4" t="n"/>
      <c r="L45" s="5" t="n"/>
      <c r="M45" s="4" t="n"/>
    </row>
    <row r="46">
      <c r="A46" s="4">
        <f>IF($C46="","", "REM"&amp;TEXT(ROW()-1,"0000"))</f>
        <v/>
      </c>
      <c r="B46" s="5" t="n"/>
      <c r="C46" s="4" t="n"/>
      <c r="D46" s="4" t="n"/>
      <c r="E46" s="4" t="n"/>
      <c r="F46" s="4" t="n"/>
      <c r="G46" s="5" t="n"/>
      <c r="H46" s="7" t="n"/>
      <c r="I46" s="4">
        <f>IF($G46="","", MAX(0, TODAY()-$G46))</f>
        <v/>
      </c>
      <c r="J46" s="4" t="n"/>
      <c r="K46" s="4" t="n"/>
      <c r="L46" s="5" t="n"/>
      <c r="M46" s="4" t="n"/>
    </row>
    <row r="47">
      <c r="A47" s="4">
        <f>IF($C47="","", "REM"&amp;TEXT(ROW()-1,"0000"))</f>
        <v/>
      </c>
      <c r="B47" s="5" t="n"/>
      <c r="C47" s="4" t="n"/>
      <c r="D47" s="4" t="n"/>
      <c r="E47" s="4" t="n"/>
      <c r="F47" s="4" t="n"/>
      <c r="G47" s="5" t="n"/>
      <c r="H47" s="7" t="n"/>
      <c r="I47" s="4">
        <f>IF($G47="","", MAX(0, TODAY()-$G47))</f>
        <v/>
      </c>
      <c r="J47" s="4" t="n"/>
      <c r="K47" s="4" t="n"/>
      <c r="L47" s="5" t="n"/>
      <c r="M47" s="4" t="n"/>
    </row>
    <row r="48">
      <c r="A48" s="4">
        <f>IF($C48="","", "REM"&amp;TEXT(ROW()-1,"0000"))</f>
        <v/>
      </c>
      <c r="B48" s="5" t="n"/>
      <c r="C48" s="4" t="n"/>
      <c r="D48" s="4" t="n"/>
      <c r="E48" s="4" t="n"/>
      <c r="F48" s="4" t="n"/>
      <c r="G48" s="5" t="n"/>
      <c r="H48" s="7" t="n"/>
      <c r="I48" s="4">
        <f>IF($G48="","", MAX(0, TODAY()-$G48))</f>
        <v/>
      </c>
      <c r="J48" s="4" t="n"/>
      <c r="K48" s="4" t="n"/>
      <c r="L48" s="5" t="n"/>
      <c r="M48" s="4" t="n"/>
    </row>
    <row r="49">
      <c r="A49" s="4">
        <f>IF($C49="","", "REM"&amp;TEXT(ROW()-1,"0000"))</f>
        <v/>
      </c>
      <c r="B49" s="5" t="n"/>
      <c r="C49" s="4" t="n"/>
      <c r="D49" s="4" t="n"/>
      <c r="E49" s="4" t="n"/>
      <c r="F49" s="4" t="n"/>
      <c r="G49" s="5" t="n"/>
      <c r="H49" s="7" t="n"/>
      <c r="I49" s="4">
        <f>IF($G49="","", MAX(0, TODAY()-$G49))</f>
        <v/>
      </c>
      <c r="J49" s="4" t="n"/>
      <c r="K49" s="4" t="n"/>
      <c r="L49" s="5" t="n"/>
      <c r="M49" s="4" t="n"/>
    </row>
    <row r="50">
      <c r="A50" s="4">
        <f>IF($C50="","", "REM"&amp;TEXT(ROW()-1,"0000"))</f>
        <v/>
      </c>
      <c r="B50" s="5" t="n"/>
      <c r="C50" s="4" t="n"/>
      <c r="D50" s="4" t="n"/>
      <c r="E50" s="4" t="n"/>
      <c r="F50" s="4" t="n"/>
      <c r="G50" s="5" t="n"/>
      <c r="H50" s="7" t="n"/>
      <c r="I50" s="4">
        <f>IF($G50="","", MAX(0, TODAY()-$G50))</f>
        <v/>
      </c>
      <c r="J50" s="4" t="n"/>
      <c r="K50" s="4" t="n"/>
      <c r="L50" s="5" t="n"/>
      <c r="M50" s="4" t="n"/>
    </row>
    <row r="51">
      <c r="A51" s="4">
        <f>IF($C51="","", "REM"&amp;TEXT(ROW()-1,"0000"))</f>
        <v/>
      </c>
      <c r="B51" s="5" t="n"/>
      <c r="C51" s="4" t="n"/>
      <c r="D51" s="4" t="n"/>
      <c r="E51" s="4" t="n"/>
      <c r="F51" s="4" t="n"/>
      <c r="G51" s="5" t="n"/>
      <c r="H51" s="7" t="n"/>
      <c r="I51" s="4">
        <f>IF($G51="","", MAX(0, TODAY()-$G51))</f>
        <v/>
      </c>
      <c r="J51" s="4" t="n"/>
      <c r="K51" s="4" t="n"/>
      <c r="L51" s="5" t="n"/>
      <c r="M51" s="4" t="n"/>
    </row>
    <row r="52">
      <c r="A52" s="4">
        <f>IF($C52="","", "REM"&amp;TEXT(ROW()-1,"0000"))</f>
        <v/>
      </c>
      <c r="B52" s="5" t="n"/>
      <c r="C52" s="4" t="n"/>
      <c r="D52" s="4" t="n"/>
      <c r="E52" s="4" t="n"/>
      <c r="F52" s="4" t="n"/>
      <c r="G52" s="5" t="n"/>
      <c r="H52" s="7" t="n"/>
      <c r="I52" s="4">
        <f>IF($G52="","", MAX(0, TODAY()-$G52))</f>
        <v/>
      </c>
      <c r="J52" s="4" t="n"/>
      <c r="K52" s="4" t="n"/>
      <c r="L52" s="5" t="n"/>
      <c r="M52" s="4" t="n"/>
    </row>
    <row r="53">
      <c r="A53" s="4">
        <f>IF($C53="","", "REM"&amp;TEXT(ROW()-1,"0000"))</f>
        <v/>
      </c>
      <c r="B53" s="5" t="n"/>
      <c r="C53" s="4" t="n"/>
      <c r="D53" s="4" t="n"/>
      <c r="E53" s="4" t="n"/>
      <c r="F53" s="4" t="n"/>
      <c r="G53" s="5" t="n"/>
      <c r="H53" s="7" t="n"/>
      <c r="I53" s="4">
        <f>IF($G53="","", MAX(0, TODAY()-$G53))</f>
        <v/>
      </c>
      <c r="J53" s="4" t="n"/>
      <c r="K53" s="4" t="n"/>
      <c r="L53" s="5" t="n"/>
      <c r="M53" s="4" t="n"/>
    </row>
    <row r="54">
      <c r="A54" s="4">
        <f>IF($C54="","", "REM"&amp;TEXT(ROW()-1,"0000"))</f>
        <v/>
      </c>
      <c r="B54" s="5" t="n"/>
      <c r="C54" s="4" t="n"/>
      <c r="D54" s="4" t="n"/>
      <c r="E54" s="4" t="n"/>
      <c r="F54" s="4" t="n"/>
      <c r="G54" s="5" t="n"/>
      <c r="H54" s="7" t="n"/>
      <c r="I54" s="4">
        <f>IF($G54="","", MAX(0, TODAY()-$G54))</f>
        <v/>
      </c>
      <c r="J54" s="4" t="n"/>
      <c r="K54" s="4" t="n"/>
      <c r="L54" s="5" t="n"/>
      <c r="M54" s="4" t="n"/>
    </row>
    <row r="55">
      <c r="A55" s="4">
        <f>IF($C55="","", "REM"&amp;TEXT(ROW()-1,"0000"))</f>
        <v/>
      </c>
      <c r="B55" s="5" t="n"/>
      <c r="C55" s="4" t="n"/>
      <c r="D55" s="4" t="n"/>
      <c r="E55" s="4" t="n"/>
      <c r="F55" s="4" t="n"/>
      <c r="G55" s="5" t="n"/>
      <c r="H55" s="7" t="n"/>
      <c r="I55" s="4">
        <f>IF($G55="","", MAX(0, TODAY()-$G55))</f>
        <v/>
      </c>
      <c r="J55" s="4" t="n"/>
      <c r="K55" s="4" t="n"/>
      <c r="L55" s="5" t="n"/>
      <c r="M55" s="4" t="n"/>
    </row>
    <row r="56">
      <c r="A56" s="4">
        <f>IF($C56="","", "REM"&amp;TEXT(ROW()-1,"0000"))</f>
        <v/>
      </c>
      <c r="B56" s="5" t="n"/>
      <c r="C56" s="4" t="n"/>
      <c r="D56" s="4" t="n"/>
      <c r="E56" s="4" t="n"/>
      <c r="F56" s="4" t="n"/>
      <c r="G56" s="5" t="n"/>
      <c r="H56" s="7" t="n"/>
      <c r="I56" s="4">
        <f>IF($G56="","", MAX(0, TODAY()-$G56))</f>
        <v/>
      </c>
      <c r="J56" s="4" t="n"/>
      <c r="K56" s="4" t="n"/>
      <c r="L56" s="5" t="n"/>
      <c r="M56" s="4" t="n"/>
    </row>
    <row r="57">
      <c r="A57" s="4">
        <f>IF($C57="","", "REM"&amp;TEXT(ROW()-1,"0000"))</f>
        <v/>
      </c>
      <c r="B57" s="5" t="n"/>
      <c r="C57" s="4" t="n"/>
      <c r="D57" s="4" t="n"/>
      <c r="E57" s="4" t="n"/>
      <c r="F57" s="4" t="n"/>
      <c r="G57" s="5" t="n"/>
      <c r="H57" s="7" t="n"/>
      <c r="I57" s="4">
        <f>IF($G57="","", MAX(0, TODAY()-$G57))</f>
        <v/>
      </c>
      <c r="J57" s="4" t="n"/>
      <c r="K57" s="4" t="n"/>
      <c r="L57" s="5" t="n"/>
      <c r="M57" s="4" t="n"/>
    </row>
    <row r="58">
      <c r="A58" s="4">
        <f>IF($C58="","", "REM"&amp;TEXT(ROW()-1,"0000"))</f>
        <v/>
      </c>
      <c r="B58" s="5" t="n"/>
      <c r="C58" s="4" t="n"/>
      <c r="D58" s="4" t="n"/>
      <c r="E58" s="4" t="n"/>
      <c r="F58" s="4" t="n"/>
      <c r="G58" s="5" t="n"/>
      <c r="H58" s="7" t="n"/>
      <c r="I58" s="4">
        <f>IF($G58="","", MAX(0, TODAY()-$G58))</f>
        <v/>
      </c>
      <c r="J58" s="4" t="n"/>
      <c r="K58" s="4" t="n"/>
      <c r="L58" s="5" t="n"/>
      <c r="M58" s="4" t="n"/>
    </row>
    <row r="59">
      <c r="A59" s="4">
        <f>IF($C59="","", "REM"&amp;TEXT(ROW()-1,"0000"))</f>
        <v/>
      </c>
      <c r="B59" s="5" t="n"/>
      <c r="C59" s="4" t="n"/>
      <c r="D59" s="4" t="n"/>
      <c r="E59" s="4" t="n"/>
      <c r="F59" s="4" t="n"/>
      <c r="G59" s="5" t="n"/>
      <c r="H59" s="7" t="n"/>
      <c r="I59" s="4">
        <f>IF($G59="","", MAX(0, TODAY()-$G59))</f>
        <v/>
      </c>
      <c r="J59" s="4" t="n"/>
      <c r="K59" s="4" t="n"/>
      <c r="L59" s="5" t="n"/>
      <c r="M59" s="4" t="n"/>
    </row>
    <row r="60">
      <c r="A60" s="4">
        <f>IF($C60="","", "REM"&amp;TEXT(ROW()-1,"0000"))</f>
        <v/>
      </c>
      <c r="B60" s="5" t="n"/>
      <c r="C60" s="4" t="n"/>
      <c r="D60" s="4" t="n"/>
      <c r="E60" s="4" t="n"/>
      <c r="F60" s="4" t="n"/>
      <c r="G60" s="5" t="n"/>
      <c r="H60" s="7" t="n"/>
      <c r="I60" s="4">
        <f>IF($G60="","", MAX(0, TODAY()-$G60))</f>
        <v/>
      </c>
      <c r="J60" s="4" t="n"/>
      <c r="K60" s="4" t="n"/>
      <c r="L60" s="5" t="n"/>
      <c r="M60" s="4" t="n"/>
    </row>
    <row r="61">
      <c r="A61" s="4">
        <f>IF($C61="","", "REM"&amp;TEXT(ROW()-1,"0000"))</f>
        <v/>
      </c>
      <c r="B61" s="5" t="n"/>
      <c r="C61" s="4" t="n"/>
      <c r="D61" s="4" t="n"/>
      <c r="E61" s="4" t="n"/>
      <c r="F61" s="4" t="n"/>
      <c r="G61" s="5" t="n"/>
      <c r="H61" s="7" t="n"/>
      <c r="I61" s="4">
        <f>IF($G61="","", MAX(0, TODAY()-$G61))</f>
        <v/>
      </c>
      <c r="J61" s="4" t="n"/>
      <c r="K61" s="4" t="n"/>
      <c r="L61" s="5" t="n"/>
      <c r="M61" s="4" t="n"/>
    </row>
    <row r="62">
      <c r="A62" s="4">
        <f>IF($C62="","", "REM"&amp;TEXT(ROW()-1,"0000"))</f>
        <v/>
      </c>
      <c r="B62" s="5" t="n"/>
      <c r="C62" s="4" t="n"/>
      <c r="D62" s="4" t="n"/>
      <c r="E62" s="4" t="n"/>
      <c r="F62" s="4" t="n"/>
      <c r="G62" s="5" t="n"/>
      <c r="H62" s="7" t="n"/>
      <c r="I62" s="4">
        <f>IF($G62="","", MAX(0, TODAY()-$G62))</f>
        <v/>
      </c>
      <c r="J62" s="4" t="n"/>
      <c r="K62" s="4" t="n"/>
      <c r="L62" s="5" t="n"/>
      <c r="M62" s="4" t="n"/>
    </row>
    <row r="63">
      <c r="A63" s="4">
        <f>IF($C63="","", "REM"&amp;TEXT(ROW()-1,"0000"))</f>
        <v/>
      </c>
      <c r="B63" s="5" t="n"/>
      <c r="C63" s="4" t="n"/>
      <c r="D63" s="4" t="n"/>
      <c r="E63" s="4" t="n"/>
      <c r="F63" s="4" t="n"/>
      <c r="G63" s="5" t="n"/>
      <c r="H63" s="7" t="n"/>
      <c r="I63" s="4">
        <f>IF($G63="","", MAX(0, TODAY()-$G63))</f>
        <v/>
      </c>
      <c r="J63" s="4" t="n"/>
      <c r="K63" s="4" t="n"/>
      <c r="L63" s="5" t="n"/>
      <c r="M63" s="4" t="n"/>
    </row>
    <row r="64">
      <c r="A64" s="4">
        <f>IF($C64="","", "REM"&amp;TEXT(ROW()-1,"0000"))</f>
        <v/>
      </c>
      <c r="B64" s="5" t="n"/>
      <c r="C64" s="4" t="n"/>
      <c r="D64" s="4" t="n"/>
      <c r="E64" s="4" t="n"/>
      <c r="F64" s="4" t="n"/>
      <c r="G64" s="5" t="n"/>
      <c r="H64" s="7" t="n"/>
      <c r="I64" s="4">
        <f>IF($G64="","", MAX(0, TODAY()-$G64))</f>
        <v/>
      </c>
      <c r="J64" s="4" t="n"/>
      <c r="K64" s="4" t="n"/>
      <c r="L64" s="5" t="n"/>
      <c r="M64" s="4" t="n"/>
    </row>
    <row r="65">
      <c r="A65" s="4">
        <f>IF($C65="","", "REM"&amp;TEXT(ROW()-1,"0000"))</f>
        <v/>
      </c>
      <c r="B65" s="5" t="n"/>
      <c r="C65" s="4" t="n"/>
      <c r="D65" s="4" t="n"/>
      <c r="E65" s="4" t="n"/>
      <c r="F65" s="4" t="n"/>
      <c r="G65" s="5" t="n"/>
      <c r="H65" s="7" t="n"/>
      <c r="I65" s="4">
        <f>IF($G65="","", MAX(0, TODAY()-$G65))</f>
        <v/>
      </c>
      <c r="J65" s="4" t="n"/>
      <c r="K65" s="4" t="n"/>
      <c r="L65" s="5" t="n"/>
      <c r="M65" s="4" t="n"/>
    </row>
    <row r="66">
      <c r="A66" s="4">
        <f>IF($C66="","", "REM"&amp;TEXT(ROW()-1,"0000"))</f>
        <v/>
      </c>
      <c r="B66" s="5" t="n"/>
      <c r="C66" s="4" t="n"/>
      <c r="D66" s="4" t="n"/>
      <c r="E66" s="4" t="n"/>
      <c r="F66" s="4" t="n"/>
      <c r="G66" s="5" t="n"/>
      <c r="H66" s="7" t="n"/>
      <c r="I66" s="4">
        <f>IF($G66="","", MAX(0, TODAY()-$G66))</f>
        <v/>
      </c>
      <c r="J66" s="4" t="n"/>
      <c r="K66" s="4" t="n"/>
      <c r="L66" s="5" t="n"/>
      <c r="M66" s="4" t="n"/>
    </row>
    <row r="67">
      <c r="A67" s="4">
        <f>IF($C67="","", "REM"&amp;TEXT(ROW()-1,"0000"))</f>
        <v/>
      </c>
      <c r="B67" s="5" t="n"/>
      <c r="C67" s="4" t="n"/>
      <c r="D67" s="4" t="n"/>
      <c r="E67" s="4" t="n"/>
      <c r="F67" s="4" t="n"/>
      <c r="G67" s="5" t="n"/>
      <c r="H67" s="7" t="n"/>
      <c r="I67" s="4">
        <f>IF($G67="","", MAX(0, TODAY()-$G67))</f>
        <v/>
      </c>
      <c r="J67" s="4" t="n"/>
      <c r="K67" s="4" t="n"/>
      <c r="L67" s="5" t="n"/>
      <c r="M67" s="4" t="n"/>
    </row>
    <row r="68">
      <c r="A68" s="4">
        <f>IF($C68="","", "REM"&amp;TEXT(ROW()-1,"0000"))</f>
        <v/>
      </c>
      <c r="B68" s="5" t="n"/>
      <c r="C68" s="4" t="n"/>
      <c r="D68" s="4" t="n"/>
      <c r="E68" s="4" t="n"/>
      <c r="F68" s="4" t="n"/>
      <c r="G68" s="5" t="n"/>
      <c r="H68" s="7" t="n"/>
      <c r="I68" s="4">
        <f>IF($G68="","", MAX(0, TODAY()-$G68))</f>
        <v/>
      </c>
      <c r="J68" s="4" t="n"/>
      <c r="K68" s="4" t="n"/>
      <c r="L68" s="5" t="n"/>
      <c r="M68" s="4" t="n"/>
    </row>
    <row r="69">
      <c r="A69" s="4">
        <f>IF($C69="","", "REM"&amp;TEXT(ROW()-1,"0000"))</f>
        <v/>
      </c>
      <c r="B69" s="5" t="n"/>
      <c r="C69" s="4" t="n"/>
      <c r="D69" s="4" t="n"/>
      <c r="E69" s="4" t="n"/>
      <c r="F69" s="4" t="n"/>
      <c r="G69" s="5" t="n"/>
      <c r="H69" s="7" t="n"/>
      <c r="I69" s="4">
        <f>IF($G69="","", MAX(0, TODAY()-$G69))</f>
        <v/>
      </c>
      <c r="J69" s="4" t="n"/>
      <c r="K69" s="4" t="n"/>
      <c r="L69" s="5" t="n"/>
      <c r="M69" s="4" t="n"/>
    </row>
    <row r="70">
      <c r="A70" s="4">
        <f>IF($C70="","", "REM"&amp;TEXT(ROW()-1,"0000"))</f>
        <v/>
      </c>
      <c r="B70" s="5" t="n"/>
      <c r="C70" s="4" t="n"/>
      <c r="D70" s="4" t="n"/>
      <c r="E70" s="4" t="n"/>
      <c r="F70" s="4" t="n"/>
      <c r="G70" s="5" t="n"/>
      <c r="H70" s="7" t="n"/>
      <c r="I70" s="4">
        <f>IF($G70="","", MAX(0, TODAY()-$G70))</f>
        <v/>
      </c>
      <c r="J70" s="4" t="n"/>
      <c r="K70" s="4" t="n"/>
      <c r="L70" s="5" t="n"/>
      <c r="M70" s="4" t="n"/>
    </row>
    <row r="71">
      <c r="A71" s="4">
        <f>IF($C71="","", "REM"&amp;TEXT(ROW()-1,"0000"))</f>
        <v/>
      </c>
      <c r="B71" s="5" t="n"/>
      <c r="C71" s="4" t="n"/>
      <c r="D71" s="4" t="n"/>
      <c r="E71" s="4" t="n"/>
      <c r="F71" s="4" t="n"/>
      <c r="G71" s="5" t="n"/>
      <c r="H71" s="7" t="n"/>
      <c r="I71" s="4">
        <f>IF($G71="","", MAX(0, TODAY()-$G71))</f>
        <v/>
      </c>
      <c r="J71" s="4" t="n"/>
      <c r="K71" s="4" t="n"/>
      <c r="L71" s="5" t="n"/>
      <c r="M71" s="4" t="n"/>
    </row>
    <row r="72">
      <c r="A72" s="4">
        <f>IF($C72="","", "REM"&amp;TEXT(ROW()-1,"0000"))</f>
        <v/>
      </c>
      <c r="B72" s="5" t="n"/>
      <c r="C72" s="4" t="n"/>
      <c r="D72" s="4" t="n"/>
      <c r="E72" s="4" t="n"/>
      <c r="F72" s="4" t="n"/>
      <c r="G72" s="5" t="n"/>
      <c r="H72" s="7" t="n"/>
      <c r="I72" s="4">
        <f>IF($G72="","", MAX(0, TODAY()-$G72))</f>
        <v/>
      </c>
      <c r="J72" s="4" t="n"/>
      <c r="K72" s="4" t="n"/>
      <c r="L72" s="5" t="n"/>
      <c r="M72" s="4" t="n"/>
    </row>
    <row r="73">
      <c r="A73" s="4">
        <f>IF($C73="","", "REM"&amp;TEXT(ROW()-1,"0000"))</f>
        <v/>
      </c>
      <c r="B73" s="5" t="n"/>
      <c r="C73" s="4" t="n"/>
      <c r="D73" s="4" t="n"/>
      <c r="E73" s="4" t="n"/>
      <c r="F73" s="4" t="n"/>
      <c r="G73" s="5" t="n"/>
      <c r="H73" s="7" t="n"/>
      <c r="I73" s="4">
        <f>IF($G73="","", MAX(0, TODAY()-$G73))</f>
        <v/>
      </c>
      <c r="J73" s="4" t="n"/>
      <c r="K73" s="4" t="n"/>
      <c r="L73" s="5" t="n"/>
      <c r="M73" s="4" t="n"/>
    </row>
    <row r="74">
      <c r="A74" s="4">
        <f>IF($C74="","", "REM"&amp;TEXT(ROW()-1,"0000"))</f>
        <v/>
      </c>
      <c r="B74" s="5" t="n"/>
      <c r="C74" s="4" t="n"/>
      <c r="D74" s="4" t="n"/>
      <c r="E74" s="4" t="n"/>
      <c r="F74" s="4" t="n"/>
      <c r="G74" s="5" t="n"/>
      <c r="H74" s="7" t="n"/>
      <c r="I74" s="4">
        <f>IF($G74="","", MAX(0, TODAY()-$G74))</f>
        <v/>
      </c>
      <c r="J74" s="4" t="n"/>
      <c r="K74" s="4" t="n"/>
      <c r="L74" s="5" t="n"/>
      <c r="M74" s="4" t="n"/>
    </row>
    <row r="75">
      <c r="A75" s="4">
        <f>IF($C75="","", "REM"&amp;TEXT(ROW()-1,"0000"))</f>
        <v/>
      </c>
      <c r="B75" s="5" t="n"/>
      <c r="C75" s="4" t="n"/>
      <c r="D75" s="4" t="n"/>
      <c r="E75" s="4" t="n"/>
      <c r="F75" s="4" t="n"/>
      <c r="G75" s="5" t="n"/>
      <c r="H75" s="7" t="n"/>
      <c r="I75" s="4">
        <f>IF($G75="","", MAX(0, TODAY()-$G75))</f>
        <v/>
      </c>
      <c r="J75" s="4" t="n"/>
      <c r="K75" s="4" t="n"/>
      <c r="L75" s="5" t="n"/>
      <c r="M75" s="4" t="n"/>
    </row>
    <row r="76">
      <c r="A76" s="4">
        <f>IF($C76="","", "REM"&amp;TEXT(ROW()-1,"0000"))</f>
        <v/>
      </c>
      <c r="B76" s="5" t="n"/>
      <c r="C76" s="4" t="n"/>
      <c r="D76" s="4" t="n"/>
      <c r="E76" s="4" t="n"/>
      <c r="F76" s="4" t="n"/>
      <c r="G76" s="5" t="n"/>
      <c r="H76" s="7" t="n"/>
      <c r="I76" s="4">
        <f>IF($G76="","", MAX(0, TODAY()-$G76))</f>
        <v/>
      </c>
      <c r="J76" s="4" t="n"/>
      <c r="K76" s="4" t="n"/>
      <c r="L76" s="5" t="n"/>
      <c r="M76" s="4" t="n"/>
    </row>
    <row r="77">
      <c r="A77" s="4">
        <f>IF($C77="","", "REM"&amp;TEXT(ROW()-1,"0000"))</f>
        <v/>
      </c>
      <c r="B77" s="5" t="n"/>
      <c r="C77" s="4" t="n"/>
      <c r="D77" s="4" t="n"/>
      <c r="E77" s="4" t="n"/>
      <c r="F77" s="4" t="n"/>
      <c r="G77" s="5" t="n"/>
      <c r="H77" s="7" t="n"/>
      <c r="I77" s="4">
        <f>IF($G77="","", MAX(0, TODAY()-$G77))</f>
        <v/>
      </c>
      <c r="J77" s="4" t="n"/>
      <c r="K77" s="4" t="n"/>
      <c r="L77" s="5" t="n"/>
      <c r="M77" s="4" t="n"/>
    </row>
    <row r="78">
      <c r="A78" s="4">
        <f>IF($C78="","", "REM"&amp;TEXT(ROW()-1,"0000"))</f>
        <v/>
      </c>
      <c r="B78" s="5" t="n"/>
      <c r="C78" s="4" t="n"/>
      <c r="D78" s="4" t="n"/>
      <c r="E78" s="4" t="n"/>
      <c r="F78" s="4" t="n"/>
      <c r="G78" s="5" t="n"/>
      <c r="H78" s="7" t="n"/>
      <c r="I78" s="4">
        <f>IF($G78="","", MAX(0, TODAY()-$G78))</f>
        <v/>
      </c>
      <c r="J78" s="4" t="n"/>
      <c r="K78" s="4" t="n"/>
      <c r="L78" s="5" t="n"/>
      <c r="M78" s="4" t="n"/>
    </row>
    <row r="79">
      <c r="A79" s="4">
        <f>IF($C79="","", "REM"&amp;TEXT(ROW()-1,"0000"))</f>
        <v/>
      </c>
      <c r="B79" s="5" t="n"/>
      <c r="C79" s="4" t="n"/>
      <c r="D79" s="4" t="n"/>
      <c r="E79" s="4" t="n"/>
      <c r="F79" s="4" t="n"/>
      <c r="G79" s="5" t="n"/>
      <c r="H79" s="7" t="n"/>
      <c r="I79" s="4">
        <f>IF($G79="","", MAX(0, TODAY()-$G79))</f>
        <v/>
      </c>
      <c r="J79" s="4" t="n"/>
      <c r="K79" s="4" t="n"/>
      <c r="L79" s="5" t="n"/>
      <c r="M79" s="4" t="n"/>
    </row>
    <row r="80">
      <c r="A80" s="4">
        <f>IF($C80="","", "REM"&amp;TEXT(ROW()-1,"0000"))</f>
        <v/>
      </c>
      <c r="B80" s="5" t="n"/>
      <c r="C80" s="4" t="n"/>
      <c r="D80" s="4" t="n"/>
      <c r="E80" s="4" t="n"/>
      <c r="F80" s="4" t="n"/>
      <c r="G80" s="5" t="n"/>
      <c r="H80" s="7" t="n"/>
      <c r="I80" s="4">
        <f>IF($G80="","", MAX(0, TODAY()-$G80))</f>
        <v/>
      </c>
      <c r="J80" s="4" t="n"/>
      <c r="K80" s="4" t="n"/>
      <c r="L80" s="5" t="n"/>
      <c r="M80" s="4" t="n"/>
    </row>
    <row r="81">
      <c r="A81" s="4">
        <f>IF($C81="","", "REM"&amp;TEXT(ROW()-1,"0000"))</f>
        <v/>
      </c>
      <c r="B81" s="5" t="n"/>
      <c r="C81" s="4" t="n"/>
      <c r="D81" s="4" t="n"/>
      <c r="E81" s="4" t="n"/>
      <c r="F81" s="4" t="n"/>
      <c r="G81" s="5" t="n"/>
      <c r="H81" s="7" t="n"/>
      <c r="I81" s="4">
        <f>IF($G81="","", MAX(0, TODAY()-$G81))</f>
        <v/>
      </c>
      <c r="J81" s="4" t="n"/>
      <c r="K81" s="4" t="n"/>
      <c r="L81" s="5" t="n"/>
      <c r="M81" s="4" t="n"/>
    </row>
    <row r="82">
      <c r="A82" s="4">
        <f>IF($C82="","", "REM"&amp;TEXT(ROW()-1,"0000"))</f>
        <v/>
      </c>
      <c r="B82" s="5" t="n"/>
      <c r="C82" s="4" t="n"/>
      <c r="D82" s="4" t="n"/>
      <c r="E82" s="4" t="n"/>
      <c r="F82" s="4" t="n"/>
      <c r="G82" s="5" t="n"/>
      <c r="H82" s="7" t="n"/>
      <c r="I82" s="4">
        <f>IF($G82="","", MAX(0, TODAY()-$G82))</f>
        <v/>
      </c>
      <c r="J82" s="4" t="n"/>
      <c r="K82" s="4" t="n"/>
      <c r="L82" s="5" t="n"/>
      <c r="M82" s="4" t="n"/>
    </row>
    <row r="83">
      <c r="A83" s="4">
        <f>IF($C83="","", "REM"&amp;TEXT(ROW()-1,"0000"))</f>
        <v/>
      </c>
      <c r="B83" s="5" t="n"/>
      <c r="C83" s="4" t="n"/>
      <c r="D83" s="4" t="n"/>
      <c r="E83" s="4" t="n"/>
      <c r="F83" s="4" t="n"/>
      <c r="G83" s="5" t="n"/>
      <c r="H83" s="7" t="n"/>
      <c r="I83" s="4">
        <f>IF($G83="","", MAX(0, TODAY()-$G83))</f>
        <v/>
      </c>
      <c r="J83" s="4" t="n"/>
      <c r="K83" s="4" t="n"/>
      <c r="L83" s="5" t="n"/>
      <c r="M83" s="4" t="n"/>
    </row>
    <row r="84">
      <c r="A84" s="4">
        <f>IF($C84="","", "REM"&amp;TEXT(ROW()-1,"0000"))</f>
        <v/>
      </c>
      <c r="B84" s="5" t="n"/>
      <c r="C84" s="4" t="n"/>
      <c r="D84" s="4" t="n"/>
      <c r="E84" s="4" t="n"/>
      <c r="F84" s="4" t="n"/>
      <c r="G84" s="5" t="n"/>
      <c r="H84" s="7" t="n"/>
      <c r="I84" s="4">
        <f>IF($G84="","", MAX(0, TODAY()-$G84))</f>
        <v/>
      </c>
      <c r="J84" s="4" t="n"/>
      <c r="K84" s="4" t="n"/>
      <c r="L84" s="5" t="n"/>
      <c r="M84" s="4" t="n"/>
    </row>
    <row r="85">
      <c r="A85" s="4">
        <f>IF($C85="","", "REM"&amp;TEXT(ROW()-1,"0000"))</f>
        <v/>
      </c>
      <c r="B85" s="5" t="n"/>
      <c r="C85" s="4" t="n"/>
      <c r="D85" s="4" t="n"/>
      <c r="E85" s="4" t="n"/>
      <c r="F85" s="4" t="n"/>
      <c r="G85" s="5" t="n"/>
      <c r="H85" s="7" t="n"/>
      <c r="I85" s="4">
        <f>IF($G85="","", MAX(0, TODAY()-$G85))</f>
        <v/>
      </c>
      <c r="J85" s="4" t="n"/>
      <c r="K85" s="4" t="n"/>
      <c r="L85" s="5" t="n"/>
      <c r="M85" s="4" t="n"/>
    </row>
    <row r="86">
      <c r="A86" s="4">
        <f>IF($C86="","", "REM"&amp;TEXT(ROW()-1,"0000"))</f>
        <v/>
      </c>
      <c r="B86" s="5" t="n"/>
      <c r="C86" s="4" t="n"/>
      <c r="D86" s="4" t="n"/>
      <c r="E86" s="4" t="n"/>
      <c r="F86" s="4" t="n"/>
      <c r="G86" s="5" t="n"/>
      <c r="H86" s="7" t="n"/>
      <c r="I86" s="4">
        <f>IF($G86="","", MAX(0, TODAY()-$G86))</f>
        <v/>
      </c>
      <c r="J86" s="4" t="n"/>
      <c r="K86" s="4" t="n"/>
      <c r="L86" s="5" t="n"/>
      <c r="M86" s="4" t="n"/>
    </row>
    <row r="87">
      <c r="A87" s="4">
        <f>IF($C87="","", "REM"&amp;TEXT(ROW()-1,"0000"))</f>
        <v/>
      </c>
      <c r="B87" s="5" t="n"/>
      <c r="C87" s="4" t="n"/>
      <c r="D87" s="4" t="n"/>
      <c r="E87" s="4" t="n"/>
      <c r="F87" s="4" t="n"/>
      <c r="G87" s="5" t="n"/>
      <c r="H87" s="7" t="n"/>
      <c r="I87" s="4">
        <f>IF($G87="","", MAX(0, TODAY()-$G87))</f>
        <v/>
      </c>
      <c r="J87" s="4" t="n"/>
      <c r="K87" s="4" t="n"/>
      <c r="L87" s="5" t="n"/>
      <c r="M87" s="4" t="n"/>
    </row>
    <row r="88">
      <c r="A88" s="4">
        <f>IF($C88="","", "REM"&amp;TEXT(ROW()-1,"0000"))</f>
        <v/>
      </c>
      <c r="B88" s="5" t="n"/>
      <c r="C88" s="4" t="n"/>
      <c r="D88" s="4" t="n"/>
      <c r="E88" s="4" t="n"/>
      <c r="F88" s="4" t="n"/>
      <c r="G88" s="5" t="n"/>
      <c r="H88" s="7" t="n"/>
      <c r="I88" s="4">
        <f>IF($G88="","", MAX(0, TODAY()-$G88))</f>
        <v/>
      </c>
      <c r="J88" s="4" t="n"/>
      <c r="K88" s="4" t="n"/>
      <c r="L88" s="5" t="n"/>
      <c r="M88" s="4" t="n"/>
    </row>
    <row r="89">
      <c r="A89" s="4">
        <f>IF($C89="","", "REM"&amp;TEXT(ROW()-1,"0000"))</f>
        <v/>
      </c>
      <c r="B89" s="5" t="n"/>
      <c r="C89" s="4" t="n"/>
      <c r="D89" s="4" t="n"/>
      <c r="E89" s="4" t="n"/>
      <c r="F89" s="4" t="n"/>
      <c r="G89" s="5" t="n"/>
      <c r="H89" s="7" t="n"/>
      <c r="I89" s="4">
        <f>IF($G89="","", MAX(0, TODAY()-$G89))</f>
        <v/>
      </c>
      <c r="J89" s="4" t="n"/>
      <c r="K89" s="4" t="n"/>
      <c r="L89" s="5" t="n"/>
      <c r="M89" s="4" t="n"/>
    </row>
    <row r="90">
      <c r="A90" s="4">
        <f>IF($C90="","", "REM"&amp;TEXT(ROW()-1,"0000"))</f>
        <v/>
      </c>
      <c r="B90" s="5" t="n"/>
      <c r="C90" s="4" t="n"/>
      <c r="D90" s="4" t="n"/>
      <c r="E90" s="4" t="n"/>
      <c r="F90" s="4" t="n"/>
      <c r="G90" s="5" t="n"/>
      <c r="H90" s="7" t="n"/>
      <c r="I90" s="4">
        <f>IF($G90="","", MAX(0, TODAY()-$G90))</f>
        <v/>
      </c>
      <c r="J90" s="4" t="n"/>
      <c r="K90" s="4" t="n"/>
      <c r="L90" s="5" t="n"/>
      <c r="M90" s="4" t="n"/>
    </row>
    <row r="91">
      <c r="A91" s="4">
        <f>IF($C91="","", "REM"&amp;TEXT(ROW()-1,"0000"))</f>
        <v/>
      </c>
      <c r="B91" s="5" t="n"/>
      <c r="C91" s="4" t="n"/>
      <c r="D91" s="4" t="n"/>
      <c r="E91" s="4" t="n"/>
      <c r="F91" s="4" t="n"/>
      <c r="G91" s="5" t="n"/>
      <c r="H91" s="7" t="n"/>
      <c r="I91" s="4">
        <f>IF($G91="","", MAX(0, TODAY()-$G91))</f>
        <v/>
      </c>
      <c r="J91" s="4" t="n"/>
      <c r="K91" s="4" t="n"/>
      <c r="L91" s="5" t="n"/>
      <c r="M91" s="4" t="n"/>
    </row>
    <row r="92">
      <c r="A92" s="4">
        <f>IF($C92="","", "REM"&amp;TEXT(ROW()-1,"0000"))</f>
        <v/>
      </c>
      <c r="B92" s="5" t="n"/>
      <c r="C92" s="4" t="n"/>
      <c r="D92" s="4" t="n"/>
      <c r="E92" s="4" t="n"/>
      <c r="F92" s="4" t="n"/>
      <c r="G92" s="5" t="n"/>
      <c r="H92" s="7" t="n"/>
      <c r="I92" s="4">
        <f>IF($G92="","", MAX(0, TODAY()-$G92))</f>
        <v/>
      </c>
      <c r="J92" s="4" t="n"/>
      <c r="K92" s="4" t="n"/>
      <c r="L92" s="5" t="n"/>
      <c r="M92" s="4" t="n"/>
    </row>
    <row r="93">
      <c r="A93" s="4">
        <f>IF($C93="","", "REM"&amp;TEXT(ROW()-1,"0000"))</f>
        <v/>
      </c>
      <c r="B93" s="5" t="n"/>
      <c r="C93" s="4" t="n"/>
      <c r="D93" s="4" t="n"/>
      <c r="E93" s="4" t="n"/>
      <c r="F93" s="4" t="n"/>
      <c r="G93" s="5" t="n"/>
      <c r="H93" s="7" t="n"/>
      <c r="I93" s="4">
        <f>IF($G93="","", MAX(0, TODAY()-$G93))</f>
        <v/>
      </c>
      <c r="J93" s="4" t="n"/>
      <c r="K93" s="4" t="n"/>
      <c r="L93" s="5" t="n"/>
      <c r="M93" s="4" t="n"/>
    </row>
    <row r="94">
      <c r="A94" s="4">
        <f>IF($C94="","", "REM"&amp;TEXT(ROW()-1,"0000"))</f>
        <v/>
      </c>
      <c r="B94" s="5" t="n"/>
      <c r="C94" s="4" t="n"/>
      <c r="D94" s="4" t="n"/>
      <c r="E94" s="4" t="n"/>
      <c r="F94" s="4" t="n"/>
      <c r="G94" s="5" t="n"/>
      <c r="H94" s="7" t="n"/>
      <c r="I94" s="4">
        <f>IF($G94="","", MAX(0, TODAY()-$G94))</f>
        <v/>
      </c>
      <c r="J94" s="4" t="n"/>
      <c r="K94" s="4" t="n"/>
      <c r="L94" s="5" t="n"/>
      <c r="M94" s="4" t="n"/>
    </row>
    <row r="95">
      <c r="A95" s="4">
        <f>IF($C95="","", "REM"&amp;TEXT(ROW()-1,"0000"))</f>
        <v/>
      </c>
      <c r="B95" s="5" t="n"/>
      <c r="C95" s="4" t="n"/>
      <c r="D95" s="4" t="n"/>
      <c r="E95" s="4" t="n"/>
      <c r="F95" s="4" t="n"/>
      <c r="G95" s="5" t="n"/>
      <c r="H95" s="7" t="n"/>
      <c r="I95" s="4">
        <f>IF($G95="","", MAX(0, TODAY()-$G95))</f>
        <v/>
      </c>
      <c r="J95" s="4" t="n"/>
      <c r="K95" s="4" t="n"/>
      <c r="L95" s="5" t="n"/>
      <c r="M95" s="4" t="n"/>
    </row>
    <row r="96">
      <c r="A96" s="4">
        <f>IF($C96="","", "REM"&amp;TEXT(ROW()-1,"0000"))</f>
        <v/>
      </c>
      <c r="B96" s="5" t="n"/>
      <c r="C96" s="4" t="n"/>
      <c r="D96" s="4" t="n"/>
      <c r="E96" s="4" t="n"/>
      <c r="F96" s="4" t="n"/>
      <c r="G96" s="5" t="n"/>
      <c r="H96" s="7" t="n"/>
      <c r="I96" s="4">
        <f>IF($G96="","", MAX(0, TODAY()-$G96))</f>
        <v/>
      </c>
      <c r="J96" s="4" t="n"/>
      <c r="K96" s="4" t="n"/>
      <c r="L96" s="5" t="n"/>
      <c r="M96" s="4" t="n"/>
    </row>
    <row r="97">
      <c r="A97" s="4">
        <f>IF($C97="","", "REM"&amp;TEXT(ROW()-1,"0000"))</f>
        <v/>
      </c>
      <c r="B97" s="5" t="n"/>
      <c r="C97" s="4" t="n"/>
      <c r="D97" s="4" t="n"/>
      <c r="E97" s="4" t="n"/>
      <c r="F97" s="4" t="n"/>
      <c r="G97" s="5" t="n"/>
      <c r="H97" s="7" t="n"/>
      <c r="I97" s="4">
        <f>IF($G97="","", MAX(0, TODAY()-$G97))</f>
        <v/>
      </c>
      <c r="J97" s="4" t="n"/>
      <c r="K97" s="4" t="n"/>
      <c r="L97" s="5" t="n"/>
      <c r="M97" s="4" t="n"/>
    </row>
    <row r="98">
      <c r="A98" s="4">
        <f>IF($C98="","", "REM"&amp;TEXT(ROW()-1,"0000"))</f>
        <v/>
      </c>
      <c r="B98" s="5" t="n"/>
      <c r="C98" s="4" t="n"/>
      <c r="D98" s="4" t="n"/>
      <c r="E98" s="4" t="n"/>
      <c r="F98" s="4" t="n"/>
      <c r="G98" s="5" t="n"/>
      <c r="H98" s="7" t="n"/>
      <c r="I98" s="4">
        <f>IF($G98="","", MAX(0, TODAY()-$G98))</f>
        <v/>
      </c>
      <c r="J98" s="4" t="n"/>
      <c r="K98" s="4" t="n"/>
      <c r="L98" s="5" t="n"/>
      <c r="M98" s="4" t="n"/>
    </row>
    <row r="99">
      <c r="A99" s="4">
        <f>IF($C99="","", "REM"&amp;TEXT(ROW()-1,"0000"))</f>
        <v/>
      </c>
      <c r="B99" s="5" t="n"/>
      <c r="C99" s="4" t="n"/>
      <c r="D99" s="4" t="n"/>
      <c r="E99" s="4" t="n"/>
      <c r="F99" s="4" t="n"/>
      <c r="G99" s="5" t="n"/>
      <c r="H99" s="7" t="n"/>
      <c r="I99" s="4">
        <f>IF($G99="","", MAX(0, TODAY()-$G99))</f>
        <v/>
      </c>
      <c r="J99" s="4" t="n"/>
      <c r="K99" s="4" t="n"/>
      <c r="L99" s="5" t="n"/>
      <c r="M99" s="4" t="n"/>
    </row>
    <row r="100">
      <c r="A100" s="4">
        <f>IF($C100="","", "REM"&amp;TEXT(ROW()-1,"0000"))</f>
        <v/>
      </c>
      <c r="B100" s="5" t="n"/>
      <c r="C100" s="4" t="n"/>
      <c r="D100" s="4" t="n"/>
      <c r="E100" s="4" t="n"/>
      <c r="F100" s="4" t="n"/>
      <c r="G100" s="5" t="n"/>
      <c r="H100" s="7" t="n"/>
      <c r="I100" s="4">
        <f>IF($G100="","", MAX(0, TODAY()-$G100))</f>
        <v/>
      </c>
      <c r="J100" s="4" t="n"/>
      <c r="K100" s="4" t="n"/>
      <c r="L100" s="5" t="n"/>
      <c r="M100" s="4" t="n"/>
    </row>
    <row r="101">
      <c r="A101">
        <f>IF($C101="","", "REM"&amp;TEXT(ROW()-1,"0000"))</f>
        <v/>
      </c>
      <c r="B101" s="6" t="n"/>
      <c r="G101" s="6" t="n"/>
      <c r="H101" s="8" t="n"/>
      <c r="I101">
        <f>IF($G101="","", MAX(0, TODAY()-$G101))</f>
        <v/>
      </c>
      <c r="L101" s="6" t="n"/>
    </row>
    <row r="102">
      <c r="A102">
        <f>IF($C102="","", "REM"&amp;TEXT(ROW()-1,"0000"))</f>
        <v/>
      </c>
      <c r="B102" s="6" t="n"/>
      <c r="G102" s="6" t="n"/>
      <c r="H102" s="8" t="n"/>
      <c r="I102">
        <f>IF($G102="","", MAX(0, TODAY()-$G102))</f>
        <v/>
      </c>
      <c r="L102" s="6" t="n"/>
    </row>
    <row r="103">
      <c r="A103">
        <f>IF($C103="","", "REM"&amp;TEXT(ROW()-1,"0000"))</f>
        <v/>
      </c>
      <c r="B103" s="6" t="n"/>
      <c r="G103" s="6" t="n"/>
      <c r="H103" s="8" t="n"/>
      <c r="I103">
        <f>IF($G103="","", MAX(0, TODAY()-$G103))</f>
        <v/>
      </c>
      <c r="L103" s="6" t="n"/>
    </row>
    <row r="104">
      <c r="A104">
        <f>IF($C104="","", "REM"&amp;TEXT(ROW()-1,"0000"))</f>
        <v/>
      </c>
      <c r="B104" s="6" t="n"/>
      <c r="G104" s="6" t="n"/>
      <c r="H104" s="8" t="n"/>
      <c r="I104">
        <f>IF($G104="","", MAX(0, TODAY()-$G104))</f>
        <v/>
      </c>
      <c r="L104" s="6" t="n"/>
    </row>
    <row r="105">
      <c r="A105">
        <f>IF($C105="","", "REM"&amp;TEXT(ROW()-1,"0000"))</f>
        <v/>
      </c>
      <c r="B105" s="6" t="n"/>
      <c r="G105" s="6" t="n"/>
      <c r="H105" s="8" t="n"/>
      <c r="I105">
        <f>IF($G105="","", MAX(0, TODAY()-$G105))</f>
        <v/>
      </c>
      <c r="L105" s="6" t="n"/>
    </row>
    <row r="106">
      <c r="A106">
        <f>IF($C106="","", "REM"&amp;TEXT(ROW()-1,"0000"))</f>
        <v/>
      </c>
      <c r="B106" s="6" t="n"/>
      <c r="G106" s="6" t="n"/>
      <c r="H106" s="8" t="n"/>
      <c r="I106">
        <f>IF($G106="","", MAX(0, TODAY()-$G106))</f>
        <v/>
      </c>
      <c r="L106" s="6" t="n"/>
    </row>
    <row r="107">
      <c r="A107">
        <f>IF($C107="","", "REM"&amp;TEXT(ROW()-1,"0000"))</f>
        <v/>
      </c>
      <c r="B107" s="6" t="n"/>
      <c r="G107" s="6" t="n"/>
      <c r="H107" s="8" t="n"/>
      <c r="I107">
        <f>IF($G107="","", MAX(0, TODAY()-$G107))</f>
        <v/>
      </c>
      <c r="L107" s="6" t="n"/>
    </row>
    <row r="108">
      <c r="A108">
        <f>IF($C108="","", "REM"&amp;TEXT(ROW()-1,"0000"))</f>
        <v/>
      </c>
      <c r="B108" s="6" t="n"/>
      <c r="G108" s="6" t="n"/>
      <c r="H108" s="8" t="n"/>
      <c r="I108">
        <f>IF($G108="","", MAX(0, TODAY()-$G108))</f>
        <v/>
      </c>
      <c r="L108" s="6" t="n"/>
    </row>
    <row r="109">
      <c r="A109">
        <f>IF($C109="","", "REM"&amp;TEXT(ROW()-1,"0000"))</f>
        <v/>
      </c>
      <c r="B109" s="6" t="n"/>
      <c r="G109" s="6" t="n"/>
      <c r="H109" s="8" t="n"/>
      <c r="I109">
        <f>IF($G109="","", MAX(0, TODAY()-$G109))</f>
        <v/>
      </c>
      <c r="L109" s="6" t="n"/>
    </row>
    <row r="110">
      <c r="A110">
        <f>IF($C110="","", "REM"&amp;TEXT(ROW()-1,"0000"))</f>
        <v/>
      </c>
      <c r="B110" s="6" t="n"/>
      <c r="G110" s="6" t="n"/>
      <c r="H110" s="8" t="n"/>
      <c r="I110">
        <f>IF($G110="","", MAX(0, TODAY()-$G110))</f>
        <v/>
      </c>
      <c r="L110" s="6" t="n"/>
    </row>
    <row r="111">
      <c r="A111">
        <f>IF($C111="","", "REM"&amp;TEXT(ROW()-1,"0000"))</f>
        <v/>
      </c>
      <c r="B111" s="6" t="n"/>
      <c r="G111" s="6" t="n"/>
      <c r="H111" s="8" t="n"/>
      <c r="I111">
        <f>IF($G111="","", MAX(0, TODAY()-$G111))</f>
        <v/>
      </c>
      <c r="L111" s="6" t="n"/>
    </row>
    <row r="112">
      <c r="A112">
        <f>IF($C112="","", "REM"&amp;TEXT(ROW()-1,"0000"))</f>
        <v/>
      </c>
      <c r="B112" s="6" t="n"/>
      <c r="G112" s="6" t="n"/>
      <c r="H112" s="8" t="n"/>
      <c r="I112">
        <f>IF($G112="","", MAX(0, TODAY()-$G112))</f>
        <v/>
      </c>
      <c r="L112" s="6" t="n"/>
    </row>
    <row r="113">
      <c r="A113">
        <f>IF($C113="","", "REM"&amp;TEXT(ROW()-1,"0000"))</f>
        <v/>
      </c>
      <c r="B113" s="6" t="n"/>
      <c r="G113" s="6" t="n"/>
      <c r="H113" s="8" t="n"/>
      <c r="I113">
        <f>IF($G113="","", MAX(0, TODAY()-$G113))</f>
        <v/>
      </c>
      <c r="L113" s="6" t="n"/>
    </row>
    <row r="114">
      <c r="A114">
        <f>IF($C114="","", "REM"&amp;TEXT(ROW()-1,"0000"))</f>
        <v/>
      </c>
      <c r="B114" s="6" t="n"/>
      <c r="G114" s="6" t="n"/>
      <c r="H114" s="8" t="n"/>
      <c r="I114">
        <f>IF($G114="","", MAX(0, TODAY()-$G114))</f>
        <v/>
      </c>
      <c r="L114" s="6" t="n"/>
    </row>
    <row r="115">
      <c r="A115">
        <f>IF($C115="","", "REM"&amp;TEXT(ROW()-1,"0000"))</f>
        <v/>
      </c>
      <c r="B115" s="6" t="n"/>
      <c r="G115" s="6" t="n"/>
      <c r="H115" s="8" t="n"/>
      <c r="I115">
        <f>IF($G115="","", MAX(0, TODAY()-$G115))</f>
        <v/>
      </c>
      <c r="L115" s="6" t="n"/>
    </row>
    <row r="116">
      <c r="A116">
        <f>IF($C116="","", "REM"&amp;TEXT(ROW()-1,"0000"))</f>
        <v/>
      </c>
      <c r="B116" s="6" t="n"/>
      <c r="G116" s="6" t="n"/>
      <c r="H116" s="8" t="n"/>
      <c r="I116">
        <f>IF($G116="","", MAX(0, TODAY()-$G116))</f>
        <v/>
      </c>
      <c r="L116" s="6" t="n"/>
    </row>
    <row r="117">
      <c r="A117">
        <f>IF($C117="","", "REM"&amp;TEXT(ROW()-1,"0000"))</f>
        <v/>
      </c>
      <c r="B117" s="6" t="n"/>
      <c r="G117" s="6" t="n"/>
      <c r="H117" s="8" t="n"/>
      <c r="I117">
        <f>IF($G117="","", MAX(0, TODAY()-$G117))</f>
        <v/>
      </c>
      <c r="L117" s="6" t="n"/>
    </row>
    <row r="118">
      <c r="A118">
        <f>IF($C118="","", "REM"&amp;TEXT(ROW()-1,"0000"))</f>
        <v/>
      </c>
      <c r="B118" s="6" t="n"/>
      <c r="G118" s="6" t="n"/>
      <c r="H118" s="8" t="n"/>
      <c r="I118">
        <f>IF($G118="","", MAX(0, TODAY()-$G118))</f>
        <v/>
      </c>
      <c r="L118" s="6" t="n"/>
    </row>
    <row r="119">
      <c r="A119">
        <f>IF($C119="","", "REM"&amp;TEXT(ROW()-1,"0000"))</f>
        <v/>
      </c>
      <c r="B119" s="6" t="n"/>
      <c r="G119" s="6" t="n"/>
      <c r="H119" s="8" t="n"/>
      <c r="I119">
        <f>IF($G119="","", MAX(0, TODAY()-$G119))</f>
        <v/>
      </c>
      <c r="L119" s="6" t="n"/>
    </row>
    <row r="120">
      <c r="A120">
        <f>IF($C120="","", "REM"&amp;TEXT(ROW()-1,"0000"))</f>
        <v/>
      </c>
      <c r="B120" s="6" t="n"/>
      <c r="G120" s="6" t="n"/>
      <c r="H120" s="8" t="n"/>
      <c r="I120">
        <f>IF($G120="","", MAX(0, TODAY()-$G120))</f>
        <v/>
      </c>
      <c r="L120" s="6" t="n"/>
    </row>
    <row r="121">
      <c r="A121">
        <f>IF($C121="","", "REM"&amp;TEXT(ROW()-1,"0000"))</f>
        <v/>
      </c>
      <c r="B121" s="6" t="n"/>
      <c r="G121" s="6" t="n"/>
      <c r="H121" s="8" t="n"/>
      <c r="I121">
        <f>IF($G121="","", MAX(0, TODAY()-$G121))</f>
        <v/>
      </c>
      <c r="L121" s="6" t="n"/>
    </row>
    <row r="122">
      <c r="A122">
        <f>IF($C122="","", "REM"&amp;TEXT(ROW()-1,"0000"))</f>
        <v/>
      </c>
      <c r="B122" s="6" t="n"/>
      <c r="G122" s="6" t="n"/>
      <c r="H122" s="8" t="n"/>
      <c r="I122">
        <f>IF($G122="","", MAX(0, TODAY()-$G122))</f>
        <v/>
      </c>
      <c r="L122" s="6" t="n"/>
    </row>
    <row r="123">
      <c r="A123">
        <f>IF($C123="","", "REM"&amp;TEXT(ROW()-1,"0000"))</f>
        <v/>
      </c>
      <c r="B123" s="6" t="n"/>
      <c r="G123" s="6" t="n"/>
      <c r="H123" s="8" t="n"/>
      <c r="I123">
        <f>IF($G123="","", MAX(0, TODAY()-$G123))</f>
        <v/>
      </c>
      <c r="L123" s="6" t="n"/>
    </row>
    <row r="124">
      <c r="A124">
        <f>IF($C124="","", "REM"&amp;TEXT(ROW()-1,"0000"))</f>
        <v/>
      </c>
      <c r="B124" s="6" t="n"/>
      <c r="G124" s="6" t="n"/>
      <c r="H124" s="8" t="n"/>
      <c r="I124">
        <f>IF($G124="","", MAX(0, TODAY()-$G124))</f>
        <v/>
      </c>
      <c r="L124" s="6" t="n"/>
    </row>
    <row r="125">
      <c r="A125">
        <f>IF($C125="","", "REM"&amp;TEXT(ROW()-1,"0000"))</f>
        <v/>
      </c>
      <c r="B125" s="6" t="n"/>
      <c r="G125" s="6" t="n"/>
      <c r="H125" s="8" t="n"/>
      <c r="I125">
        <f>IF($G125="","", MAX(0, TODAY()-$G125))</f>
        <v/>
      </c>
      <c r="L125" s="6" t="n"/>
    </row>
    <row r="126">
      <c r="A126">
        <f>IF($C126="","", "REM"&amp;TEXT(ROW()-1,"0000"))</f>
        <v/>
      </c>
      <c r="B126" s="6" t="n"/>
      <c r="G126" s="6" t="n"/>
      <c r="H126" s="8" t="n"/>
      <c r="I126">
        <f>IF($G126="","", MAX(0, TODAY()-$G126))</f>
        <v/>
      </c>
      <c r="L126" s="6" t="n"/>
    </row>
    <row r="127">
      <c r="A127">
        <f>IF($C127="","", "REM"&amp;TEXT(ROW()-1,"0000"))</f>
        <v/>
      </c>
      <c r="B127" s="6" t="n"/>
      <c r="G127" s="6" t="n"/>
      <c r="H127" s="8" t="n"/>
      <c r="I127">
        <f>IF($G127="","", MAX(0, TODAY()-$G127))</f>
        <v/>
      </c>
      <c r="L127" s="6" t="n"/>
    </row>
    <row r="128">
      <c r="A128">
        <f>IF($C128="","", "REM"&amp;TEXT(ROW()-1,"0000"))</f>
        <v/>
      </c>
      <c r="B128" s="6" t="n"/>
      <c r="G128" s="6" t="n"/>
      <c r="H128" s="8" t="n"/>
      <c r="I128">
        <f>IF($G128="","", MAX(0, TODAY()-$G128))</f>
        <v/>
      </c>
      <c r="L128" s="6" t="n"/>
    </row>
    <row r="129">
      <c r="A129">
        <f>IF($C129="","", "REM"&amp;TEXT(ROW()-1,"0000"))</f>
        <v/>
      </c>
      <c r="B129" s="6" t="n"/>
      <c r="G129" s="6" t="n"/>
      <c r="H129" s="8" t="n"/>
      <c r="I129">
        <f>IF($G129="","", MAX(0, TODAY()-$G129))</f>
        <v/>
      </c>
      <c r="L129" s="6" t="n"/>
    </row>
    <row r="130">
      <c r="A130">
        <f>IF($C130="","", "REM"&amp;TEXT(ROW()-1,"0000"))</f>
        <v/>
      </c>
      <c r="B130" s="6" t="n"/>
      <c r="G130" s="6" t="n"/>
      <c r="H130" s="8" t="n"/>
      <c r="I130">
        <f>IF($G130="","", MAX(0, TODAY()-$G130))</f>
        <v/>
      </c>
      <c r="L130" s="6" t="n"/>
    </row>
    <row r="131">
      <c r="A131">
        <f>IF($C131="","", "REM"&amp;TEXT(ROW()-1,"0000"))</f>
        <v/>
      </c>
      <c r="B131" s="6" t="n"/>
      <c r="G131" s="6" t="n"/>
      <c r="H131" s="8" t="n"/>
      <c r="I131">
        <f>IF($G131="","", MAX(0, TODAY()-$G131))</f>
        <v/>
      </c>
      <c r="L131" s="6" t="n"/>
    </row>
    <row r="132">
      <c r="A132">
        <f>IF($C132="","", "REM"&amp;TEXT(ROW()-1,"0000"))</f>
        <v/>
      </c>
      <c r="B132" s="6" t="n"/>
      <c r="G132" s="6" t="n"/>
      <c r="H132" s="8" t="n"/>
      <c r="I132">
        <f>IF($G132="","", MAX(0, TODAY()-$G132))</f>
        <v/>
      </c>
      <c r="L132" s="6" t="n"/>
    </row>
    <row r="133">
      <c r="A133">
        <f>IF($C133="","", "REM"&amp;TEXT(ROW()-1,"0000"))</f>
        <v/>
      </c>
      <c r="B133" s="6" t="n"/>
      <c r="G133" s="6" t="n"/>
      <c r="H133" s="8" t="n"/>
      <c r="I133">
        <f>IF($G133="","", MAX(0, TODAY()-$G133))</f>
        <v/>
      </c>
      <c r="L133" s="6" t="n"/>
    </row>
    <row r="134">
      <c r="A134">
        <f>IF($C134="","", "REM"&amp;TEXT(ROW()-1,"0000"))</f>
        <v/>
      </c>
      <c r="B134" s="6" t="n"/>
      <c r="G134" s="6" t="n"/>
      <c r="H134" s="8" t="n"/>
      <c r="I134">
        <f>IF($G134="","", MAX(0, TODAY()-$G134))</f>
        <v/>
      </c>
      <c r="L134" s="6" t="n"/>
    </row>
    <row r="135">
      <c r="A135">
        <f>IF($C135="","", "REM"&amp;TEXT(ROW()-1,"0000"))</f>
        <v/>
      </c>
      <c r="B135" s="6" t="n"/>
      <c r="G135" s="6" t="n"/>
      <c r="H135" s="8" t="n"/>
      <c r="I135">
        <f>IF($G135="","", MAX(0, TODAY()-$G135))</f>
        <v/>
      </c>
      <c r="L135" s="6" t="n"/>
    </row>
    <row r="136">
      <c r="A136">
        <f>IF($C136="","", "REM"&amp;TEXT(ROW()-1,"0000"))</f>
        <v/>
      </c>
      <c r="B136" s="6" t="n"/>
      <c r="G136" s="6" t="n"/>
      <c r="H136" s="8" t="n"/>
      <c r="I136">
        <f>IF($G136="","", MAX(0, TODAY()-$G136))</f>
        <v/>
      </c>
      <c r="L136" s="6" t="n"/>
    </row>
    <row r="137">
      <c r="A137">
        <f>IF($C137="","", "REM"&amp;TEXT(ROW()-1,"0000"))</f>
        <v/>
      </c>
      <c r="B137" s="6" t="n"/>
      <c r="G137" s="6" t="n"/>
      <c r="H137" s="8" t="n"/>
      <c r="I137">
        <f>IF($G137="","", MAX(0, TODAY()-$G137))</f>
        <v/>
      </c>
      <c r="L137" s="6" t="n"/>
    </row>
    <row r="138">
      <c r="A138">
        <f>IF($C138="","", "REM"&amp;TEXT(ROW()-1,"0000"))</f>
        <v/>
      </c>
      <c r="B138" s="6" t="n"/>
      <c r="G138" s="6" t="n"/>
      <c r="H138" s="8" t="n"/>
      <c r="I138">
        <f>IF($G138="","", MAX(0, TODAY()-$G138))</f>
        <v/>
      </c>
      <c r="L138" s="6" t="n"/>
    </row>
    <row r="139">
      <c r="A139">
        <f>IF($C139="","", "REM"&amp;TEXT(ROW()-1,"0000"))</f>
        <v/>
      </c>
      <c r="B139" s="6" t="n"/>
      <c r="G139" s="6" t="n"/>
      <c r="H139" s="8" t="n"/>
      <c r="I139">
        <f>IF($G139="","", MAX(0, TODAY()-$G139))</f>
        <v/>
      </c>
      <c r="L139" s="6" t="n"/>
    </row>
    <row r="140">
      <c r="A140">
        <f>IF($C140="","", "REM"&amp;TEXT(ROW()-1,"0000"))</f>
        <v/>
      </c>
      <c r="B140" s="6" t="n"/>
      <c r="G140" s="6" t="n"/>
      <c r="H140" s="8" t="n"/>
      <c r="I140">
        <f>IF($G140="","", MAX(0, TODAY()-$G140))</f>
        <v/>
      </c>
      <c r="L140" s="6" t="n"/>
    </row>
    <row r="141">
      <c r="A141">
        <f>IF($C141="","", "REM"&amp;TEXT(ROW()-1,"0000"))</f>
        <v/>
      </c>
      <c r="B141" s="6" t="n"/>
      <c r="G141" s="6" t="n"/>
      <c r="H141" s="8" t="n"/>
      <c r="I141">
        <f>IF($G141="","", MAX(0, TODAY()-$G141))</f>
        <v/>
      </c>
      <c r="L141" s="6" t="n"/>
    </row>
    <row r="142">
      <c r="A142">
        <f>IF($C142="","", "REM"&amp;TEXT(ROW()-1,"0000"))</f>
        <v/>
      </c>
      <c r="B142" s="6" t="n"/>
      <c r="G142" s="6" t="n"/>
      <c r="H142" s="8" t="n"/>
      <c r="I142">
        <f>IF($G142="","", MAX(0, TODAY()-$G142))</f>
        <v/>
      </c>
      <c r="L142" s="6" t="n"/>
    </row>
    <row r="143">
      <c r="A143">
        <f>IF($C143="","", "REM"&amp;TEXT(ROW()-1,"0000"))</f>
        <v/>
      </c>
      <c r="B143" s="6" t="n"/>
      <c r="G143" s="6" t="n"/>
      <c r="H143" s="8" t="n"/>
      <c r="I143">
        <f>IF($G143="","", MAX(0, TODAY()-$G143))</f>
        <v/>
      </c>
      <c r="L143" s="6" t="n"/>
    </row>
    <row r="144">
      <c r="A144">
        <f>IF($C144="","", "REM"&amp;TEXT(ROW()-1,"0000"))</f>
        <v/>
      </c>
      <c r="B144" s="6" t="n"/>
      <c r="G144" s="6" t="n"/>
      <c r="H144" s="8" t="n"/>
      <c r="I144">
        <f>IF($G144="","", MAX(0, TODAY()-$G144))</f>
        <v/>
      </c>
      <c r="L144" s="6" t="n"/>
    </row>
    <row r="145">
      <c r="A145">
        <f>IF($C145="","", "REM"&amp;TEXT(ROW()-1,"0000"))</f>
        <v/>
      </c>
      <c r="B145" s="6" t="n"/>
      <c r="G145" s="6" t="n"/>
      <c r="H145" s="8" t="n"/>
      <c r="I145">
        <f>IF($G145="","", MAX(0, TODAY()-$G145))</f>
        <v/>
      </c>
      <c r="L145" s="6" t="n"/>
    </row>
    <row r="146">
      <c r="A146">
        <f>IF($C146="","", "REM"&amp;TEXT(ROW()-1,"0000"))</f>
        <v/>
      </c>
      <c r="B146" s="6" t="n"/>
      <c r="G146" s="6" t="n"/>
      <c r="H146" s="8" t="n"/>
      <c r="I146">
        <f>IF($G146="","", MAX(0, TODAY()-$G146))</f>
        <v/>
      </c>
      <c r="L146" s="6" t="n"/>
    </row>
    <row r="147">
      <c r="A147">
        <f>IF($C147="","", "REM"&amp;TEXT(ROW()-1,"0000"))</f>
        <v/>
      </c>
      <c r="B147" s="6" t="n"/>
      <c r="G147" s="6" t="n"/>
      <c r="H147" s="8" t="n"/>
      <c r="I147">
        <f>IF($G147="","", MAX(0, TODAY()-$G147))</f>
        <v/>
      </c>
      <c r="L147" s="6" t="n"/>
    </row>
    <row r="148">
      <c r="A148">
        <f>IF($C148="","", "REM"&amp;TEXT(ROW()-1,"0000"))</f>
        <v/>
      </c>
      <c r="B148" s="6" t="n"/>
      <c r="G148" s="6" t="n"/>
      <c r="H148" s="8" t="n"/>
      <c r="I148">
        <f>IF($G148="","", MAX(0, TODAY()-$G148))</f>
        <v/>
      </c>
      <c r="L148" s="6" t="n"/>
    </row>
    <row r="149">
      <c r="A149">
        <f>IF($C149="","", "REM"&amp;TEXT(ROW()-1,"0000"))</f>
        <v/>
      </c>
      <c r="B149" s="6" t="n"/>
      <c r="G149" s="6" t="n"/>
      <c r="H149" s="8" t="n"/>
      <c r="I149">
        <f>IF($G149="","", MAX(0, TODAY()-$G149))</f>
        <v/>
      </c>
      <c r="L149" s="6" t="n"/>
    </row>
    <row r="150">
      <c r="A150">
        <f>IF($C150="","", "REM"&amp;TEXT(ROW()-1,"0000"))</f>
        <v/>
      </c>
      <c r="B150" s="6" t="n"/>
      <c r="G150" s="6" t="n"/>
      <c r="H150" s="8" t="n"/>
      <c r="I150">
        <f>IF($G150="","", MAX(0, TODAY()-$G150))</f>
        <v/>
      </c>
      <c r="L150" s="6" t="n"/>
    </row>
    <row r="151">
      <c r="A151">
        <f>IF($C151="","", "REM"&amp;TEXT(ROW()-1,"0000"))</f>
        <v/>
      </c>
      <c r="B151" s="6" t="n"/>
      <c r="G151" s="6" t="n"/>
      <c r="H151" s="8" t="n"/>
      <c r="I151">
        <f>IF($G151="","", MAX(0, TODAY()-$G151))</f>
        <v/>
      </c>
      <c r="L151" s="6" t="n"/>
    </row>
    <row r="152">
      <c r="A152">
        <f>IF($C152="","", "REM"&amp;TEXT(ROW()-1,"0000"))</f>
        <v/>
      </c>
      <c r="B152" s="6" t="n"/>
      <c r="G152" s="6" t="n"/>
      <c r="H152" s="8" t="n"/>
      <c r="I152">
        <f>IF($G152="","", MAX(0, TODAY()-$G152))</f>
        <v/>
      </c>
      <c r="L152" s="6" t="n"/>
    </row>
    <row r="153">
      <c r="A153">
        <f>IF($C153="","", "REM"&amp;TEXT(ROW()-1,"0000"))</f>
        <v/>
      </c>
      <c r="B153" s="6" t="n"/>
      <c r="G153" s="6" t="n"/>
      <c r="H153" s="8" t="n"/>
      <c r="I153">
        <f>IF($G153="","", MAX(0, TODAY()-$G153))</f>
        <v/>
      </c>
      <c r="L153" s="6" t="n"/>
    </row>
    <row r="154">
      <c r="A154">
        <f>IF($C154="","", "REM"&amp;TEXT(ROW()-1,"0000"))</f>
        <v/>
      </c>
      <c r="B154" s="6" t="n"/>
      <c r="G154" s="6" t="n"/>
      <c r="H154" s="8" t="n"/>
      <c r="I154">
        <f>IF($G154="","", MAX(0, TODAY()-$G154))</f>
        <v/>
      </c>
      <c r="L154" s="6" t="n"/>
    </row>
    <row r="155">
      <c r="A155">
        <f>IF($C155="","", "REM"&amp;TEXT(ROW()-1,"0000"))</f>
        <v/>
      </c>
      <c r="B155" s="6" t="n"/>
      <c r="G155" s="6" t="n"/>
      <c r="H155" s="8" t="n"/>
      <c r="I155">
        <f>IF($G155="","", MAX(0, TODAY()-$G155))</f>
        <v/>
      </c>
      <c r="L155" s="6" t="n"/>
    </row>
    <row r="156">
      <c r="A156">
        <f>IF($C156="","", "REM"&amp;TEXT(ROW()-1,"0000"))</f>
        <v/>
      </c>
      <c r="B156" s="6" t="n"/>
      <c r="G156" s="6" t="n"/>
      <c r="H156" s="8" t="n"/>
      <c r="I156">
        <f>IF($G156="","", MAX(0, TODAY()-$G156))</f>
        <v/>
      </c>
      <c r="L156" s="6" t="n"/>
    </row>
    <row r="157">
      <c r="A157">
        <f>IF($C157="","", "REM"&amp;TEXT(ROW()-1,"0000"))</f>
        <v/>
      </c>
      <c r="B157" s="6" t="n"/>
      <c r="G157" s="6" t="n"/>
      <c r="H157" s="8" t="n"/>
      <c r="I157">
        <f>IF($G157="","", MAX(0, TODAY()-$G157))</f>
        <v/>
      </c>
      <c r="L157" s="6" t="n"/>
    </row>
    <row r="158">
      <c r="A158">
        <f>IF($C158="","", "REM"&amp;TEXT(ROW()-1,"0000"))</f>
        <v/>
      </c>
      <c r="B158" s="6" t="n"/>
      <c r="G158" s="6" t="n"/>
      <c r="H158" s="8" t="n"/>
      <c r="I158">
        <f>IF($G158="","", MAX(0, TODAY()-$G158))</f>
        <v/>
      </c>
      <c r="L158" s="6" t="n"/>
    </row>
    <row r="159">
      <c r="A159">
        <f>IF($C159="","", "REM"&amp;TEXT(ROW()-1,"0000"))</f>
        <v/>
      </c>
      <c r="B159" s="6" t="n"/>
      <c r="G159" s="6" t="n"/>
      <c r="H159" s="8" t="n"/>
      <c r="I159">
        <f>IF($G159="","", MAX(0, TODAY()-$G159))</f>
        <v/>
      </c>
      <c r="L159" s="6" t="n"/>
    </row>
    <row r="160">
      <c r="A160">
        <f>IF($C160="","", "REM"&amp;TEXT(ROW()-1,"0000"))</f>
        <v/>
      </c>
      <c r="B160" s="6" t="n"/>
      <c r="G160" s="6" t="n"/>
      <c r="H160" s="8" t="n"/>
      <c r="I160">
        <f>IF($G160="","", MAX(0, TODAY()-$G160))</f>
        <v/>
      </c>
      <c r="L160" s="6" t="n"/>
    </row>
    <row r="161">
      <c r="A161">
        <f>IF($C161="","", "REM"&amp;TEXT(ROW()-1,"0000"))</f>
        <v/>
      </c>
      <c r="B161" s="6" t="n"/>
      <c r="G161" s="6" t="n"/>
      <c r="H161" s="8" t="n"/>
      <c r="I161">
        <f>IF($G161="","", MAX(0, TODAY()-$G161))</f>
        <v/>
      </c>
      <c r="L161" s="6" t="n"/>
    </row>
    <row r="162">
      <c r="A162">
        <f>IF($C162="","", "REM"&amp;TEXT(ROW()-1,"0000"))</f>
        <v/>
      </c>
      <c r="B162" s="6" t="n"/>
      <c r="G162" s="6" t="n"/>
      <c r="H162" s="8" t="n"/>
      <c r="I162">
        <f>IF($G162="","", MAX(0, TODAY()-$G162))</f>
        <v/>
      </c>
      <c r="L162" s="6" t="n"/>
    </row>
    <row r="163">
      <c r="A163">
        <f>IF($C163="","", "REM"&amp;TEXT(ROW()-1,"0000"))</f>
        <v/>
      </c>
      <c r="B163" s="6" t="n"/>
      <c r="G163" s="6" t="n"/>
      <c r="H163" s="8" t="n"/>
      <c r="I163">
        <f>IF($G163="","", MAX(0, TODAY()-$G163))</f>
        <v/>
      </c>
      <c r="L163" s="6" t="n"/>
    </row>
    <row r="164">
      <c r="A164">
        <f>IF($C164="","", "REM"&amp;TEXT(ROW()-1,"0000"))</f>
        <v/>
      </c>
      <c r="B164" s="6" t="n"/>
      <c r="G164" s="6" t="n"/>
      <c r="H164" s="8" t="n"/>
      <c r="I164">
        <f>IF($G164="","", MAX(0, TODAY()-$G164))</f>
        <v/>
      </c>
      <c r="L164" s="6" t="n"/>
    </row>
    <row r="165">
      <c r="A165">
        <f>IF($C165="","", "REM"&amp;TEXT(ROW()-1,"0000"))</f>
        <v/>
      </c>
      <c r="B165" s="6" t="n"/>
      <c r="G165" s="6" t="n"/>
      <c r="H165" s="8" t="n"/>
      <c r="I165">
        <f>IF($G165="","", MAX(0, TODAY()-$G165))</f>
        <v/>
      </c>
      <c r="L165" s="6" t="n"/>
    </row>
    <row r="166">
      <c r="A166">
        <f>IF($C166="","", "REM"&amp;TEXT(ROW()-1,"0000"))</f>
        <v/>
      </c>
      <c r="B166" s="6" t="n"/>
      <c r="G166" s="6" t="n"/>
      <c r="H166" s="8" t="n"/>
      <c r="I166">
        <f>IF($G166="","", MAX(0, TODAY()-$G166))</f>
        <v/>
      </c>
      <c r="L166" s="6" t="n"/>
    </row>
    <row r="167">
      <c r="A167">
        <f>IF($C167="","", "REM"&amp;TEXT(ROW()-1,"0000"))</f>
        <v/>
      </c>
      <c r="B167" s="6" t="n"/>
      <c r="G167" s="6" t="n"/>
      <c r="H167" s="8" t="n"/>
      <c r="I167">
        <f>IF($G167="","", MAX(0, TODAY()-$G167))</f>
        <v/>
      </c>
      <c r="L167" s="6" t="n"/>
    </row>
    <row r="168">
      <c r="A168">
        <f>IF($C168="","", "REM"&amp;TEXT(ROW()-1,"0000"))</f>
        <v/>
      </c>
      <c r="B168" s="6" t="n"/>
      <c r="G168" s="6" t="n"/>
      <c r="H168" s="8" t="n"/>
      <c r="I168">
        <f>IF($G168="","", MAX(0, TODAY()-$G168))</f>
        <v/>
      </c>
      <c r="L168" s="6" t="n"/>
    </row>
    <row r="169">
      <c r="A169">
        <f>IF($C169="","", "REM"&amp;TEXT(ROW()-1,"0000"))</f>
        <v/>
      </c>
      <c r="B169" s="6" t="n"/>
      <c r="G169" s="6" t="n"/>
      <c r="H169" s="8" t="n"/>
      <c r="I169">
        <f>IF($G169="","", MAX(0, TODAY()-$G169))</f>
        <v/>
      </c>
      <c r="L169" s="6" t="n"/>
    </row>
    <row r="170">
      <c r="A170">
        <f>IF($C170="","", "REM"&amp;TEXT(ROW()-1,"0000"))</f>
        <v/>
      </c>
      <c r="B170" s="6" t="n"/>
      <c r="G170" s="6" t="n"/>
      <c r="H170" s="8" t="n"/>
      <c r="I170">
        <f>IF($G170="","", MAX(0, TODAY()-$G170))</f>
        <v/>
      </c>
      <c r="L170" s="6" t="n"/>
    </row>
    <row r="171">
      <c r="A171">
        <f>IF($C171="","", "REM"&amp;TEXT(ROW()-1,"0000"))</f>
        <v/>
      </c>
      <c r="B171" s="6" t="n"/>
      <c r="G171" s="6" t="n"/>
      <c r="H171" s="8" t="n"/>
      <c r="I171">
        <f>IF($G171="","", MAX(0, TODAY()-$G171))</f>
        <v/>
      </c>
      <c r="L171" s="6" t="n"/>
    </row>
    <row r="172">
      <c r="A172">
        <f>IF($C172="","", "REM"&amp;TEXT(ROW()-1,"0000"))</f>
        <v/>
      </c>
      <c r="B172" s="6" t="n"/>
      <c r="G172" s="6" t="n"/>
      <c r="H172" s="8" t="n"/>
      <c r="I172">
        <f>IF($G172="","", MAX(0, TODAY()-$G172))</f>
        <v/>
      </c>
      <c r="L172" s="6" t="n"/>
    </row>
    <row r="173">
      <c r="A173">
        <f>IF($C173="","", "REM"&amp;TEXT(ROW()-1,"0000"))</f>
        <v/>
      </c>
      <c r="B173" s="6" t="n"/>
      <c r="G173" s="6" t="n"/>
      <c r="H173" s="8" t="n"/>
      <c r="I173">
        <f>IF($G173="","", MAX(0, TODAY()-$G173))</f>
        <v/>
      </c>
      <c r="L173" s="6" t="n"/>
    </row>
    <row r="174">
      <c r="A174">
        <f>IF($C174="","", "REM"&amp;TEXT(ROW()-1,"0000"))</f>
        <v/>
      </c>
      <c r="B174" s="6" t="n"/>
      <c r="G174" s="6" t="n"/>
      <c r="H174" s="8" t="n"/>
      <c r="I174">
        <f>IF($G174="","", MAX(0, TODAY()-$G174))</f>
        <v/>
      </c>
      <c r="L174" s="6" t="n"/>
    </row>
    <row r="175">
      <c r="A175">
        <f>IF($C175="","", "REM"&amp;TEXT(ROW()-1,"0000"))</f>
        <v/>
      </c>
      <c r="B175" s="6" t="n"/>
      <c r="G175" s="6" t="n"/>
      <c r="H175" s="8" t="n"/>
      <c r="I175">
        <f>IF($G175="","", MAX(0, TODAY()-$G175))</f>
        <v/>
      </c>
      <c r="L175" s="6" t="n"/>
    </row>
    <row r="176">
      <c r="A176">
        <f>IF($C176="","", "REM"&amp;TEXT(ROW()-1,"0000"))</f>
        <v/>
      </c>
      <c r="B176" s="6" t="n"/>
      <c r="G176" s="6" t="n"/>
      <c r="H176" s="8" t="n"/>
      <c r="I176">
        <f>IF($G176="","", MAX(0, TODAY()-$G176))</f>
        <v/>
      </c>
      <c r="L176" s="6" t="n"/>
    </row>
    <row r="177">
      <c r="A177">
        <f>IF($C177="","", "REM"&amp;TEXT(ROW()-1,"0000"))</f>
        <v/>
      </c>
      <c r="B177" s="6" t="n"/>
      <c r="G177" s="6" t="n"/>
      <c r="H177" s="8" t="n"/>
      <c r="I177">
        <f>IF($G177="","", MAX(0, TODAY()-$G177))</f>
        <v/>
      </c>
      <c r="L177" s="6" t="n"/>
    </row>
    <row r="178">
      <c r="A178">
        <f>IF($C178="","", "REM"&amp;TEXT(ROW()-1,"0000"))</f>
        <v/>
      </c>
      <c r="B178" s="6" t="n"/>
      <c r="G178" s="6" t="n"/>
      <c r="H178" s="8" t="n"/>
      <c r="I178">
        <f>IF($G178="","", MAX(0, TODAY()-$G178))</f>
        <v/>
      </c>
      <c r="L178" s="6" t="n"/>
    </row>
    <row r="179">
      <c r="A179">
        <f>IF($C179="","", "REM"&amp;TEXT(ROW()-1,"0000"))</f>
        <v/>
      </c>
      <c r="B179" s="6" t="n"/>
      <c r="G179" s="6" t="n"/>
      <c r="H179" s="8" t="n"/>
      <c r="I179">
        <f>IF($G179="","", MAX(0, TODAY()-$G179))</f>
        <v/>
      </c>
      <c r="L179" s="6" t="n"/>
    </row>
    <row r="180">
      <c r="A180">
        <f>IF($C180="","", "REM"&amp;TEXT(ROW()-1,"0000"))</f>
        <v/>
      </c>
      <c r="B180" s="6" t="n"/>
      <c r="G180" s="6" t="n"/>
      <c r="H180" s="8" t="n"/>
      <c r="I180">
        <f>IF($G180="","", MAX(0, TODAY()-$G180))</f>
        <v/>
      </c>
      <c r="L180" s="6" t="n"/>
    </row>
    <row r="181">
      <c r="A181">
        <f>IF($C181="","", "REM"&amp;TEXT(ROW()-1,"0000"))</f>
        <v/>
      </c>
      <c r="B181" s="6" t="n"/>
      <c r="G181" s="6" t="n"/>
      <c r="H181" s="8" t="n"/>
      <c r="I181">
        <f>IF($G181="","", MAX(0, TODAY()-$G181))</f>
        <v/>
      </c>
      <c r="L181" s="6" t="n"/>
    </row>
    <row r="182">
      <c r="A182">
        <f>IF($C182="","", "REM"&amp;TEXT(ROW()-1,"0000"))</f>
        <v/>
      </c>
      <c r="B182" s="6" t="n"/>
      <c r="G182" s="6" t="n"/>
      <c r="H182" s="8" t="n"/>
      <c r="I182">
        <f>IF($G182="","", MAX(0, TODAY()-$G182))</f>
        <v/>
      </c>
      <c r="L182" s="6" t="n"/>
    </row>
    <row r="183">
      <c r="A183">
        <f>IF($C183="","", "REM"&amp;TEXT(ROW()-1,"0000"))</f>
        <v/>
      </c>
      <c r="B183" s="6" t="n"/>
      <c r="G183" s="6" t="n"/>
      <c r="H183" s="8" t="n"/>
      <c r="I183">
        <f>IF($G183="","", MAX(0, TODAY()-$G183))</f>
        <v/>
      </c>
      <c r="L183" s="6" t="n"/>
    </row>
    <row r="184">
      <c r="A184">
        <f>IF($C184="","", "REM"&amp;TEXT(ROW()-1,"0000"))</f>
        <v/>
      </c>
      <c r="B184" s="6" t="n"/>
      <c r="G184" s="6" t="n"/>
      <c r="H184" s="8" t="n"/>
      <c r="I184">
        <f>IF($G184="","", MAX(0, TODAY()-$G184))</f>
        <v/>
      </c>
      <c r="L184" s="6" t="n"/>
    </row>
    <row r="185">
      <c r="A185">
        <f>IF($C185="","", "REM"&amp;TEXT(ROW()-1,"0000"))</f>
        <v/>
      </c>
      <c r="B185" s="6" t="n"/>
      <c r="G185" s="6" t="n"/>
      <c r="H185" s="8" t="n"/>
      <c r="I185">
        <f>IF($G185="","", MAX(0, TODAY()-$G185))</f>
        <v/>
      </c>
      <c r="L185" s="6" t="n"/>
    </row>
    <row r="186">
      <c r="A186">
        <f>IF($C186="","", "REM"&amp;TEXT(ROW()-1,"0000"))</f>
        <v/>
      </c>
      <c r="B186" s="6" t="n"/>
      <c r="G186" s="6" t="n"/>
      <c r="H186" s="8" t="n"/>
      <c r="I186">
        <f>IF($G186="","", MAX(0, TODAY()-$G186))</f>
        <v/>
      </c>
      <c r="L186" s="6" t="n"/>
    </row>
    <row r="187">
      <c r="A187">
        <f>IF($C187="","", "REM"&amp;TEXT(ROW()-1,"0000"))</f>
        <v/>
      </c>
      <c r="B187" s="6" t="n"/>
      <c r="G187" s="6" t="n"/>
      <c r="H187" s="8" t="n"/>
      <c r="I187">
        <f>IF($G187="","", MAX(0, TODAY()-$G187))</f>
        <v/>
      </c>
      <c r="L187" s="6" t="n"/>
    </row>
    <row r="188">
      <c r="A188">
        <f>IF($C188="","", "REM"&amp;TEXT(ROW()-1,"0000"))</f>
        <v/>
      </c>
      <c r="B188" s="6" t="n"/>
      <c r="G188" s="6" t="n"/>
      <c r="H188" s="8" t="n"/>
      <c r="I188">
        <f>IF($G188="","", MAX(0, TODAY()-$G188))</f>
        <v/>
      </c>
      <c r="L188" s="6" t="n"/>
    </row>
    <row r="189">
      <c r="A189">
        <f>IF($C189="","", "REM"&amp;TEXT(ROW()-1,"0000"))</f>
        <v/>
      </c>
      <c r="B189" s="6" t="n"/>
      <c r="G189" s="6" t="n"/>
      <c r="H189" s="8" t="n"/>
      <c r="I189">
        <f>IF($G189="","", MAX(0, TODAY()-$G189))</f>
        <v/>
      </c>
      <c r="L189" s="6" t="n"/>
    </row>
    <row r="190">
      <c r="A190">
        <f>IF($C190="","", "REM"&amp;TEXT(ROW()-1,"0000"))</f>
        <v/>
      </c>
      <c r="B190" s="6" t="n"/>
      <c r="G190" s="6" t="n"/>
      <c r="H190" s="8" t="n"/>
      <c r="I190">
        <f>IF($G190="","", MAX(0, TODAY()-$G190))</f>
        <v/>
      </c>
      <c r="L190" s="6" t="n"/>
    </row>
    <row r="191">
      <c r="A191">
        <f>IF($C191="","", "REM"&amp;TEXT(ROW()-1,"0000"))</f>
        <v/>
      </c>
      <c r="B191" s="6" t="n"/>
      <c r="G191" s="6" t="n"/>
      <c r="H191" s="8" t="n"/>
      <c r="I191">
        <f>IF($G191="","", MAX(0, TODAY()-$G191))</f>
        <v/>
      </c>
      <c r="L191" s="6" t="n"/>
    </row>
    <row r="192">
      <c r="A192">
        <f>IF($C192="","", "REM"&amp;TEXT(ROW()-1,"0000"))</f>
        <v/>
      </c>
      <c r="B192" s="6" t="n"/>
      <c r="G192" s="6" t="n"/>
      <c r="H192" s="8" t="n"/>
      <c r="I192">
        <f>IF($G192="","", MAX(0, TODAY()-$G192))</f>
        <v/>
      </c>
      <c r="L192" s="6" t="n"/>
    </row>
    <row r="193">
      <c r="A193">
        <f>IF($C193="","", "REM"&amp;TEXT(ROW()-1,"0000"))</f>
        <v/>
      </c>
      <c r="B193" s="6" t="n"/>
      <c r="G193" s="6" t="n"/>
      <c r="H193" s="8" t="n"/>
      <c r="I193">
        <f>IF($G193="","", MAX(0, TODAY()-$G193))</f>
        <v/>
      </c>
      <c r="L193" s="6" t="n"/>
    </row>
    <row r="194">
      <c r="A194">
        <f>IF($C194="","", "REM"&amp;TEXT(ROW()-1,"0000"))</f>
        <v/>
      </c>
      <c r="B194" s="6" t="n"/>
      <c r="G194" s="6" t="n"/>
      <c r="H194" s="8" t="n"/>
      <c r="I194">
        <f>IF($G194="","", MAX(0, TODAY()-$G194))</f>
        <v/>
      </c>
      <c r="L194" s="6" t="n"/>
    </row>
    <row r="195">
      <c r="A195">
        <f>IF($C195="","", "REM"&amp;TEXT(ROW()-1,"0000"))</f>
        <v/>
      </c>
      <c r="B195" s="6" t="n"/>
      <c r="G195" s="6" t="n"/>
      <c r="H195" s="8" t="n"/>
      <c r="I195">
        <f>IF($G195="","", MAX(0, TODAY()-$G195))</f>
        <v/>
      </c>
      <c r="L195" s="6" t="n"/>
    </row>
    <row r="196">
      <c r="A196">
        <f>IF($C196="","", "REM"&amp;TEXT(ROW()-1,"0000"))</f>
        <v/>
      </c>
      <c r="B196" s="6" t="n"/>
      <c r="G196" s="6" t="n"/>
      <c r="H196" s="8" t="n"/>
      <c r="I196">
        <f>IF($G196="","", MAX(0, TODAY()-$G196))</f>
        <v/>
      </c>
      <c r="L196" s="6" t="n"/>
    </row>
    <row r="197">
      <c r="A197">
        <f>IF($C197="","", "REM"&amp;TEXT(ROW()-1,"0000"))</f>
        <v/>
      </c>
      <c r="B197" s="6" t="n"/>
      <c r="G197" s="6" t="n"/>
      <c r="H197" s="8" t="n"/>
      <c r="I197">
        <f>IF($G197="","", MAX(0, TODAY()-$G197))</f>
        <v/>
      </c>
      <c r="L197" s="6" t="n"/>
    </row>
    <row r="198">
      <c r="A198">
        <f>IF($C198="","", "REM"&amp;TEXT(ROW()-1,"0000"))</f>
        <v/>
      </c>
      <c r="B198" s="6" t="n"/>
      <c r="G198" s="6" t="n"/>
      <c r="H198" s="8" t="n"/>
      <c r="I198">
        <f>IF($G198="","", MAX(0, TODAY()-$G198))</f>
        <v/>
      </c>
      <c r="L198" s="6" t="n"/>
    </row>
    <row r="199">
      <c r="A199">
        <f>IF($C199="","", "REM"&amp;TEXT(ROW()-1,"0000"))</f>
        <v/>
      </c>
      <c r="B199" s="6" t="n"/>
      <c r="G199" s="6" t="n"/>
      <c r="H199" s="8" t="n"/>
      <c r="I199">
        <f>IF($G199="","", MAX(0, TODAY()-$G199))</f>
        <v/>
      </c>
      <c r="L199" s="6" t="n"/>
    </row>
    <row r="200">
      <c r="A200">
        <f>IF($C200="","", "REM"&amp;TEXT(ROW()-1,"0000"))</f>
        <v/>
      </c>
      <c r="B200" s="6" t="n"/>
      <c r="G200" s="6" t="n"/>
      <c r="H200" s="8" t="n"/>
      <c r="I200">
        <f>IF($G200="","", MAX(0, TODAY()-$G200))</f>
        <v/>
      </c>
      <c r="L200" s="6" t="n"/>
    </row>
    <row r="201">
      <c r="A201">
        <f>IF($C201="","", "REM"&amp;TEXT(ROW()-1,"0000"))</f>
        <v/>
      </c>
      <c r="B201" s="6" t="n"/>
      <c r="G201" s="6" t="n"/>
      <c r="H201" s="8" t="n"/>
      <c r="I201">
        <f>IF($G201="","", MAX(0, TODAY()-$G201))</f>
        <v/>
      </c>
      <c r="L201" s="6" t="n"/>
    </row>
    <row r="202">
      <c r="A202">
        <f>IF($C202="","", "REM"&amp;TEXT(ROW()-1,"0000"))</f>
        <v/>
      </c>
      <c r="B202" s="6" t="n"/>
      <c r="G202" s="6" t="n"/>
      <c r="H202" s="8" t="n"/>
      <c r="I202">
        <f>IF($G202="","", MAX(0, TODAY()-$G202))</f>
        <v/>
      </c>
      <c r="L202" s="6" t="n"/>
    </row>
    <row r="203">
      <c r="A203">
        <f>IF($C203="","", "REM"&amp;TEXT(ROW()-1,"0000"))</f>
        <v/>
      </c>
      <c r="B203" s="6" t="n"/>
      <c r="G203" s="6" t="n"/>
      <c r="H203" s="8" t="n"/>
      <c r="I203">
        <f>IF($G203="","", MAX(0, TODAY()-$G203))</f>
        <v/>
      </c>
      <c r="L203" s="6" t="n"/>
    </row>
    <row r="204">
      <c r="A204">
        <f>IF($C204="","", "REM"&amp;TEXT(ROW()-1,"0000"))</f>
        <v/>
      </c>
      <c r="B204" s="6" t="n"/>
      <c r="G204" s="6" t="n"/>
      <c r="H204" s="8" t="n"/>
      <c r="I204">
        <f>IF($G204="","", MAX(0, TODAY()-$G204))</f>
        <v/>
      </c>
      <c r="L204" s="6" t="n"/>
    </row>
    <row r="205">
      <c r="A205">
        <f>IF($C205="","", "REM"&amp;TEXT(ROW()-1,"0000"))</f>
        <v/>
      </c>
      <c r="B205" s="6" t="n"/>
      <c r="G205" s="6" t="n"/>
      <c r="H205" s="8" t="n"/>
      <c r="I205">
        <f>IF($G205="","", MAX(0, TODAY()-$G205))</f>
        <v/>
      </c>
      <c r="L205" s="6" t="n"/>
    </row>
    <row r="206">
      <c r="A206">
        <f>IF($C206="","", "REM"&amp;TEXT(ROW()-1,"0000"))</f>
        <v/>
      </c>
      <c r="B206" s="6" t="n"/>
      <c r="G206" s="6" t="n"/>
      <c r="H206" s="8" t="n"/>
      <c r="I206">
        <f>IF($G206="","", MAX(0, TODAY()-$G206))</f>
        <v/>
      </c>
      <c r="L206" s="6" t="n"/>
    </row>
    <row r="207">
      <c r="A207">
        <f>IF($C207="","", "REM"&amp;TEXT(ROW()-1,"0000"))</f>
        <v/>
      </c>
      <c r="B207" s="6" t="n"/>
      <c r="G207" s="6" t="n"/>
      <c r="H207" s="8" t="n"/>
      <c r="I207">
        <f>IF($G207="","", MAX(0, TODAY()-$G207))</f>
        <v/>
      </c>
      <c r="L207" s="6" t="n"/>
    </row>
    <row r="208">
      <c r="A208">
        <f>IF($C208="","", "REM"&amp;TEXT(ROW()-1,"0000"))</f>
        <v/>
      </c>
      <c r="B208" s="6" t="n"/>
      <c r="G208" s="6" t="n"/>
      <c r="H208" s="8" t="n"/>
      <c r="I208">
        <f>IF($G208="","", MAX(0, TODAY()-$G208))</f>
        <v/>
      </c>
      <c r="L208" s="6" t="n"/>
    </row>
    <row r="209">
      <c r="A209">
        <f>IF($C209="","", "REM"&amp;TEXT(ROW()-1,"0000"))</f>
        <v/>
      </c>
      <c r="B209" s="6" t="n"/>
      <c r="G209" s="6" t="n"/>
      <c r="H209" s="8" t="n"/>
      <c r="I209">
        <f>IF($G209="","", MAX(0, TODAY()-$G209))</f>
        <v/>
      </c>
      <c r="L209" s="6" t="n"/>
    </row>
    <row r="210">
      <c r="A210">
        <f>IF($C210="","", "REM"&amp;TEXT(ROW()-1,"0000"))</f>
        <v/>
      </c>
      <c r="B210" s="6" t="n"/>
      <c r="G210" s="6" t="n"/>
      <c r="H210" s="8" t="n"/>
      <c r="I210">
        <f>IF($G210="","", MAX(0, TODAY()-$G210))</f>
        <v/>
      </c>
      <c r="L210" s="6" t="n"/>
    </row>
    <row r="211">
      <c r="A211">
        <f>IF($C211="","", "REM"&amp;TEXT(ROW()-1,"0000"))</f>
        <v/>
      </c>
      <c r="B211" s="6" t="n"/>
      <c r="G211" s="6" t="n"/>
      <c r="H211" s="8" t="n"/>
      <c r="I211">
        <f>IF($G211="","", MAX(0, TODAY()-$G211))</f>
        <v/>
      </c>
      <c r="L211" s="6" t="n"/>
    </row>
    <row r="212">
      <c r="A212">
        <f>IF($C212="","", "REM"&amp;TEXT(ROW()-1,"0000"))</f>
        <v/>
      </c>
      <c r="B212" s="6" t="n"/>
      <c r="G212" s="6" t="n"/>
      <c r="H212" s="8" t="n"/>
      <c r="I212">
        <f>IF($G212="","", MAX(0, TODAY()-$G212))</f>
        <v/>
      </c>
      <c r="L212" s="6" t="n"/>
    </row>
    <row r="213">
      <c r="A213">
        <f>IF($C213="","", "REM"&amp;TEXT(ROW()-1,"0000"))</f>
        <v/>
      </c>
      <c r="B213" s="6" t="n"/>
      <c r="G213" s="6" t="n"/>
      <c r="H213" s="8" t="n"/>
      <c r="I213">
        <f>IF($G213="","", MAX(0, TODAY()-$G213))</f>
        <v/>
      </c>
      <c r="L213" s="6" t="n"/>
    </row>
    <row r="214">
      <c r="A214">
        <f>IF($C214="","", "REM"&amp;TEXT(ROW()-1,"0000"))</f>
        <v/>
      </c>
      <c r="B214" s="6" t="n"/>
      <c r="G214" s="6" t="n"/>
      <c r="H214" s="8" t="n"/>
      <c r="I214">
        <f>IF($G214="","", MAX(0, TODAY()-$G214))</f>
        <v/>
      </c>
      <c r="L214" s="6" t="n"/>
    </row>
    <row r="215">
      <c r="A215">
        <f>IF($C215="","", "REM"&amp;TEXT(ROW()-1,"0000"))</f>
        <v/>
      </c>
      <c r="B215" s="6" t="n"/>
      <c r="G215" s="6" t="n"/>
      <c r="H215" s="8" t="n"/>
      <c r="I215">
        <f>IF($G215="","", MAX(0, TODAY()-$G215))</f>
        <v/>
      </c>
      <c r="L215" s="6" t="n"/>
    </row>
    <row r="216">
      <c r="A216">
        <f>IF($C216="","", "REM"&amp;TEXT(ROW()-1,"0000"))</f>
        <v/>
      </c>
      <c r="B216" s="6" t="n"/>
      <c r="G216" s="6" t="n"/>
      <c r="H216" s="8" t="n"/>
      <c r="I216">
        <f>IF($G216="","", MAX(0, TODAY()-$G216))</f>
        <v/>
      </c>
      <c r="L216" s="6" t="n"/>
    </row>
    <row r="217">
      <c r="A217">
        <f>IF($C217="","", "REM"&amp;TEXT(ROW()-1,"0000"))</f>
        <v/>
      </c>
      <c r="B217" s="6" t="n"/>
      <c r="G217" s="6" t="n"/>
      <c r="H217" s="8" t="n"/>
      <c r="I217">
        <f>IF($G217="","", MAX(0, TODAY()-$G217))</f>
        <v/>
      </c>
      <c r="L217" s="6" t="n"/>
    </row>
    <row r="218">
      <c r="A218">
        <f>IF($C218="","", "REM"&amp;TEXT(ROW()-1,"0000"))</f>
        <v/>
      </c>
      <c r="B218" s="6" t="n"/>
      <c r="G218" s="6" t="n"/>
      <c r="H218" s="8" t="n"/>
      <c r="I218">
        <f>IF($G218="","", MAX(0, TODAY()-$G218))</f>
        <v/>
      </c>
      <c r="L218" s="6" t="n"/>
    </row>
    <row r="219">
      <c r="A219">
        <f>IF($C219="","", "REM"&amp;TEXT(ROW()-1,"0000"))</f>
        <v/>
      </c>
      <c r="B219" s="6" t="n"/>
      <c r="G219" s="6" t="n"/>
      <c r="H219" s="8" t="n"/>
      <c r="I219">
        <f>IF($G219="","", MAX(0, TODAY()-$G219))</f>
        <v/>
      </c>
      <c r="L219" s="6" t="n"/>
    </row>
    <row r="220">
      <c r="A220">
        <f>IF($C220="","", "REM"&amp;TEXT(ROW()-1,"0000"))</f>
        <v/>
      </c>
      <c r="B220" s="6" t="n"/>
      <c r="G220" s="6" t="n"/>
      <c r="H220" s="8" t="n"/>
      <c r="I220">
        <f>IF($G220="","", MAX(0, TODAY()-$G220))</f>
        <v/>
      </c>
      <c r="L220" s="6" t="n"/>
    </row>
    <row r="221">
      <c r="A221">
        <f>IF($C221="","", "REM"&amp;TEXT(ROW()-1,"0000"))</f>
        <v/>
      </c>
      <c r="B221" s="6" t="n"/>
      <c r="G221" s="6" t="n"/>
      <c r="H221" s="8" t="n"/>
      <c r="I221">
        <f>IF($G221="","", MAX(0, TODAY()-$G221))</f>
        <v/>
      </c>
      <c r="L221" s="6" t="n"/>
    </row>
    <row r="222">
      <c r="A222">
        <f>IF($C222="","", "REM"&amp;TEXT(ROW()-1,"0000"))</f>
        <v/>
      </c>
      <c r="B222" s="6" t="n"/>
      <c r="G222" s="6" t="n"/>
      <c r="H222" s="8" t="n"/>
      <c r="I222">
        <f>IF($G222="","", MAX(0, TODAY()-$G222))</f>
        <v/>
      </c>
      <c r="L222" s="6" t="n"/>
    </row>
    <row r="223">
      <c r="A223">
        <f>IF($C223="","", "REM"&amp;TEXT(ROW()-1,"0000"))</f>
        <v/>
      </c>
      <c r="B223" s="6" t="n"/>
      <c r="G223" s="6" t="n"/>
      <c r="H223" s="8" t="n"/>
      <c r="I223">
        <f>IF($G223="","", MAX(0, TODAY()-$G223))</f>
        <v/>
      </c>
      <c r="L223" s="6" t="n"/>
    </row>
    <row r="224">
      <c r="A224">
        <f>IF($C224="","", "REM"&amp;TEXT(ROW()-1,"0000"))</f>
        <v/>
      </c>
      <c r="B224" s="6" t="n"/>
      <c r="G224" s="6" t="n"/>
      <c r="H224" s="8" t="n"/>
      <c r="I224">
        <f>IF($G224="","", MAX(0, TODAY()-$G224))</f>
        <v/>
      </c>
      <c r="L224" s="6" t="n"/>
    </row>
    <row r="225">
      <c r="A225">
        <f>IF($C225="","", "REM"&amp;TEXT(ROW()-1,"0000"))</f>
        <v/>
      </c>
      <c r="B225" s="6" t="n"/>
      <c r="G225" s="6" t="n"/>
      <c r="H225" s="8" t="n"/>
      <c r="I225">
        <f>IF($G225="","", MAX(0, TODAY()-$G225))</f>
        <v/>
      </c>
      <c r="L225" s="6" t="n"/>
    </row>
    <row r="226">
      <c r="A226">
        <f>IF($C226="","", "REM"&amp;TEXT(ROW()-1,"0000"))</f>
        <v/>
      </c>
      <c r="B226" s="6" t="n"/>
      <c r="G226" s="6" t="n"/>
      <c r="H226" s="8" t="n"/>
      <c r="I226">
        <f>IF($G226="","", MAX(0, TODAY()-$G226))</f>
        <v/>
      </c>
      <c r="L226" s="6" t="n"/>
    </row>
    <row r="227">
      <c r="A227">
        <f>IF($C227="","", "REM"&amp;TEXT(ROW()-1,"0000"))</f>
        <v/>
      </c>
      <c r="B227" s="6" t="n"/>
      <c r="G227" s="6" t="n"/>
      <c r="H227" s="8" t="n"/>
      <c r="I227">
        <f>IF($G227="","", MAX(0, TODAY()-$G227))</f>
        <v/>
      </c>
      <c r="L227" s="6" t="n"/>
    </row>
    <row r="228">
      <c r="A228">
        <f>IF($C228="","", "REM"&amp;TEXT(ROW()-1,"0000"))</f>
        <v/>
      </c>
      <c r="B228" s="6" t="n"/>
      <c r="G228" s="6" t="n"/>
      <c r="H228" s="8" t="n"/>
      <c r="I228">
        <f>IF($G228="","", MAX(0, TODAY()-$G228))</f>
        <v/>
      </c>
      <c r="L228" s="6" t="n"/>
    </row>
    <row r="229">
      <c r="A229">
        <f>IF($C229="","", "REM"&amp;TEXT(ROW()-1,"0000"))</f>
        <v/>
      </c>
      <c r="B229" s="6" t="n"/>
      <c r="G229" s="6" t="n"/>
      <c r="H229" s="8" t="n"/>
      <c r="I229">
        <f>IF($G229="","", MAX(0, TODAY()-$G229))</f>
        <v/>
      </c>
      <c r="L229" s="6" t="n"/>
    </row>
    <row r="230">
      <c r="A230">
        <f>IF($C230="","", "REM"&amp;TEXT(ROW()-1,"0000"))</f>
        <v/>
      </c>
      <c r="B230" s="6" t="n"/>
      <c r="G230" s="6" t="n"/>
      <c r="H230" s="8" t="n"/>
      <c r="I230">
        <f>IF($G230="","", MAX(0, TODAY()-$G230))</f>
        <v/>
      </c>
      <c r="L230" s="6" t="n"/>
    </row>
    <row r="231">
      <c r="A231">
        <f>IF($C231="","", "REM"&amp;TEXT(ROW()-1,"0000"))</f>
        <v/>
      </c>
      <c r="B231" s="6" t="n"/>
      <c r="G231" s="6" t="n"/>
      <c r="H231" s="8" t="n"/>
      <c r="I231">
        <f>IF($G231="","", MAX(0, TODAY()-$G231))</f>
        <v/>
      </c>
      <c r="L231" s="6" t="n"/>
    </row>
    <row r="232">
      <c r="A232">
        <f>IF($C232="","", "REM"&amp;TEXT(ROW()-1,"0000"))</f>
        <v/>
      </c>
      <c r="B232" s="6" t="n"/>
      <c r="G232" s="6" t="n"/>
      <c r="H232" s="8" t="n"/>
      <c r="I232">
        <f>IF($G232="","", MAX(0, TODAY()-$G232))</f>
        <v/>
      </c>
      <c r="L232" s="6" t="n"/>
    </row>
    <row r="233">
      <c r="A233">
        <f>IF($C233="","", "REM"&amp;TEXT(ROW()-1,"0000"))</f>
        <v/>
      </c>
      <c r="B233" s="6" t="n"/>
      <c r="G233" s="6" t="n"/>
      <c r="H233" s="8" t="n"/>
      <c r="I233">
        <f>IF($G233="","", MAX(0, TODAY()-$G233))</f>
        <v/>
      </c>
      <c r="L233" s="6" t="n"/>
    </row>
    <row r="234">
      <c r="A234">
        <f>IF($C234="","", "REM"&amp;TEXT(ROW()-1,"0000"))</f>
        <v/>
      </c>
      <c r="B234" s="6" t="n"/>
      <c r="G234" s="6" t="n"/>
      <c r="H234" s="8" t="n"/>
      <c r="I234">
        <f>IF($G234="","", MAX(0, TODAY()-$G234))</f>
        <v/>
      </c>
      <c r="L234" s="6" t="n"/>
    </row>
    <row r="235">
      <c r="A235">
        <f>IF($C235="","", "REM"&amp;TEXT(ROW()-1,"0000"))</f>
        <v/>
      </c>
      <c r="B235" s="6" t="n"/>
      <c r="G235" s="6" t="n"/>
      <c r="H235" s="8" t="n"/>
      <c r="I235">
        <f>IF($G235="","", MAX(0, TODAY()-$G235))</f>
        <v/>
      </c>
      <c r="L235" s="6" t="n"/>
    </row>
    <row r="236">
      <c r="A236">
        <f>IF($C236="","", "REM"&amp;TEXT(ROW()-1,"0000"))</f>
        <v/>
      </c>
      <c r="B236" s="6" t="n"/>
      <c r="G236" s="6" t="n"/>
      <c r="H236" s="8" t="n"/>
      <c r="I236">
        <f>IF($G236="","", MAX(0, TODAY()-$G236))</f>
        <v/>
      </c>
      <c r="L236" s="6" t="n"/>
    </row>
    <row r="237">
      <c r="A237">
        <f>IF($C237="","", "REM"&amp;TEXT(ROW()-1,"0000"))</f>
        <v/>
      </c>
      <c r="B237" s="6" t="n"/>
      <c r="G237" s="6" t="n"/>
      <c r="H237" s="8" t="n"/>
      <c r="I237">
        <f>IF($G237="","", MAX(0, TODAY()-$G237))</f>
        <v/>
      </c>
      <c r="L237" s="6" t="n"/>
    </row>
    <row r="238">
      <c r="A238">
        <f>IF($C238="","", "REM"&amp;TEXT(ROW()-1,"0000"))</f>
        <v/>
      </c>
      <c r="B238" s="6" t="n"/>
      <c r="G238" s="6" t="n"/>
      <c r="H238" s="8" t="n"/>
      <c r="I238">
        <f>IF($G238="","", MAX(0, TODAY()-$G238))</f>
        <v/>
      </c>
      <c r="L238" s="6" t="n"/>
    </row>
    <row r="239">
      <c r="A239">
        <f>IF($C239="","", "REM"&amp;TEXT(ROW()-1,"0000"))</f>
        <v/>
      </c>
      <c r="B239" s="6" t="n"/>
      <c r="G239" s="6" t="n"/>
      <c r="H239" s="8" t="n"/>
      <c r="I239">
        <f>IF($G239="","", MAX(0, TODAY()-$G239))</f>
        <v/>
      </c>
      <c r="L239" s="6" t="n"/>
    </row>
    <row r="240">
      <c r="A240">
        <f>IF($C240="","", "REM"&amp;TEXT(ROW()-1,"0000"))</f>
        <v/>
      </c>
      <c r="B240" s="6" t="n"/>
      <c r="G240" s="6" t="n"/>
      <c r="H240" s="8" t="n"/>
      <c r="I240">
        <f>IF($G240="","", MAX(0, TODAY()-$G240))</f>
        <v/>
      </c>
      <c r="L240" s="6" t="n"/>
    </row>
    <row r="241">
      <c r="A241">
        <f>IF($C241="","", "REM"&amp;TEXT(ROW()-1,"0000"))</f>
        <v/>
      </c>
      <c r="B241" s="6" t="n"/>
      <c r="G241" s="6" t="n"/>
      <c r="H241" s="8" t="n"/>
      <c r="I241">
        <f>IF($G241="","", MAX(0, TODAY()-$G241))</f>
        <v/>
      </c>
      <c r="L241" s="6" t="n"/>
    </row>
    <row r="242">
      <c r="A242">
        <f>IF($C242="","", "REM"&amp;TEXT(ROW()-1,"0000"))</f>
        <v/>
      </c>
      <c r="B242" s="6" t="n"/>
      <c r="G242" s="6" t="n"/>
      <c r="H242" s="8" t="n"/>
      <c r="I242">
        <f>IF($G242="","", MAX(0, TODAY()-$G242))</f>
        <v/>
      </c>
      <c r="L242" s="6" t="n"/>
    </row>
    <row r="243">
      <c r="A243">
        <f>IF($C243="","", "REM"&amp;TEXT(ROW()-1,"0000"))</f>
        <v/>
      </c>
      <c r="B243" s="6" t="n"/>
      <c r="G243" s="6" t="n"/>
      <c r="H243" s="8" t="n"/>
      <c r="I243">
        <f>IF($G243="","", MAX(0, TODAY()-$G243))</f>
        <v/>
      </c>
      <c r="L243" s="6" t="n"/>
    </row>
    <row r="244">
      <c r="A244">
        <f>IF($C244="","", "REM"&amp;TEXT(ROW()-1,"0000"))</f>
        <v/>
      </c>
      <c r="B244" s="6" t="n"/>
      <c r="G244" s="6" t="n"/>
      <c r="H244" s="8" t="n"/>
      <c r="I244">
        <f>IF($G244="","", MAX(0, TODAY()-$G244))</f>
        <v/>
      </c>
      <c r="L244" s="6" t="n"/>
    </row>
    <row r="245">
      <c r="A245">
        <f>IF($C245="","", "REM"&amp;TEXT(ROW()-1,"0000"))</f>
        <v/>
      </c>
      <c r="B245" s="6" t="n"/>
      <c r="G245" s="6" t="n"/>
      <c r="H245" s="8" t="n"/>
      <c r="I245">
        <f>IF($G245="","", MAX(0, TODAY()-$G245))</f>
        <v/>
      </c>
      <c r="L245" s="6" t="n"/>
    </row>
    <row r="246">
      <c r="A246">
        <f>IF($C246="","", "REM"&amp;TEXT(ROW()-1,"0000"))</f>
        <v/>
      </c>
      <c r="B246" s="6" t="n"/>
      <c r="G246" s="6" t="n"/>
      <c r="H246" s="8" t="n"/>
      <c r="I246">
        <f>IF($G246="","", MAX(0, TODAY()-$G246))</f>
        <v/>
      </c>
      <c r="L246" s="6" t="n"/>
    </row>
    <row r="247">
      <c r="A247">
        <f>IF($C247="","", "REM"&amp;TEXT(ROW()-1,"0000"))</f>
        <v/>
      </c>
      <c r="B247" s="6" t="n"/>
      <c r="G247" s="6" t="n"/>
      <c r="H247" s="8" t="n"/>
      <c r="I247">
        <f>IF($G247="","", MAX(0, TODAY()-$G247))</f>
        <v/>
      </c>
      <c r="L247" s="6" t="n"/>
    </row>
    <row r="248">
      <c r="A248">
        <f>IF($C248="","", "REM"&amp;TEXT(ROW()-1,"0000"))</f>
        <v/>
      </c>
      <c r="B248" s="6" t="n"/>
      <c r="G248" s="6" t="n"/>
      <c r="H248" s="8" t="n"/>
      <c r="I248">
        <f>IF($G248="","", MAX(0, TODAY()-$G248))</f>
        <v/>
      </c>
      <c r="L248" s="6" t="n"/>
    </row>
    <row r="249">
      <c r="A249">
        <f>IF($C249="","", "REM"&amp;TEXT(ROW()-1,"0000"))</f>
        <v/>
      </c>
      <c r="B249" s="6" t="n"/>
      <c r="G249" s="6" t="n"/>
      <c r="H249" s="8" t="n"/>
      <c r="I249">
        <f>IF($G249="","", MAX(0, TODAY()-$G249))</f>
        <v/>
      </c>
      <c r="L249" s="6" t="n"/>
    </row>
    <row r="250">
      <c r="A250">
        <f>IF($C250="","", "REM"&amp;TEXT(ROW()-1,"0000"))</f>
        <v/>
      </c>
      <c r="B250" s="6" t="n"/>
      <c r="G250" s="6" t="n"/>
      <c r="H250" s="8" t="n"/>
      <c r="I250">
        <f>IF($G250="","", MAX(0, TODAY()-$G250))</f>
        <v/>
      </c>
      <c r="L250" s="6" t="n"/>
    </row>
    <row r="251">
      <c r="A251">
        <f>IF($C251="","", "REM"&amp;TEXT(ROW()-1,"0000"))</f>
        <v/>
      </c>
      <c r="B251" s="6" t="n"/>
      <c r="G251" s="6" t="n"/>
      <c r="H251" s="8" t="n"/>
      <c r="I251">
        <f>IF($G251="","", MAX(0, TODAY()-$G251))</f>
        <v/>
      </c>
      <c r="L251" s="6" t="n"/>
    </row>
    <row r="252">
      <c r="A252">
        <f>IF($C252="","", "REM"&amp;TEXT(ROW()-1,"0000"))</f>
        <v/>
      </c>
      <c r="B252" s="6" t="n"/>
      <c r="G252" s="6" t="n"/>
      <c r="H252" s="8" t="n"/>
      <c r="I252">
        <f>IF($G252="","", MAX(0, TODAY()-$G252))</f>
        <v/>
      </c>
      <c r="L252" s="6" t="n"/>
    </row>
    <row r="253">
      <c r="A253">
        <f>IF($C253="","", "REM"&amp;TEXT(ROW()-1,"0000"))</f>
        <v/>
      </c>
      <c r="B253" s="6" t="n"/>
      <c r="G253" s="6" t="n"/>
      <c r="H253" s="8" t="n"/>
      <c r="I253">
        <f>IF($G253="","", MAX(0, TODAY()-$G253))</f>
        <v/>
      </c>
      <c r="L253" s="6" t="n"/>
    </row>
    <row r="254">
      <c r="A254">
        <f>IF($C254="","", "REM"&amp;TEXT(ROW()-1,"0000"))</f>
        <v/>
      </c>
      <c r="B254" s="6" t="n"/>
      <c r="G254" s="6" t="n"/>
      <c r="H254" s="8" t="n"/>
      <c r="I254">
        <f>IF($G254="","", MAX(0, TODAY()-$G254))</f>
        <v/>
      </c>
      <c r="L254" s="6" t="n"/>
    </row>
    <row r="255">
      <c r="A255">
        <f>IF($C255="","", "REM"&amp;TEXT(ROW()-1,"0000"))</f>
        <v/>
      </c>
      <c r="B255" s="6" t="n"/>
      <c r="G255" s="6" t="n"/>
      <c r="H255" s="8" t="n"/>
      <c r="I255">
        <f>IF($G255="","", MAX(0, TODAY()-$G255))</f>
        <v/>
      </c>
      <c r="L255" s="6" t="n"/>
    </row>
    <row r="256">
      <c r="A256">
        <f>IF($C256="","", "REM"&amp;TEXT(ROW()-1,"0000"))</f>
        <v/>
      </c>
      <c r="B256" s="6" t="n"/>
      <c r="G256" s="6" t="n"/>
      <c r="H256" s="8" t="n"/>
      <c r="I256">
        <f>IF($G256="","", MAX(0, TODAY()-$G256))</f>
        <v/>
      </c>
      <c r="L256" s="6" t="n"/>
    </row>
    <row r="257">
      <c r="A257">
        <f>IF($C257="","", "REM"&amp;TEXT(ROW()-1,"0000"))</f>
        <v/>
      </c>
      <c r="B257" s="6" t="n"/>
      <c r="G257" s="6" t="n"/>
      <c r="H257" s="8" t="n"/>
      <c r="I257">
        <f>IF($G257="","", MAX(0, TODAY()-$G257))</f>
        <v/>
      </c>
      <c r="L257" s="6" t="n"/>
    </row>
    <row r="258">
      <c r="A258">
        <f>IF($C258="","", "REM"&amp;TEXT(ROW()-1,"0000"))</f>
        <v/>
      </c>
      <c r="B258" s="6" t="n"/>
      <c r="G258" s="6" t="n"/>
      <c r="H258" s="8" t="n"/>
      <c r="I258">
        <f>IF($G258="","", MAX(0, TODAY()-$G258))</f>
        <v/>
      </c>
      <c r="L258" s="6" t="n"/>
    </row>
    <row r="259">
      <c r="A259">
        <f>IF($C259="","", "REM"&amp;TEXT(ROW()-1,"0000"))</f>
        <v/>
      </c>
      <c r="B259" s="6" t="n"/>
      <c r="G259" s="6" t="n"/>
      <c r="H259" s="8" t="n"/>
      <c r="I259">
        <f>IF($G259="","", MAX(0, TODAY()-$G259))</f>
        <v/>
      </c>
      <c r="L259" s="6" t="n"/>
    </row>
    <row r="260">
      <c r="A260">
        <f>IF($C260="","", "REM"&amp;TEXT(ROW()-1,"0000"))</f>
        <v/>
      </c>
      <c r="B260" s="6" t="n"/>
      <c r="G260" s="6" t="n"/>
      <c r="H260" s="8" t="n"/>
      <c r="I260">
        <f>IF($G260="","", MAX(0, TODAY()-$G260))</f>
        <v/>
      </c>
      <c r="L260" s="6" t="n"/>
    </row>
    <row r="261">
      <c r="A261">
        <f>IF($C261="","", "REM"&amp;TEXT(ROW()-1,"0000"))</f>
        <v/>
      </c>
      <c r="B261" s="6" t="n"/>
      <c r="G261" s="6" t="n"/>
      <c r="H261" s="8" t="n"/>
      <c r="I261">
        <f>IF($G261="","", MAX(0, TODAY()-$G261))</f>
        <v/>
      </c>
      <c r="L261" s="6" t="n"/>
    </row>
    <row r="262">
      <c r="A262">
        <f>IF($C262="","", "REM"&amp;TEXT(ROW()-1,"0000"))</f>
        <v/>
      </c>
      <c r="B262" s="6" t="n"/>
      <c r="G262" s="6" t="n"/>
      <c r="H262" s="8" t="n"/>
      <c r="I262">
        <f>IF($G262="","", MAX(0, TODAY()-$G262))</f>
        <v/>
      </c>
      <c r="L262" s="6" t="n"/>
    </row>
    <row r="263">
      <c r="A263">
        <f>IF($C263="","", "REM"&amp;TEXT(ROW()-1,"0000"))</f>
        <v/>
      </c>
      <c r="B263" s="6" t="n"/>
      <c r="G263" s="6" t="n"/>
      <c r="H263" s="8" t="n"/>
      <c r="I263">
        <f>IF($G263="","", MAX(0, TODAY()-$G263))</f>
        <v/>
      </c>
      <c r="L263" s="6" t="n"/>
    </row>
    <row r="264">
      <c r="A264">
        <f>IF($C264="","", "REM"&amp;TEXT(ROW()-1,"0000"))</f>
        <v/>
      </c>
      <c r="B264" s="6" t="n"/>
      <c r="G264" s="6" t="n"/>
      <c r="H264" s="8" t="n"/>
      <c r="I264">
        <f>IF($G264="","", MAX(0, TODAY()-$G264))</f>
        <v/>
      </c>
      <c r="L264" s="6" t="n"/>
    </row>
    <row r="265">
      <c r="A265">
        <f>IF($C265="","", "REM"&amp;TEXT(ROW()-1,"0000"))</f>
        <v/>
      </c>
      <c r="B265" s="6" t="n"/>
      <c r="G265" s="6" t="n"/>
      <c r="H265" s="8" t="n"/>
      <c r="I265">
        <f>IF($G265="","", MAX(0, TODAY()-$G265))</f>
        <v/>
      </c>
      <c r="L265" s="6" t="n"/>
    </row>
    <row r="266">
      <c r="A266">
        <f>IF($C266="","", "REM"&amp;TEXT(ROW()-1,"0000"))</f>
        <v/>
      </c>
      <c r="B266" s="6" t="n"/>
      <c r="G266" s="6" t="n"/>
      <c r="H266" s="8" t="n"/>
      <c r="I266">
        <f>IF($G266="","", MAX(0, TODAY()-$G266))</f>
        <v/>
      </c>
      <c r="L266" s="6" t="n"/>
    </row>
    <row r="267">
      <c r="A267">
        <f>IF($C267="","", "REM"&amp;TEXT(ROW()-1,"0000"))</f>
        <v/>
      </c>
      <c r="B267" s="6" t="n"/>
      <c r="G267" s="6" t="n"/>
      <c r="H267" s="8" t="n"/>
      <c r="I267">
        <f>IF($G267="","", MAX(0, TODAY()-$G267))</f>
        <v/>
      </c>
      <c r="L267" s="6" t="n"/>
    </row>
    <row r="268">
      <c r="A268">
        <f>IF($C268="","", "REM"&amp;TEXT(ROW()-1,"0000"))</f>
        <v/>
      </c>
      <c r="B268" s="6" t="n"/>
      <c r="G268" s="6" t="n"/>
      <c r="H268" s="8" t="n"/>
      <c r="I268">
        <f>IF($G268="","", MAX(0, TODAY()-$G268))</f>
        <v/>
      </c>
      <c r="L268" s="6" t="n"/>
    </row>
    <row r="269">
      <c r="A269">
        <f>IF($C269="","", "REM"&amp;TEXT(ROW()-1,"0000"))</f>
        <v/>
      </c>
      <c r="B269" s="6" t="n"/>
      <c r="G269" s="6" t="n"/>
      <c r="H269" s="8" t="n"/>
      <c r="I269">
        <f>IF($G269="","", MAX(0, TODAY()-$G269))</f>
        <v/>
      </c>
      <c r="L269" s="6" t="n"/>
    </row>
    <row r="270">
      <c r="A270">
        <f>IF($C270="","", "REM"&amp;TEXT(ROW()-1,"0000"))</f>
        <v/>
      </c>
      <c r="B270" s="6" t="n"/>
      <c r="G270" s="6" t="n"/>
      <c r="H270" s="8" t="n"/>
      <c r="I270">
        <f>IF($G270="","", MAX(0, TODAY()-$G270))</f>
        <v/>
      </c>
      <c r="L270" s="6" t="n"/>
    </row>
    <row r="271">
      <c r="A271">
        <f>IF($C271="","", "REM"&amp;TEXT(ROW()-1,"0000"))</f>
        <v/>
      </c>
      <c r="B271" s="6" t="n"/>
      <c r="G271" s="6" t="n"/>
      <c r="H271" s="8" t="n"/>
      <c r="I271">
        <f>IF($G271="","", MAX(0, TODAY()-$G271))</f>
        <v/>
      </c>
      <c r="L271" s="6" t="n"/>
    </row>
    <row r="272">
      <c r="A272">
        <f>IF($C272="","", "REM"&amp;TEXT(ROW()-1,"0000"))</f>
        <v/>
      </c>
      <c r="B272" s="6" t="n"/>
      <c r="G272" s="6" t="n"/>
      <c r="H272" s="8" t="n"/>
      <c r="I272">
        <f>IF($G272="","", MAX(0, TODAY()-$G272))</f>
        <v/>
      </c>
      <c r="L272" s="6" t="n"/>
    </row>
    <row r="273">
      <c r="A273">
        <f>IF($C273="","", "REM"&amp;TEXT(ROW()-1,"0000"))</f>
        <v/>
      </c>
      <c r="B273" s="6" t="n"/>
      <c r="G273" s="6" t="n"/>
      <c r="H273" s="8" t="n"/>
      <c r="I273">
        <f>IF($G273="","", MAX(0, TODAY()-$G273))</f>
        <v/>
      </c>
      <c r="L273" s="6" t="n"/>
    </row>
    <row r="274">
      <c r="A274">
        <f>IF($C274="","", "REM"&amp;TEXT(ROW()-1,"0000"))</f>
        <v/>
      </c>
      <c r="B274" s="6" t="n"/>
      <c r="G274" s="6" t="n"/>
      <c r="H274" s="8" t="n"/>
      <c r="I274">
        <f>IF($G274="","", MAX(0, TODAY()-$G274))</f>
        <v/>
      </c>
      <c r="L274" s="6" t="n"/>
    </row>
    <row r="275">
      <c r="A275">
        <f>IF($C275="","", "REM"&amp;TEXT(ROW()-1,"0000"))</f>
        <v/>
      </c>
      <c r="B275" s="6" t="n"/>
      <c r="G275" s="6" t="n"/>
      <c r="H275" s="8" t="n"/>
      <c r="I275">
        <f>IF($G275="","", MAX(0, TODAY()-$G275))</f>
        <v/>
      </c>
      <c r="L275" s="6" t="n"/>
    </row>
    <row r="276">
      <c r="A276">
        <f>IF($C276="","", "REM"&amp;TEXT(ROW()-1,"0000"))</f>
        <v/>
      </c>
      <c r="B276" s="6" t="n"/>
      <c r="G276" s="6" t="n"/>
      <c r="H276" s="8" t="n"/>
      <c r="I276">
        <f>IF($G276="","", MAX(0, TODAY()-$G276))</f>
        <v/>
      </c>
      <c r="L276" s="6" t="n"/>
    </row>
    <row r="277">
      <c r="A277">
        <f>IF($C277="","", "REM"&amp;TEXT(ROW()-1,"0000"))</f>
        <v/>
      </c>
      <c r="B277" s="6" t="n"/>
      <c r="G277" s="6" t="n"/>
      <c r="H277" s="8" t="n"/>
      <c r="I277">
        <f>IF($G277="","", MAX(0, TODAY()-$G277))</f>
        <v/>
      </c>
      <c r="L277" s="6" t="n"/>
    </row>
    <row r="278">
      <c r="A278">
        <f>IF($C278="","", "REM"&amp;TEXT(ROW()-1,"0000"))</f>
        <v/>
      </c>
      <c r="B278" s="6" t="n"/>
      <c r="G278" s="6" t="n"/>
      <c r="H278" s="8" t="n"/>
      <c r="I278">
        <f>IF($G278="","", MAX(0, TODAY()-$G278))</f>
        <v/>
      </c>
      <c r="L278" s="6" t="n"/>
    </row>
    <row r="279">
      <c r="A279">
        <f>IF($C279="","", "REM"&amp;TEXT(ROW()-1,"0000"))</f>
        <v/>
      </c>
      <c r="B279" s="6" t="n"/>
      <c r="G279" s="6" t="n"/>
      <c r="H279" s="8" t="n"/>
      <c r="I279">
        <f>IF($G279="","", MAX(0, TODAY()-$G279))</f>
        <v/>
      </c>
      <c r="L279" s="6" t="n"/>
    </row>
    <row r="280">
      <c r="A280">
        <f>IF($C280="","", "REM"&amp;TEXT(ROW()-1,"0000"))</f>
        <v/>
      </c>
      <c r="B280" s="6" t="n"/>
      <c r="G280" s="6" t="n"/>
      <c r="H280" s="8" t="n"/>
      <c r="I280">
        <f>IF($G280="","", MAX(0, TODAY()-$G280))</f>
        <v/>
      </c>
      <c r="L280" s="6" t="n"/>
    </row>
    <row r="281">
      <c r="A281">
        <f>IF($C281="","", "REM"&amp;TEXT(ROW()-1,"0000"))</f>
        <v/>
      </c>
      <c r="B281" s="6" t="n"/>
      <c r="G281" s="6" t="n"/>
      <c r="H281" s="8" t="n"/>
      <c r="I281">
        <f>IF($G281="","", MAX(0, TODAY()-$G281))</f>
        <v/>
      </c>
      <c r="L281" s="6" t="n"/>
    </row>
    <row r="282">
      <c r="A282">
        <f>IF($C282="","", "REM"&amp;TEXT(ROW()-1,"0000"))</f>
        <v/>
      </c>
      <c r="B282" s="6" t="n"/>
      <c r="G282" s="6" t="n"/>
      <c r="H282" s="8" t="n"/>
      <c r="I282">
        <f>IF($G282="","", MAX(0, TODAY()-$G282))</f>
        <v/>
      </c>
      <c r="L282" s="6" t="n"/>
    </row>
    <row r="283">
      <c r="A283">
        <f>IF($C283="","", "REM"&amp;TEXT(ROW()-1,"0000"))</f>
        <v/>
      </c>
      <c r="B283" s="6" t="n"/>
      <c r="G283" s="6" t="n"/>
      <c r="H283" s="8" t="n"/>
      <c r="I283">
        <f>IF($G283="","", MAX(0, TODAY()-$G283))</f>
        <v/>
      </c>
      <c r="L283" s="6" t="n"/>
    </row>
    <row r="284">
      <c r="A284">
        <f>IF($C284="","", "REM"&amp;TEXT(ROW()-1,"0000"))</f>
        <v/>
      </c>
      <c r="B284" s="6" t="n"/>
      <c r="G284" s="6" t="n"/>
      <c r="H284" s="8" t="n"/>
      <c r="I284">
        <f>IF($G284="","", MAX(0, TODAY()-$G284))</f>
        <v/>
      </c>
      <c r="L284" s="6" t="n"/>
    </row>
    <row r="285">
      <c r="A285">
        <f>IF($C285="","", "REM"&amp;TEXT(ROW()-1,"0000"))</f>
        <v/>
      </c>
      <c r="B285" s="6" t="n"/>
      <c r="G285" s="6" t="n"/>
      <c r="H285" s="8" t="n"/>
      <c r="I285">
        <f>IF($G285="","", MAX(0, TODAY()-$G285))</f>
        <v/>
      </c>
      <c r="L285" s="6" t="n"/>
    </row>
    <row r="286">
      <c r="A286">
        <f>IF($C286="","", "REM"&amp;TEXT(ROW()-1,"0000"))</f>
        <v/>
      </c>
      <c r="B286" s="6" t="n"/>
      <c r="G286" s="6" t="n"/>
      <c r="H286" s="8" t="n"/>
      <c r="I286">
        <f>IF($G286="","", MAX(0, TODAY()-$G286))</f>
        <v/>
      </c>
      <c r="L286" s="6" t="n"/>
    </row>
    <row r="287">
      <c r="A287">
        <f>IF($C287="","", "REM"&amp;TEXT(ROW()-1,"0000"))</f>
        <v/>
      </c>
      <c r="B287" s="6" t="n"/>
      <c r="G287" s="6" t="n"/>
      <c r="H287" s="8" t="n"/>
      <c r="I287">
        <f>IF($G287="","", MAX(0, TODAY()-$G287))</f>
        <v/>
      </c>
      <c r="L287" s="6" t="n"/>
    </row>
    <row r="288">
      <c r="A288">
        <f>IF($C288="","", "REM"&amp;TEXT(ROW()-1,"0000"))</f>
        <v/>
      </c>
      <c r="B288" s="6" t="n"/>
      <c r="G288" s="6" t="n"/>
      <c r="H288" s="8" t="n"/>
      <c r="I288">
        <f>IF($G288="","", MAX(0, TODAY()-$G288))</f>
        <v/>
      </c>
      <c r="L288" s="6" t="n"/>
    </row>
    <row r="289">
      <c r="A289">
        <f>IF($C289="","", "REM"&amp;TEXT(ROW()-1,"0000"))</f>
        <v/>
      </c>
      <c r="B289" s="6" t="n"/>
      <c r="G289" s="6" t="n"/>
      <c r="H289" s="8" t="n"/>
      <c r="I289">
        <f>IF($G289="","", MAX(0, TODAY()-$G289))</f>
        <v/>
      </c>
      <c r="L289" s="6" t="n"/>
    </row>
    <row r="290">
      <c r="A290">
        <f>IF($C290="","", "REM"&amp;TEXT(ROW()-1,"0000"))</f>
        <v/>
      </c>
      <c r="B290" s="6" t="n"/>
      <c r="G290" s="6" t="n"/>
      <c r="H290" s="8" t="n"/>
      <c r="I290">
        <f>IF($G290="","", MAX(0, TODAY()-$G290))</f>
        <v/>
      </c>
      <c r="L290" s="6" t="n"/>
    </row>
    <row r="291">
      <c r="A291">
        <f>IF($C291="","", "REM"&amp;TEXT(ROW()-1,"0000"))</f>
        <v/>
      </c>
      <c r="B291" s="6" t="n"/>
      <c r="G291" s="6" t="n"/>
      <c r="H291" s="8" t="n"/>
      <c r="I291">
        <f>IF($G291="","", MAX(0, TODAY()-$G291))</f>
        <v/>
      </c>
      <c r="L291" s="6" t="n"/>
    </row>
    <row r="292">
      <c r="A292">
        <f>IF($C292="","", "REM"&amp;TEXT(ROW()-1,"0000"))</f>
        <v/>
      </c>
      <c r="B292" s="6" t="n"/>
      <c r="G292" s="6" t="n"/>
      <c r="H292" s="8" t="n"/>
      <c r="I292">
        <f>IF($G292="","", MAX(0, TODAY()-$G292))</f>
        <v/>
      </c>
      <c r="L292" s="6" t="n"/>
    </row>
    <row r="293">
      <c r="A293">
        <f>IF($C293="","", "REM"&amp;TEXT(ROW()-1,"0000"))</f>
        <v/>
      </c>
      <c r="B293" s="6" t="n"/>
      <c r="G293" s="6" t="n"/>
      <c r="H293" s="8" t="n"/>
      <c r="I293">
        <f>IF($G293="","", MAX(0, TODAY()-$G293))</f>
        <v/>
      </c>
      <c r="L293" s="6" t="n"/>
    </row>
    <row r="294">
      <c r="A294">
        <f>IF($C294="","", "REM"&amp;TEXT(ROW()-1,"0000"))</f>
        <v/>
      </c>
      <c r="B294" s="6" t="n"/>
      <c r="G294" s="6" t="n"/>
      <c r="H294" s="8" t="n"/>
      <c r="I294">
        <f>IF($G294="","", MAX(0, TODAY()-$G294))</f>
        <v/>
      </c>
      <c r="L294" s="6" t="n"/>
    </row>
    <row r="295">
      <c r="A295">
        <f>IF($C295="","", "REM"&amp;TEXT(ROW()-1,"0000"))</f>
        <v/>
      </c>
      <c r="B295" s="6" t="n"/>
      <c r="G295" s="6" t="n"/>
      <c r="H295" s="8" t="n"/>
      <c r="I295">
        <f>IF($G295="","", MAX(0, TODAY()-$G295))</f>
        <v/>
      </c>
      <c r="L295" s="6" t="n"/>
    </row>
    <row r="296">
      <c r="A296">
        <f>IF($C296="","", "REM"&amp;TEXT(ROW()-1,"0000"))</f>
        <v/>
      </c>
      <c r="B296" s="6" t="n"/>
      <c r="G296" s="6" t="n"/>
      <c r="H296" s="8" t="n"/>
      <c r="I296">
        <f>IF($G296="","", MAX(0, TODAY()-$G296))</f>
        <v/>
      </c>
      <c r="L296" s="6" t="n"/>
    </row>
    <row r="297">
      <c r="A297">
        <f>IF($C297="","", "REM"&amp;TEXT(ROW()-1,"0000"))</f>
        <v/>
      </c>
      <c r="B297" s="6" t="n"/>
      <c r="G297" s="6" t="n"/>
      <c r="H297" s="8" t="n"/>
      <c r="I297">
        <f>IF($G297="","", MAX(0, TODAY()-$G297))</f>
        <v/>
      </c>
      <c r="L297" s="6" t="n"/>
    </row>
    <row r="298">
      <c r="A298">
        <f>IF($C298="","", "REM"&amp;TEXT(ROW()-1,"0000"))</f>
        <v/>
      </c>
      <c r="B298" s="6" t="n"/>
      <c r="G298" s="6" t="n"/>
      <c r="H298" s="8" t="n"/>
      <c r="I298">
        <f>IF($G298="","", MAX(0, TODAY()-$G298))</f>
        <v/>
      </c>
      <c r="L298" s="6" t="n"/>
    </row>
    <row r="299">
      <c r="A299">
        <f>IF($C299="","", "REM"&amp;TEXT(ROW()-1,"0000"))</f>
        <v/>
      </c>
      <c r="B299" s="6" t="n"/>
      <c r="G299" s="6" t="n"/>
      <c r="H299" s="8" t="n"/>
      <c r="I299">
        <f>IF($G299="","", MAX(0, TODAY()-$G299))</f>
        <v/>
      </c>
      <c r="L299" s="6" t="n"/>
    </row>
    <row r="300">
      <c r="A300">
        <f>IF($C300="","", "REM"&amp;TEXT(ROW()-1,"0000"))</f>
        <v/>
      </c>
      <c r="B300" s="6" t="n"/>
      <c r="G300" s="6" t="n"/>
      <c r="H300" s="8" t="n"/>
      <c r="I300">
        <f>IF($G300="","", MAX(0, TODAY()-$G300))</f>
        <v/>
      </c>
      <c r="L300" s="6" t="n"/>
    </row>
    <row r="301">
      <c r="A301">
        <f>IF($C301="","", "REM"&amp;TEXT(ROW()-1,"0000"))</f>
        <v/>
      </c>
      <c r="B301" s="6" t="n"/>
      <c r="G301" s="6" t="n"/>
      <c r="H301" s="8" t="n"/>
      <c r="I301">
        <f>IF($G301="","", MAX(0, TODAY()-$G301))</f>
        <v/>
      </c>
      <c r="L301" s="6" t="n"/>
    </row>
    <row r="302">
      <c r="A302">
        <f>IF($C302="","", "REM"&amp;TEXT(ROW()-1,"0000"))</f>
        <v/>
      </c>
      <c r="B302" s="6" t="n"/>
      <c r="G302" s="6" t="n"/>
      <c r="H302" s="8" t="n"/>
      <c r="I302">
        <f>IF($G302="","", MAX(0, TODAY()-$G302))</f>
        <v/>
      </c>
      <c r="L302" s="6" t="n"/>
    </row>
    <row r="303">
      <c r="A303">
        <f>IF($C303="","", "REM"&amp;TEXT(ROW()-1,"0000"))</f>
        <v/>
      </c>
      <c r="B303" s="6" t="n"/>
      <c r="G303" s="6" t="n"/>
      <c r="H303" s="8" t="n"/>
      <c r="I303">
        <f>IF($G303="","", MAX(0, TODAY()-$G303))</f>
        <v/>
      </c>
      <c r="L303" s="6" t="n"/>
    </row>
    <row r="304">
      <c r="A304">
        <f>IF($C304="","", "REM"&amp;TEXT(ROW()-1,"0000"))</f>
        <v/>
      </c>
      <c r="B304" s="6" t="n"/>
      <c r="G304" s="6" t="n"/>
      <c r="H304" s="8" t="n"/>
      <c r="I304">
        <f>IF($G304="","", MAX(0, TODAY()-$G304))</f>
        <v/>
      </c>
      <c r="L304" s="6" t="n"/>
    </row>
    <row r="305">
      <c r="A305">
        <f>IF($C305="","", "REM"&amp;TEXT(ROW()-1,"0000"))</f>
        <v/>
      </c>
      <c r="B305" s="6" t="n"/>
      <c r="G305" s="6" t="n"/>
      <c r="H305" s="8" t="n"/>
      <c r="I305">
        <f>IF($G305="","", MAX(0, TODAY()-$G305))</f>
        <v/>
      </c>
      <c r="L305" s="6" t="n"/>
    </row>
    <row r="306">
      <c r="A306">
        <f>IF($C306="","", "REM"&amp;TEXT(ROW()-1,"0000"))</f>
        <v/>
      </c>
      <c r="B306" s="6" t="n"/>
      <c r="G306" s="6" t="n"/>
      <c r="H306" s="8" t="n"/>
      <c r="I306">
        <f>IF($G306="","", MAX(0, TODAY()-$G306))</f>
        <v/>
      </c>
      <c r="L306" s="6" t="n"/>
    </row>
    <row r="307">
      <c r="A307">
        <f>IF($C307="","", "REM"&amp;TEXT(ROW()-1,"0000"))</f>
        <v/>
      </c>
      <c r="B307" s="6" t="n"/>
      <c r="G307" s="6" t="n"/>
      <c r="H307" s="8" t="n"/>
      <c r="I307">
        <f>IF($G307="","", MAX(0, TODAY()-$G307))</f>
        <v/>
      </c>
      <c r="L307" s="6" t="n"/>
    </row>
    <row r="308">
      <c r="A308">
        <f>IF($C308="","", "REM"&amp;TEXT(ROW()-1,"0000"))</f>
        <v/>
      </c>
      <c r="B308" s="6" t="n"/>
      <c r="G308" s="6" t="n"/>
      <c r="H308" s="8" t="n"/>
      <c r="I308">
        <f>IF($G308="","", MAX(0, TODAY()-$G308))</f>
        <v/>
      </c>
      <c r="L308" s="6" t="n"/>
    </row>
    <row r="309">
      <c r="A309">
        <f>IF($C309="","", "REM"&amp;TEXT(ROW()-1,"0000"))</f>
        <v/>
      </c>
      <c r="B309" s="6" t="n"/>
      <c r="G309" s="6" t="n"/>
      <c r="H309" s="8" t="n"/>
      <c r="I309">
        <f>IF($G309="","", MAX(0, TODAY()-$G309))</f>
        <v/>
      </c>
      <c r="L309" s="6" t="n"/>
    </row>
    <row r="310">
      <c r="A310">
        <f>IF($C310="","", "REM"&amp;TEXT(ROW()-1,"0000"))</f>
        <v/>
      </c>
      <c r="B310" s="6" t="n"/>
      <c r="G310" s="6" t="n"/>
      <c r="H310" s="8" t="n"/>
      <c r="I310">
        <f>IF($G310="","", MAX(0, TODAY()-$G310))</f>
        <v/>
      </c>
      <c r="L310" s="6" t="n"/>
    </row>
    <row r="311">
      <c r="A311">
        <f>IF($C311="","", "REM"&amp;TEXT(ROW()-1,"0000"))</f>
        <v/>
      </c>
      <c r="B311" s="6" t="n"/>
      <c r="G311" s="6" t="n"/>
      <c r="H311" s="8" t="n"/>
      <c r="I311">
        <f>IF($G311="","", MAX(0, TODAY()-$G311))</f>
        <v/>
      </c>
      <c r="L311" s="6" t="n"/>
    </row>
    <row r="312">
      <c r="A312">
        <f>IF($C312="","", "REM"&amp;TEXT(ROW()-1,"0000"))</f>
        <v/>
      </c>
      <c r="B312" s="6" t="n"/>
      <c r="G312" s="6" t="n"/>
      <c r="H312" s="8" t="n"/>
      <c r="I312">
        <f>IF($G312="","", MAX(0, TODAY()-$G312))</f>
        <v/>
      </c>
      <c r="L312" s="6" t="n"/>
    </row>
    <row r="313">
      <c r="A313">
        <f>IF($C313="","", "REM"&amp;TEXT(ROW()-1,"0000"))</f>
        <v/>
      </c>
      <c r="B313" s="6" t="n"/>
      <c r="G313" s="6" t="n"/>
      <c r="H313" s="8" t="n"/>
      <c r="I313">
        <f>IF($G313="","", MAX(0, TODAY()-$G313))</f>
        <v/>
      </c>
      <c r="L313" s="6" t="n"/>
    </row>
    <row r="314">
      <c r="A314">
        <f>IF($C314="","", "REM"&amp;TEXT(ROW()-1,"0000"))</f>
        <v/>
      </c>
      <c r="B314" s="6" t="n"/>
      <c r="G314" s="6" t="n"/>
      <c r="H314" s="8" t="n"/>
      <c r="I314">
        <f>IF($G314="","", MAX(0, TODAY()-$G314))</f>
        <v/>
      </c>
      <c r="L314" s="6" t="n"/>
    </row>
    <row r="315">
      <c r="A315">
        <f>IF($C315="","", "REM"&amp;TEXT(ROW()-1,"0000"))</f>
        <v/>
      </c>
      <c r="B315" s="6" t="n"/>
      <c r="G315" s="6" t="n"/>
      <c r="H315" s="8" t="n"/>
      <c r="I315">
        <f>IF($G315="","", MAX(0, TODAY()-$G315))</f>
        <v/>
      </c>
      <c r="L315" s="6" t="n"/>
    </row>
    <row r="316">
      <c r="A316">
        <f>IF($C316="","", "REM"&amp;TEXT(ROW()-1,"0000"))</f>
        <v/>
      </c>
      <c r="B316" s="6" t="n"/>
      <c r="G316" s="6" t="n"/>
      <c r="H316" s="8" t="n"/>
      <c r="I316">
        <f>IF($G316="","", MAX(0, TODAY()-$G316))</f>
        <v/>
      </c>
      <c r="L316" s="6" t="n"/>
    </row>
    <row r="317">
      <c r="A317">
        <f>IF($C317="","", "REM"&amp;TEXT(ROW()-1,"0000"))</f>
        <v/>
      </c>
      <c r="B317" s="6" t="n"/>
      <c r="G317" s="6" t="n"/>
      <c r="H317" s="8" t="n"/>
      <c r="I317">
        <f>IF($G317="","", MAX(0, TODAY()-$G317))</f>
        <v/>
      </c>
      <c r="L317" s="6" t="n"/>
    </row>
    <row r="318">
      <c r="A318">
        <f>IF($C318="","", "REM"&amp;TEXT(ROW()-1,"0000"))</f>
        <v/>
      </c>
      <c r="B318" s="6" t="n"/>
      <c r="G318" s="6" t="n"/>
      <c r="H318" s="8" t="n"/>
      <c r="I318">
        <f>IF($G318="","", MAX(0, TODAY()-$G318))</f>
        <v/>
      </c>
      <c r="L318" s="6" t="n"/>
    </row>
    <row r="319">
      <c r="A319">
        <f>IF($C319="","", "REM"&amp;TEXT(ROW()-1,"0000"))</f>
        <v/>
      </c>
      <c r="B319" s="6" t="n"/>
      <c r="G319" s="6" t="n"/>
      <c r="H319" s="8" t="n"/>
      <c r="I319">
        <f>IF($G319="","", MAX(0, TODAY()-$G319))</f>
        <v/>
      </c>
      <c r="L319" s="6" t="n"/>
    </row>
    <row r="320">
      <c r="A320">
        <f>IF($C320="","", "REM"&amp;TEXT(ROW()-1,"0000"))</f>
        <v/>
      </c>
      <c r="B320" s="6" t="n"/>
      <c r="G320" s="6" t="n"/>
      <c r="H320" s="8" t="n"/>
      <c r="I320">
        <f>IF($G320="","", MAX(0, TODAY()-$G320))</f>
        <v/>
      </c>
      <c r="L320" s="6" t="n"/>
    </row>
    <row r="321">
      <c r="A321">
        <f>IF($C321="","", "REM"&amp;TEXT(ROW()-1,"0000"))</f>
        <v/>
      </c>
      <c r="B321" s="6" t="n"/>
      <c r="G321" s="6" t="n"/>
      <c r="H321" s="8" t="n"/>
      <c r="I321">
        <f>IF($G321="","", MAX(0, TODAY()-$G321))</f>
        <v/>
      </c>
      <c r="L321" s="6" t="n"/>
    </row>
    <row r="322">
      <c r="A322">
        <f>IF($C322="","", "REM"&amp;TEXT(ROW()-1,"0000"))</f>
        <v/>
      </c>
      <c r="B322" s="6" t="n"/>
      <c r="G322" s="6" t="n"/>
      <c r="H322" s="8" t="n"/>
      <c r="I322">
        <f>IF($G322="","", MAX(0, TODAY()-$G322))</f>
        <v/>
      </c>
      <c r="L322" s="6" t="n"/>
    </row>
    <row r="323">
      <c r="A323">
        <f>IF($C323="","", "REM"&amp;TEXT(ROW()-1,"0000"))</f>
        <v/>
      </c>
      <c r="B323" s="6" t="n"/>
      <c r="G323" s="6" t="n"/>
      <c r="H323" s="8" t="n"/>
      <c r="I323">
        <f>IF($G323="","", MAX(0, TODAY()-$G323))</f>
        <v/>
      </c>
      <c r="L323" s="6" t="n"/>
    </row>
    <row r="324">
      <c r="A324">
        <f>IF($C324="","", "REM"&amp;TEXT(ROW()-1,"0000"))</f>
        <v/>
      </c>
      <c r="B324" s="6" t="n"/>
      <c r="G324" s="6" t="n"/>
      <c r="H324" s="8" t="n"/>
      <c r="I324">
        <f>IF($G324="","", MAX(0, TODAY()-$G324))</f>
        <v/>
      </c>
      <c r="L324" s="6" t="n"/>
    </row>
    <row r="325">
      <c r="A325">
        <f>IF($C325="","", "REM"&amp;TEXT(ROW()-1,"0000"))</f>
        <v/>
      </c>
      <c r="B325" s="6" t="n"/>
      <c r="G325" s="6" t="n"/>
      <c r="H325" s="8" t="n"/>
      <c r="I325">
        <f>IF($G325="","", MAX(0, TODAY()-$G325))</f>
        <v/>
      </c>
      <c r="L325" s="6" t="n"/>
    </row>
    <row r="326">
      <c r="A326">
        <f>IF($C326="","", "REM"&amp;TEXT(ROW()-1,"0000"))</f>
        <v/>
      </c>
      <c r="B326" s="6" t="n"/>
      <c r="G326" s="6" t="n"/>
      <c r="H326" s="8" t="n"/>
      <c r="I326">
        <f>IF($G326="","", MAX(0, TODAY()-$G326))</f>
        <v/>
      </c>
      <c r="L326" s="6" t="n"/>
    </row>
    <row r="327">
      <c r="A327">
        <f>IF($C327="","", "REM"&amp;TEXT(ROW()-1,"0000"))</f>
        <v/>
      </c>
      <c r="B327" s="6" t="n"/>
      <c r="G327" s="6" t="n"/>
      <c r="H327" s="8" t="n"/>
      <c r="I327">
        <f>IF($G327="","", MAX(0, TODAY()-$G327))</f>
        <v/>
      </c>
      <c r="L327" s="6" t="n"/>
    </row>
    <row r="328">
      <c r="A328">
        <f>IF($C328="","", "REM"&amp;TEXT(ROW()-1,"0000"))</f>
        <v/>
      </c>
      <c r="B328" s="6" t="n"/>
      <c r="G328" s="6" t="n"/>
      <c r="H328" s="8" t="n"/>
      <c r="I328">
        <f>IF($G328="","", MAX(0, TODAY()-$G328))</f>
        <v/>
      </c>
      <c r="L328" s="6" t="n"/>
    </row>
    <row r="329">
      <c r="A329">
        <f>IF($C329="","", "REM"&amp;TEXT(ROW()-1,"0000"))</f>
        <v/>
      </c>
      <c r="B329" s="6" t="n"/>
      <c r="G329" s="6" t="n"/>
      <c r="H329" s="8" t="n"/>
      <c r="I329">
        <f>IF($G329="","", MAX(0, TODAY()-$G329))</f>
        <v/>
      </c>
      <c r="L329" s="6" t="n"/>
    </row>
    <row r="330">
      <c r="A330">
        <f>IF($C330="","", "REM"&amp;TEXT(ROW()-1,"0000"))</f>
        <v/>
      </c>
      <c r="B330" s="6" t="n"/>
      <c r="G330" s="6" t="n"/>
      <c r="H330" s="8" t="n"/>
      <c r="I330">
        <f>IF($G330="","", MAX(0, TODAY()-$G330))</f>
        <v/>
      </c>
      <c r="L330" s="6" t="n"/>
    </row>
    <row r="331">
      <c r="A331">
        <f>IF($C331="","", "REM"&amp;TEXT(ROW()-1,"0000"))</f>
        <v/>
      </c>
      <c r="B331" s="6" t="n"/>
      <c r="G331" s="6" t="n"/>
      <c r="H331" s="8" t="n"/>
      <c r="I331">
        <f>IF($G331="","", MAX(0, TODAY()-$G331))</f>
        <v/>
      </c>
      <c r="L331" s="6" t="n"/>
    </row>
    <row r="332">
      <c r="A332">
        <f>IF($C332="","", "REM"&amp;TEXT(ROW()-1,"0000"))</f>
        <v/>
      </c>
      <c r="B332" s="6" t="n"/>
      <c r="G332" s="6" t="n"/>
      <c r="H332" s="8" t="n"/>
      <c r="I332">
        <f>IF($G332="","", MAX(0, TODAY()-$G332))</f>
        <v/>
      </c>
      <c r="L332" s="6" t="n"/>
    </row>
    <row r="333">
      <c r="A333">
        <f>IF($C333="","", "REM"&amp;TEXT(ROW()-1,"0000"))</f>
        <v/>
      </c>
      <c r="B333" s="6" t="n"/>
      <c r="G333" s="6" t="n"/>
      <c r="H333" s="8" t="n"/>
      <c r="I333">
        <f>IF($G333="","", MAX(0, TODAY()-$G333))</f>
        <v/>
      </c>
      <c r="L333" s="6" t="n"/>
    </row>
    <row r="334">
      <c r="A334">
        <f>IF($C334="","", "REM"&amp;TEXT(ROW()-1,"0000"))</f>
        <v/>
      </c>
      <c r="B334" s="6" t="n"/>
      <c r="G334" s="6" t="n"/>
      <c r="H334" s="8" t="n"/>
      <c r="I334">
        <f>IF($G334="","", MAX(0, TODAY()-$G334))</f>
        <v/>
      </c>
      <c r="L334" s="6" t="n"/>
    </row>
    <row r="335">
      <c r="A335">
        <f>IF($C335="","", "REM"&amp;TEXT(ROW()-1,"0000"))</f>
        <v/>
      </c>
      <c r="B335" s="6" t="n"/>
      <c r="G335" s="6" t="n"/>
      <c r="H335" s="8" t="n"/>
      <c r="I335">
        <f>IF($G335="","", MAX(0, TODAY()-$G335))</f>
        <v/>
      </c>
      <c r="L335" s="6" t="n"/>
    </row>
    <row r="336">
      <c r="A336">
        <f>IF($C336="","", "REM"&amp;TEXT(ROW()-1,"0000"))</f>
        <v/>
      </c>
      <c r="B336" s="6" t="n"/>
      <c r="G336" s="6" t="n"/>
      <c r="H336" s="8" t="n"/>
      <c r="I336">
        <f>IF($G336="","", MAX(0, TODAY()-$G336))</f>
        <v/>
      </c>
      <c r="L336" s="6" t="n"/>
    </row>
    <row r="337">
      <c r="A337">
        <f>IF($C337="","", "REM"&amp;TEXT(ROW()-1,"0000"))</f>
        <v/>
      </c>
      <c r="B337" s="6" t="n"/>
      <c r="G337" s="6" t="n"/>
      <c r="H337" s="8" t="n"/>
      <c r="I337">
        <f>IF($G337="","", MAX(0, TODAY()-$G337))</f>
        <v/>
      </c>
      <c r="L337" s="6" t="n"/>
    </row>
    <row r="338">
      <c r="A338">
        <f>IF($C338="","", "REM"&amp;TEXT(ROW()-1,"0000"))</f>
        <v/>
      </c>
      <c r="B338" s="6" t="n"/>
      <c r="G338" s="6" t="n"/>
      <c r="H338" s="8" t="n"/>
      <c r="I338">
        <f>IF($G338="","", MAX(0, TODAY()-$G338))</f>
        <v/>
      </c>
      <c r="L338" s="6" t="n"/>
    </row>
    <row r="339">
      <c r="A339">
        <f>IF($C339="","", "REM"&amp;TEXT(ROW()-1,"0000"))</f>
        <v/>
      </c>
      <c r="B339" s="6" t="n"/>
      <c r="G339" s="6" t="n"/>
      <c r="H339" s="8" t="n"/>
      <c r="I339">
        <f>IF($G339="","", MAX(0, TODAY()-$G339))</f>
        <v/>
      </c>
      <c r="L339" s="6" t="n"/>
    </row>
    <row r="340">
      <c r="A340">
        <f>IF($C340="","", "REM"&amp;TEXT(ROW()-1,"0000"))</f>
        <v/>
      </c>
      <c r="B340" s="6" t="n"/>
      <c r="G340" s="6" t="n"/>
      <c r="H340" s="8" t="n"/>
      <c r="I340">
        <f>IF($G340="","", MAX(0, TODAY()-$G340))</f>
        <v/>
      </c>
      <c r="L340" s="6" t="n"/>
    </row>
    <row r="341">
      <c r="A341">
        <f>IF($C341="","", "REM"&amp;TEXT(ROW()-1,"0000"))</f>
        <v/>
      </c>
      <c r="B341" s="6" t="n"/>
      <c r="G341" s="6" t="n"/>
      <c r="H341" s="8" t="n"/>
      <c r="I341">
        <f>IF($G341="","", MAX(0, TODAY()-$G341))</f>
        <v/>
      </c>
      <c r="L341" s="6" t="n"/>
    </row>
    <row r="342">
      <c r="A342">
        <f>IF($C342="","", "REM"&amp;TEXT(ROW()-1,"0000"))</f>
        <v/>
      </c>
      <c r="B342" s="6" t="n"/>
      <c r="G342" s="6" t="n"/>
      <c r="H342" s="8" t="n"/>
      <c r="I342">
        <f>IF($G342="","", MAX(0, TODAY()-$G342))</f>
        <v/>
      </c>
      <c r="L342" s="6" t="n"/>
    </row>
    <row r="343">
      <c r="A343">
        <f>IF($C343="","", "REM"&amp;TEXT(ROW()-1,"0000"))</f>
        <v/>
      </c>
      <c r="B343" s="6" t="n"/>
      <c r="G343" s="6" t="n"/>
      <c r="H343" s="8" t="n"/>
      <c r="I343">
        <f>IF($G343="","", MAX(0, TODAY()-$G343))</f>
        <v/>
      </c>
      <c r="L343" s="6" t="n"/>
    </row>
    <row r="344">
      <c r="A344">
        <f>IF($C344="","", "REM"&amp;TEXT(ROW()-1,"0000"))</f>
        <v/>
      </c>
      <c r="B344" s="6" t="n"/>
      <c r="G344" s="6" t="n"/>
      <c r="H344" s="8" t="n"/>
      <c r="I344">
        <f>IF($G344="","", MAX(0, TODAY()-$G344))</f>
        <v/>
      </c>
      <c r="L344" s="6" t="n"/>
    </row>
    <row r="345">
      <c r="A345">
        <f>IF($C345="","", "REM"&amp;TEXT(ROW()-1,"0000"))</f>
        <v/>
      </c>
      <c r="B345" s="6" t="n"/>
      <c r="G345" s="6" t="n"/>
      <c r="H345" s="8" t="n"/>
      <c r="I345">
        <f>IF($G345="","", MAX(0, TODAY()-$G345))</f>
        <v/>
      </c>
      <c r="L345" s="6" t="n"/>
    </row>
    <row r="346">
      <c r="A346">
        <f>IF($C346="","", "REM"&amp;TEXT(ROW()-1,"0000"))</f>
        <v/>
      </c>
      <c r="B346" s="6" t="n"/>
      <c r="G346" s="6" t="n"/>
      <c r="H346" s="8" t="n"/>
      <c r="I346">
        <f>IF($G346="","", MAX(0, TODAY()-$G346))</f>
        <v/>
      </c>
      <c r="L346" s="6" t="n"/>
    </row>
    <row r="347">
      <c r="A347">
        <f>IF($C347="","", "REM"&amp;TEXT(ROW()-1,"0000"))</f>
        <v/>
      </c>
      <c r="B347" s="6" t="n"/>
      <c r="G347" s="6" t="n"/>
      <c r="H347" s="8" t="n"/>
      <c r="I347">
        <f>IF($G347="","", MAX(0, TODAY()-$G347))</f>
        <v/>
      </c>
      <c r="L347" s="6" t="n"/>
    </row>
    <row r="348">
      <c r="A348">
        <f>IF($C348="","", "REM"&amp;TEXT(ROW()-1,"0000"))</f>
        <v/>
      </c>
      <c r="B348" s="6" t="n"/>
      <c r="G348" s="6" t="n"/>
      <c r="H348" s="8" t="n"/>
      <c r="I348">
        <f>IF($G348="","", MAX(0, TODAY()-$G348))</f>
        <v/>
      </c>
      <c r="L348" s="6" t="n"/>
    </row>
    <row r="349">
      <c r="A349">
        <f>IF($C349="","", "REM"&amp;TEXT(ROW()-1,"0000"))</f>
        <v/>
      </c>
      <c r="B349" s="6" t="n"/>
      <c r="G349" s="6" t="n"/>
      <c r="H349" s="8" t="n"/>
      <c r="I349">
        <f>IF($G349="","", MAX(0, TODAY()-$G349))</f>
        <v/>
      </c>
      <c r="L349" s="6" t="n"/>
    </row>
    <row r="350">
      <c r="A350">
        <f>IF($C350="","", "REM"&amp;TEXT(ROW()-1,"0000"))</f>
        <v/>
      </c>
      <c r="B350" s="6" t="n"/>
      <c r="G350" s="6" t="n"/>
      <c r="H350" s="8" t="n"/>
      <c r="I350">
        <f>IF($G350="","", MAX(0, TODAY()-$G350))</f>
        <v/>
      </c>
      <c r="L350" s="6" t="n"/>
    </row>
    <row r="351">
      <c r="A351">
        <f>IF($C351="","", "REM"&amp;TEXT(ROW()-1,"0000"))</f>
        <v/>
      </c>
      <c r="B351" s="6" t="n"/>
      <c r="G351" s="6" t="n"/>
      <c r="H351" s="8" t="n"/>
      <c r="I351">
        <f>IF($G351="","", MAX(0, TODAY()-$G351))</f>
        <v/>
      </c>
      <c r="L351" s="6" t="n"/>
    </row>
    <row r="352">
      <c r="A352">
        <f>IF($C352="","", "REM"&amp;TEXT(ROW()-1,"0000"))</f>
        <v/>
      </c>
      <c r="B352" s="6" t="n"/>
      <c r="G352" s="6" t="n"/>
      <c r="H352" s="8" t="n"/>
      <c r="I352">
        <f>IF($G352="","", MAX(0, TODAY()-$G352))</f>
        <v/>
      </c>
      <c r="L352" s="6" t="n"/>
    </row>
    <row r="353">
      <c r="A353">
        <f>IF($C353="","", "REM"&amp;TEXT(ROW()-1,"0000"))</f>
        <v/>
      </c>
      <c r="B353" s="6" t="n"/>
      <c r="G353" s="6" t="n"/>
      <c r="H353" s="8" t="n"/>
      <c r="I353">
        <f>IF($G353="","", MAX(0, TODAY()-$G353))</f>
        <v/>
      </c>
      <c r="L353" s="6" t="n"/>
    </row>
    <row r="354">
      <c r="A354">
        <f>IF($C354="","", "REM"&amp;TEXT(ROW()-1,"0000"))</f>
        <v/>
      </c>
      <c r="B354" s="6" t="n"/>
      <c r="G354" s="6" t="n"/>
      <c r="H354" s="8" t="n"/>
      <c r="I354">
        <f>IF($G354="","", MAX(0, TODAY()-$G354))</f>
        <v/>
      </c>
      <c r="L354" s="6" t="n"/>
    </row>
    <row r="355">
      <c r="A355">
        <f>IF($C355="","", "REM"&amp;TEXT(ROW()-1,"0000"))</f>
        <v/>
      </c>
      <c r="B355" s="6" t="n"/>
      <c r="G355" s="6" t="n"/>
      <c r="H355" s="8" t="n"/>
      <c r="I355">
        <f>IF($G355="","", MAX(0, TODAY()-$G355))</f>
        <v/>
      </c>
      <c r="L355" s="6" t="n"/>
    </row>
    <row r="356">
      <c r="A356">
        <f>IF($C356="","", "REM"&amp;TEXT(ROW()-1,"0000"))</f>
        <v/>
      </c>
      <c r="B356" s="6" t="n"/>
      <c r="G356" s="6" t="n"/>
      <c r="H356" s="8" t="n"/>
      <c r="I356">
        <f>IF($G356="","", MAX(0, TODAY()-$G356))</f>
        <v/>
      </c>
      <c r="L356" s="6" t="n"/>
    </row>
    <row r="357">
      <c r="A357">
        <f>IF($C357="","", "REM"&amp;TEXT(ROW()-1,"0000"))</f>
        <v/>
      </c>
      <c r="B357" s="6" t="n"/>
      <c r="G357" s="6" t="n"/>
      <c r="H357" s="8" t="n"/>
      <c r="I357">
        <f>IF($G357="","", MAX(0, TODAY()-$G357))</f>
        <v/>
      </c>
      <c r="L357" s="6" t="n"/>
    </row>
    <row r="358">
      <c r="A358">
        <f>IF($C358="","", "REM"&amp;TEXT(ROW()-1,"0000"))</f>
        <v/>
      </c>
      <c r="B358" s="6" t="n"/>
      <c r="G358" s="6" t="n"/>
      <c r="H358" s="8" t="n"/>
      <c r="I358">
        <f>IF($G358="","", MAX(0, TODAY()-$G358))</f>
        <v/>
      </c>
      <c r="L358" s="6" t="n"/>
    </row>
    <row r="359">
      <c r="A359">
        <f>IF($C359="","", "REM"&amp;TEXT(ROW()-1,"0000"))</f>
        <v/>
      </c>
      <c r="B359" s="6" t="n"/>
      <c r="G359" s="6" t="n"/>
      <c r="H359" s="8" t="n"/>
      <c r="I359">
        <f>IF($G359="","", MAX(0, TODAY()-$G359))</f>
        <v/>
      </c>
      <c r="L359" s="6" t="n"/>
    </row>
    <row r="360">
      <c r="A360">
        <f>IF($C360="","", "REM"&amp;TEXT(ROW()-1,"0000"))</f>
        <v/>
      </c>
      <c r="B360" s="6" t="n"/>
      <c r="G360" s="6" t="n"/>
      <c r="H360" s="8" t="n"/>
      <c r="I360">
        <f>IF($G360="","", MAX(0, TODAY()-$G360))</f>
        <v/>
      </c>
      <c r="L360" s="6" t="n"/>
    </row>
    <row r="361">
      <c r="A361">
        <f>IF($C361="","", "REM"&amp;TEXT(ROW()-1,"0000"))</f>
        <v/>
      </c>
      <c r="B361" s="6" t="n"/>
      <c r="G361" s="6" t="n"/>
      <c r="H361" s="8" t="n"/>
      <c r="I361">
        <f>IF($G361="","", MAX(0, TODAY()-$G361))</f>
        <v/>
      </c>
      <c r="L361" s="6" t="n"/>
    </row>
    <row r="362">
      <c r="A362">
        <f>IF($C362="","", "REM"&amp;TEXT(ROW()-1,"0000"))</f>
        <v/>
      </c>
      <c r="B362" s="6" t="n"/>
      <c r="G362" s="6" t="n"/>
      <c r="H362" s="8" t="n"/>
      <c r="I362">
        <f>IF($G362="","", MAX(0, TODAY()-$G362))</f>
        <v/>
      </c>
      <c r="L362" s="6" t="n"/>
    </row>
    <row r="363">
      <c r="A363">
        <f>IF($C363="","", "REM"&amp;TEXT(ROW()-1,"0000"))</f>
        <v/>
      </c>
      <c r="B363" s="6" t="n"/>
      <c r="G363" s="6" t="n"/>
      <c r="H363" s="8" t="n"/>
      <c r="I363">
        <f>IF($G363="","", MAX(0, TODAY()-$G363))</f>
        <v/>
      </c>
      <c r="L363" s="6" t="n"/>
    </row>
    <row r="364">
      <c r="A364">
        <f>IF($C364="","", "REM"&amp;TEXT(ROW()-1,"0000"))</f>
        <v/>
      </c>
      <c r="B364" s="6" t="n"/>
      <c r="G364" s="6" t="n"/>
      <c r="H364" s="8" t="n"/>
      <c r="I364">
        <f>IF($G364="","", MAX(0, TODAY()-$G364))</f>
        <v/>
      </c>
      <c r="L364" s="6" t="n"/>
    </row>
    <row r="365">
      <c r="A365">
        <f>IF($C365="","", "REM"&amp;TEXT(ROW()-1,"0000"))</f>
        <v/>
      </c>
      <c r="B365" s="6" t="n"/>
      <c r="G365" s="6" t="n"/>
      <c r="H365" s="8" t="n"/>
      <c r="I365">
        <f>IF($G365="","", MAX(0, TODAY()-$G365))</f>
        <v/>
      </c>
      <c r="L365" s="6" t="n"/>
    </row>
    <row r="366">
      <c r="A366">
        <f>IF($C366="","", "REM"&amp;TEXT(ROW()-1,"0000"))</f>
        <v/>
      </c>
      <c r="B366" s="6" t="n"/>
      <c r="G366" s="6" t="n"/>
      <c r="H366" s="8" t="n"/>
      <c r="I366">
        <f>IF($G366="","", MAX(0, TODAY()-$G366))</f>
        <v/>
      </c>
      <c r="L366" s="6" t="n"/>
    </row>
    <row r="367">
      <c r="A367">
        <f>IF($C367="","", "REM"&amp;TEXT(ROW()-1,"0000"))</f>
        <v/>
      </c>
      <c r="B367" s="6" t="n"/>
      <c r="G367" s="6" t="n"/>
      <c r="H367" s="8" t="n"/>
      <c r="I367">
        <f>IF($G367="","", MAX(0, TODAY()-$G367))</f>
        <v/>
      </c>
      <c r="L367" s="6" t="n"/>
    </row>
    <row r="368">
      <c r="A368">
        <f>IF($C368="","", "REM"&amp;TEXT(ROW()-1,"0000"))</f>
        <v/>
      </c>
      <c r="B368" s="6" t="n"/>
      <c r="G368" s="6" t="n"/>
      <c r="H368" s="8" t="n"/>
      <c r="I368">
        <f>IF($G368="","", MAX(0, TODAY()-$G368))</f>
        <v/>
      </c>
      <c r="L368" s="6" t="n"/>
    </row>
    <row r="369">
      <c r="A369">
        <f>IF($C369="","", "REM"&amp;TEXT(ROW()-1,"0000"))</f>
        <v/>
      </c>
      <c r="B369" s="6" t="n"/>
      <c r="G369" s="6" t="n"/>
      <c r="H369" s="8" t="n"/>
      <c r="I369">
        <f>IF($G369="","", MAX(0, TODAY()-$G369))</f>
        <v/>
      </c>
      <c r="L369" s="6" t="n"/>
    </row>
    <row r="370">
      <c r="A370">
        <f>IF($C370="","", "REM"&amp;TEXT(ROW()-1,"0000"))</f>
        <v/>
      </c>
      <c r="B370" s="6" t="n"/>
      <c r="G370" s="6" t="n"/>
      <c r="H370" s="8" t="n"/>
      <c r="I370">
        <f>IF($G370="","", MAX(0, TODAY()-$G370))</f>
        <v/>
      </c>
      <c r="L370" s="6" t="n"/>
    </row>
    <row r="371">
      <c r="A371">
        <f>IF($C371="","", "REM"&amp;TEXT(ROW()-1,"0000"))</f>
        <v/>
      </c>
      <c r="B371" s="6" t="n"/>
      <c r="G371" s="6" t="n"/>
      <c r="H371" s="8" t="n"/>
      <c r="I371">
        <f>IF($G371="","", MAX(0, TODAY()-$G371))</f>
        <v/>
      </c>
      <c r="L371" s="6" t="n"/>
    </row>
    <row r="372">
      <c r="A372">
        <f>IF($C372="","", "REM"&amp;TEXT(ROW()-1,"0000"))</f>
        <v/>
      </c>
      <c r="B372" s="6" t="n"/>
      <c r="G372" s="6" t="n"/>
      <c r="H372" s="8" t="n"/>
      <c r="I372">
        <f>IF($G372="","", MAX(0, TODAY()-$G372))</f>
        <v/>
      </c>
      <c r="L372" s="6" t="n"/>
    </row>
    <row r="373">
      <c r="A373">
        <f>IF($C373="","", "REM"&amp;TEXT(ROW()-1,"0000"))</f>
        <v/>
      </c>
      <c r="B373" s="6" t="n"/>
      <c r="G373" s="6" t="n"/>
      <c r="H373" s="8" t="n"/>
      <c r="I373">
        <f>IF($G373="","", MAX(0, TODAY()-$G373))</f>
        <v/>
      </c>
      <c r="L373" s="6" t="n"/>
    </row>
    <row r="374">
      <c r="A374">
        <f>IF($C374="","", "REM"&amp;TEXT(ROW()-1,"0000"))</f>
        <v/>
      </c>
      <c r="B374" s="6" t="n"/>
      <c r="G374" s="6" t="n"/>
      <c r="H374" s="8" t="n"/>
      <c r="I374">
        <f>IF($G374="","", MAX(0, TODAY()-$G374))</f>
        <v/>
      </c>
      <c r="L374" s="6" t="n"/>
    </row>
    <row r="375">
      <c r="A375">
        <f>IF($C375="","", "REM"&amp;TEXT(ROW()-1,"0000"))</f>
        <v/>
      </c>
      <c r="B375" s="6" t="n"/>
      <c r="G375" s="6" t="n"/>
      <c r="H375" s="8" t="n"/>
      <c r="I375">
        <f>IF($G375="","", MAX(0, TODAY()-$G375))</f>
        <v/>
      </c>
      <c r="L375" s="6" t="n"/>
    </row>
    <row r="376">
      <c r="A376">
        <f>IF($C376="","", "REM"&amp;TEXT(ROW()-1,"0000"))</f>
        <v/>
      </c>
      <c r="B376" s="6" t="n"/>
      <c r="G376" s="6" t="n"/>
      <c r="H376" s="8" t="n"/>
      <c r="I376">
        <f>IF($G376="","", MAX(0, TODAY()-$G376))</f>
        <v/>
      </c>
      <c r="L376" s="6" t="n"/>
    </row>
    <row r="377">
      <c r="A377">
        <f>IF($C377="","", "REM"&amp;TEXT(ROW()-1,"0000"))</f>
        <v/>
      </c>
      <c r="B377" s="6" t="n"/>
      <c r="G377" s="6" t="n"/>
      <c r="H377" s="8" t="n"/>
      <c r="I377">
        <f>IF($G377="","", MAX(0, TODAY()-$G377))</f>
        <v/>
      </c>
      <c r="L377" s="6" t="n"/>
    </row>
    <row r="378">
      <c r="A378">
        <f>IF($C378="","", "REM"&amp;TEXT(ROW()-1,"0000"))</f>
        <v/>
      </c>
      <c r="B378" s="6" t="n"/>
      <c r="G378" s="6" t="n"/>
      <c r="H378" s="8" t="n"/>
      <c r="I378">
        <f>IF($G378="","", MAX(0, TODAY()-$G378))</f>
        <v/>
      </c>
      <c r="L378" s="6" t="n"/>
    </row>
    <row r="379">
      <c r="A379">
        <f>IF($C379="","", "REM"&amp;TEXT(ROW()-1,"0000"))</f>
        <v/>
      </c>
      <c r="B379" s="6" t="n"/>
      <c r="G379" s="6" t="n"/>
      <c r="H379" s="8" t="n"/>
      <c r="I379">
        <f>IF($G379="","", MAX(0, TODAY()-$G379))</f>
        <v/>
      </c>
      <c r="L379" s="6" t="n"/>
    </row>
    <row r="380">
      <c r="A380">
        <f>IF($C380="","", "REM"&amp;TEXT(ROW()-1,"0000"))</f>
        <v/>
      </c>
      <c r="B380" s="6" t="n"/>
      <c r="G380" s="6" t="n"/>
      <c r="H380" s="8" t="n"/>
      <c r="I380">
        <f>IF($G380="","", MAX(0, TODAY()-$G380))</f>
        <v/>
      </c>
      <c r="L380" s="6" t="n"/>
    </row>
    <row r="381">
      <c r="A381">
        <f>IF($C381="","", "REM"&amp;TEXT(ROW()-1,"0000"))</f>
        <v/>
      </c>
      <c r="B381" s="6" t="n"/>
      <c r="G381" s="6" t="n"/>
      <c r="H381" s="8" t="n"/>
      <c r="I381">
        <f>IF($G381="","", MAX(0, TODAY()-$G381))</f>
        <v/>
      </c>
      <c r="L381" s="6" t="n"/>
    </row>
    <row r="382">
      <c r="A382">
        <f>IF($C382="","", "REM"&amp;TEXT(ROW()-1,"0000"))</f>
        <v/>
      </c>
      <c r="B382" s="6" t="n"/>
      <c r="G382" s="6" t="n"/>
      <c r="H382" s="8" t="n"/>
      <c r="I382">
        <f>IF($G382="","", MAX(0, TODAY()-$G382))</f>
        <v/>
      </c>
      <c r="L382" s="6" t="n"/>
    </row>
    <row r="383">
      <c r="A383">
        <f>IF($C383="","", "REM"&amp;TEXT(ROW()-1,"0000"))</f>
        <v/>
      </c>
      <c r="B383" s="6" t="n"/>
      <c r="G383" s="6" t="n"/>
      <c r="H383" s="8" t="n"/>
      <c r="I383">
        <f>IF($G383="","", MAX(0, TODAY()-$G383))</f>
        <v/>
      </c>
      <c r="L383" s="6" t="n"/>
    </row>
    <row r="384">
      <c r="A384">
        <f>IF($C384="","", "REM"&amp;TEXT(ROW()-1,"0000"))</f>
        <v/>
      </c>
      <c r="B384" s="6" t="n"/>
      <c r="G384" s="6" t="n"/>
      <c r="H384" s="8" t="n"/>
      <c r="I384">
        <f>IF($G384="","", MAX(0, TODAY()-$G384))</f>
        <v/>
      </c>
      <c r="L384" s="6" t="n"/>
    </row>
    <row r="385">
      <c r="A385">
        <f>IF($C385="","", "REM"&amp;TEXT(ROW()-1,"0000"))</f>
        <v/>
      </c>
      <c r="B385" s="6" t="n"/>
      <c r="G385" s="6" t="n"/>
      <c r="H385" s="8" t="n"/>
      <c r="I385">
        <f>IF($G385="","", MAX(0, TODAY()-$G385))</f>
        <v/>
      </c>
      <c r="L385" s="6" t="n"/>
    </row>
    <row r="386">
      <c r="A386">
        <f>IF($C386="","", "REM"&amp;TEXT(ROW()-1,"0000"))</f>
        <v/>
      </c>
      <c r="B386" s="6" t="n"/>
      <c r="G386" s="6" t="n"/>
      <c r="H386" s="8" t="n"/>
      <c r="I386">
        <f>IF($G386="","", MAX(0, TODAY()-$G386))</f>
        <v/>
      </c>
      <c r="L386" s="6" t="n"/>
    </row>
    <row r="387">
      <c r="A387">
        <f>IF($C387="","", "REM"&amp;TEXT(ROW()-1,"0000"))</f>
        <v/>
      </c>
      <c r="B387" s="6" t="n"/>
      <c r="G387" s="6" t="n"/>
      <c r="H387" s="8" t="n"/>
      <c r="I387">
        <f>IF($G387="","", MAX(0, TODAY()-$G387))</f>
        <v/>
      </c>
      <c r="L387" s="6" t="n"/>
    </row>
    <row r="388">
      <c r="A388">
        <f>IF($C388="","", "REM"&amp;TEXT(ROW()-1,"0000"))</f>
        <v/>
      </c>
      <c r="B388" s="6" t="n"/>
      <c r="G388" s="6" t="n"/>
      <c r="H388" s="8" t="n"/>
      <c r="I388">
        <f>IF($G388="","", MAX(0, TODAY()-$G388))</f>
        <v/>
      </c>
      <c r="L388" s="6" t="n"/>
    </row>
    <row r="389">
      <c r="A389">
        <f>IF($C389="","", "REM"&amp;TEXT(ROW()-1,"0000"))</f>
        <v/>
      </c>
      <c r="B389" s="6" t="n"/>
      <c r="G389" s="6" t="n"/>
      <c r="H389" s="8" t="n"/>
      <c r="I389">
        <f>IF($G389="","", MAX(0, TODAY()-$G389))</f>
        <v/>
      </c>
      <c r="L389" s="6" t="n"/>
    </row>
    <row r="390">
      <c r="A390">
        <f>IF($C390="","", "REM"&amp;TEXT(ROW()-1,"0000"))</f>
        <v/>
      </c>
      <c r="B390" s="6" t="n"/>
      <c r="G390" s="6" t="n"/>
      <c r="H390" s="8" t="n"/>
      <c r="I390">
        <f>IF($G390="","", MAX(0, TODAY()-$G390))</f>
        <v/>
      </c>
      <c r="L390" s="6" t="n"/>
    </row>
    <row r="391">
      <c r="A391">
        <f>IF($C391="","", "REM"&amp;TEXT(ROW()-1,"0000"))</f>
        <v/>
      </c>
      <c r="B391" s="6" t="n"/>
      <c r="G391" s="6" t="n"/>
      <c r="H391" s="8" t="n"/>
      <c r="I391">
        <f>IF($G391="","", MAX(0, TODAY()-$G391))</f>
        <v/>
      </c>
      <c r="L391" s="6" t="n"/>
    </row>
    <row r="392">
      <c r="A392">
        <f>IF($C392="","", "REM"&amp;TEXT(ROW()-1,"0000"))</f>
        <v/>
      </c>
      <c r="B392" s="6" t="n"/>
      <c r="G392" s="6" t="n"/>
      <c r="H392" s="8" t="n"/>
      <c r="I392">
        <f>IF($G392="","", MAX(0, TODAY()-$G392))</f>
        <v/>
      </c>
      <c r="L392" s="6" t="n"/>
    </row>
    <row r="393">
      <c r="A393">
        <f>IF($C393="","", "REM"&amp;TEXT(ROW()-1,"0000"))</f>
        <v/>
      </c>
      <c r="B393" s="6" t="n"/>
      <c r="G393" s="6" t="n"/>
      <c r="H393" s="8" t="n"/>
      <c r="I393">
        <f>IF($G393="","", MAX(0, TODAY()-$G393))</f>
        <v/>
      </c>
      <c r="L393" s="6" t="n"/>
    </row>
    <row r="394">
      <c r="A394">
        <f>IF($C394="","", "REM"&amp;TEXT(ROW()-1,"0000"))</f>
        <v/>
      </c>
      <c r="B394" s="6" t="n"/>
      <c r="G394" s="6" t="n"/>
      <c r="H394" s="8" t="n"/>
      <c r="I394">
        <f>IF($G394="","", MAX(0, TODAY()-$G394))</f>
        <v/>
      </c>
      <c r="L394" s="6" t="n"/>
    </row>
    <row r="395">
      <c r="A395">
        <f>IF($C395="","", "REM"&amp;TEXT(ROW()-1,"0000"))</f>
        <v/>
      </c>
      <c r="B395" s="6" t="n"/>
      <c r="G395" s="6" t="n"/>
      <c r="H395" s="8" t="n"/>
      <c r="I395">
        <f>IF($G395="","", MAX(0, TODAY()-$G395))</f>
        <v/>
      </c>
      <c r="L395" s="6" t="n"/>
    </row>
    <row r="396">
      <c r="A396">
        <f>IF($C396="","", "REM"&amp;TEXT(ROW()-1,"0000"))</f>
        <v/>
      </c>
      <c r="B396" s="6" t="n"/>
      <c r="G396" s="6" t="n"/>
      <c r="H396" s="8" t="n"/>
      <c r="I396">
        <f>IF($G396="","", MAX(0, TODAY()-$G396))</f>
        <v/>
      </c>
      <c r="L396" s="6" t="n"/>
    </row>
    <row r="397">
      <c r="A397">
        <f>IF($C397="","", "REM"&amp;TEXT(ROW()-1,"0000"))</f>
        <v/>
      </c>
      <c r="B397" s="6" t="n"/>
      <c r="G397" s="6" t="n"/>
      <c r="H397" s="8" t="n"/>
      <c r="I397">
        <f>IF($G397="","", MAX(0, TODAY()-$G397))</f>
        <v/>
      </c>
      <c r="L397" s="6" t="n"/>
    </row>
    <row r="398">
      <c r="A398">
        <f>IF($C398="","", "REM"&amp;TEXT(ROW()-1,"0000"))</f>
        <v/>
      </c>
      <c r="B398" s="6" t="n"/>
      <c r="G398" s="6" t="n"/>
      <c r="H398" s="8" t="n"/>
      <c r="I398">
        <f>IF($G398="","", MAX(0, TODAY()-$G398))</f>
        <v/>
      </c>
      <c r="L398" s="6" t="n"/>
    </row>
    <row r="399">
      <c r="A399">
        <f>IF($C399="","", "REM"&amp;TEXT(ROW()-1,"0000"))</f>
        <v/>
      </c>
      <c r="B399" s="6" t="n"/>
      <c r="G399" s="6" t="n"/>
      <c r="H399" s="8" t="n"/>
      <c r="I399">
        <f>IF($G399="","", MAX(0, TODAY()-$G399))</f>
        <v/>
      </c>
      <c r="L399" s="6" t="n"/>
    </row>
    <row r="400">
      <c r="A400">
        <f>IF($C400="","", "REM"&amp;TEXT(ROW()-1,"0000"))</f>
        <v/>
      </c>
      <c r="B400" s="6" t="n"/>
      <c r="G400" s="6" t="n"/>
      <c r="H400" s="8" t="n"/>
      <c r="I400">
        <f>IF($G400="","", MAX(0, TODAY()-$G400))</f>
        <v/>
      </c>
      <c r="L400" s="6" t="n"/>
    </row>
    <row r="401">
      <c r="A401">
        <f>IF($C401="","", "REM"&amp;TEXT(ROW()-1,"0000"))</f>
        <v/>
      </c>
      <c r="B401" s="6" t="n"/>
      <c r="G401" s="6" t="n"/>
      <c r="H401" s="8" t="n"/>
      <c r="I401">
        <f>IF($G401="","", MAX(0, TODAY()-$G401))</f>
        <v/>
      </c>
      <c r="L401" s="6" t="n"/>
    </row>
    <row r="402">
      <c r="A402">
        <f>IF($C402="","", "REM"&amp;TEXT(ROW()-1,"0000"))</f>
        <v/>
      </c>
      <c r="B402" s="6" t="n"/>
      <c r="G402" s="6" t="n"/>
      <c r="H402" s="8" t="n"/>
      <c r="I402">
        <f>IF($G402="","", MAX(0, TODAY()-$G402))</f>
        <v/>
      </c>
      <c r="L402" s="6" t="n"/>
    </row>
    <row r="403">
      <c r="A403">
        <f>IF($C403="","", "REM"&amp;TEXT(ROW()-1,"0000"))</f>
        <v/>
      </c>
      <c r="B403" s="6" t="n"/>
      <c r="G403" s="6" t="n"/>
      <c r="H403" s="8" t="n"/>
      <c r="I403">
        <f>IF($G403="","", MAX(0, TODAY()-$G403))</f>
        <v/>
      </c>
      <c r="L403" s="6" t="n"/>
    </row>
    <row r="404">
      <c r="A404">
        <f>IF($C404="","", "REM"&amp;TEXT(ROW()-1,"0000"))</f>
        <v/>
      </c>
      <c r="B404" s="6" t="n"/>
      <c r="G404" s="6" t="n"/>
      <c r="H404" s="8" t="n"/>
      <c r="I404">
        <f>IF($G404="","", MAX(0, TODAY()-$G404))</f>
        <v/>
      </c>
      <c r="L404" s="6" t="n"/>
    </row>
    <row r="405">
      <c r="A405">
        <f>IF($C405="","", "REM"&amp;TEXT(ROW()-1,"0000"))</f>
        <v/>
      </c>
      <c r="B405" s="6" t="n"/>
      <c r="G405" s="6" t="n"/>
      <c r="H405" s="8" t="n"/>
      <c r="I405">
        <f>IF($G405="","", MAX(0, TODAY()-$G405))</f>
        <v/>
      </c>
      <c r="L405" s="6" t="n"/>
    </row>
    <row r="406">
      <c r="A406">
        <f>IF($C406="","", "REM"&amp;TEXT(ROW()-1,"0000"))</f>
        <v/>
      </c>
      <c r="B406" s="6" t="n"/>
      <c r="G406" s="6" t="n"/>
      <c r="H406" s="8" t="n"/>
      <c r="I406">
        <f>IF($G406="","", MAX(0, TODAY()-$G406))</f>
        <v/>
      </c>
      <c r="L406" s="6" t="n"/>
    </row>
    <row r="407">
      <c r="A407">
        <f>IF($C407="","", "REM"&amp;TEXT(ROW()-1,"0000"))</f>
        <v/>
      </c>
      <c r="B407" s="6" t="n"/>
      <c r="G407" s="6" t="n"/>
      <c r="H407" s="8" t="n"/>
      <c r="I407">
        <f>IF($G407="","", MAX(0, TODAY()-$G407))</f>
        <v/>
      </c>
      <c r="L407" s="6" t="n"/>
    </row>
    <row r="408">
      <c r="A408">
        <f>IF($C408="","", "REM"&amp;TEXT(ROW()-1,"0000"))</f>
        <v/>
      </c>
      <c r="B408" s="6" t="n"/>
      <c r="G408" s="6" t="n"/>
      <c r="H408" s="8" t="n"/>
      <c r="I408">
        <f>IF($G408="","", MAX(0, TODAY()-$G408))</f>
        <v/>
      </c>
      <c r="L408" s="6" t="n"/>
    </row>
    <row r="409">
      <c r="A409">
        <f>IF($C409="","", "REM"&amp;TEXT(ROW()-1,"0000"))</f>
        <v/>
      </c>
      <c r="B409" s="6" t="n"/>
      <c r="G409" s="6" t="n"/>
      <c r="H409" s="8" t="n"/>
      <c r="I409">
        <f>IF($G409="","", MAX(0, TODAY()-$G409))</f>
        <v/>
      </c>
      <c r="L409" s="6" t="n"/>
    </row>
    <row r="410">
      <c r="A410">
        <f>IF($C410="","", "REM"&amp;TEXT(ROW()-1,"0000"))</f>
        <v/>
      </c>
      <c r="B410" s="6" t="n"/>
      <c r="G410" s="6" t="n"/>
      <c r="H410" s="8" t="n"/>
      <c r="I410">
        <f>IF($G410="","", MAX(0, TODAY()-$G410))</f>
        <v/>
      </c>
      <c r="L410" s="6" t="n"/>
    </row>
    <row r="411">
      <c r="A411">
        <f>IF($C411="","", "REM"&amp;TEXT(ROW()-1,"0000"))</f>
        <v/>
      </c>
      <c r="B411" s="6" t="n"/>
      <c r="G411" s="6" t="n"/>
      <c r="H411" s="8" t="n"/>
      <c r="I411">
        <f>IF($G411="","", MAX(0, TODAY()-$G411))</f>
        <v/>
      </c>
      <c r="L411" s="6" t="n"/>
    </row>
    <row r="412">
      <c r="A412">
        <f>IF($C412="","", "REM"&amp;TEXT(ROW()-1,"0000"))</f>
        <v/>
      </c>
      <c r="B412" s="6" t="n"/>
      <c r="G412" s="6" t="n"/>
      <c r="H412" s="8" t="n"/>
      <c r="I412">
        <f>IF($G412="","", MAX(0, TODAY()-$G412))</f>
        <v/>
      </c>
      <c r="L412" s="6" t="n"/>
    </row>
    <row r="413">
      <c r="A413">
        <f>IF($C413="","", "REM"&amp;TEXT(ROW()-1,"0000"))</f>
        <v/>
      </c>
      <c r="B413" s="6" t="n"/>
      <c r="G413" s="6" t="n"/>
      <c r="H413" s="8" t="n"/>
      <c r="I413">
        <f>IF($G413="","", MAX(0, TODAY()-$G413))</f>
        <v/>
      </c>
      <c r="L413" s="6" t="n"/>
    </row>
    <row r="414">
      <c r="A414">
        <f>IF($C414="","", "REM"&amp;TEXT(ROW()-1,"0000"))</f>
        <v/>
      </c>
      <c r="B414" s="6" t="n"/>
      <c r="G414" s="6" t="n"/>
      <c r="H414" s="8" t="n"/>
      <c r="I414">
        <f>IF($G414="","", MAX(0, TODAY()-$G414))</f>
        <v/>
      </c>
      <c r="L414" s="6" t="n"/>
    </row>
    <row r="415">
      <c r="A415">
        <f>IF($C415="","", "REM"&amp;TEXT(ROW()-1,"0000"))</f>
        <v/>
      </c>
      <c r="B415" s="6" t="n"/>
      <c r="G415" s="6" t="n"/>
      <c r="H415" s="8" t="n"/>
      <c r="I415">
        <f>IF($G415="","", MAX(0, TODAY()-$G415))</f>
        <v/>
      </c>
      <c r="L415" s="6" t="n"/>
    </row>
    <row r="416">
      <c r="A416">
        <f>IF($C416="","", "REM"&amp;TEXT(ROW()-1,"0000"))</f>
        <v/>
      </c>
      <c r="B416" s="6" t="n"/>
      <c r="G416" s="6" t="n"/>
      <c r="H416" s="8" t="n"/>
      <c r="I416">
        <f>IF($G416="","", MAX(0, TODAY()-$G416))</f>
        <v/>
      </c>
      <c r="L416" s="6" t="n"/>
    </row>
    <row r="417">
      <c r="A417">
        <f>IF($C417="","", "REM"&amp;TEXT(ROW()-1,"0000"))</f>
        <v/>
      </c>
      <c r="B417" s="6" t="n"/>
      <c r="G417" s="6" t="n"/>
      <c r="H417" s="8" t="n"/>
      <c r="I417">
        <f>IF($G417="","", MAX(0, TODAY()-$G417))</f>
        <v/>
      </c>
      <c r="L417" s="6" t="n"/>
    </row>
    <row r="418">
      <c r="A418">
        <f>IF($C418="","", "REM"&amp;TEXT(ROW()-1,"0000"))</f>
        <v/>
      </c>
      <c r="B418" s="6" t="n"/>
      <c r="G418" s="6" t="n"/>
      <c r="H418" s="8" t="n"/>
      <c r="I418">
        <f>IF($G418="","", MAX(0, TODAY()-$G418))</f>
        <v/>
      </c>
      <c r="L418" s="6" t="n"/>
    </row>
    <row r="419">
      <c r="A419">
        <f>IF($C419="","", "REM"&amp;TEXT(ROW()-1,"0000"))</f>
        <v/>
      </c>
      <c r="B419" s="6" t="n"/>
      <c r="G419" s="6" t="n"/>
      <c r="H419" s="8" t="n"/>
      <c r="I419">
        <f>IF($G419="","", MAX(0, TODAY()-$G419))</f>
        <v/>
      </c>
      <c r="L419" s="6" t="n"/>
    </row>
    <row r="420">
      <c r="A420">
        <f>IF($C420="","", "REM"&amp;TEXT(ROW()-1,"0000"))</f>
        <v/>
      </c>
      <c r="B420" s="6" t="n"/>
      <c r="G420" s="6" t="n"/>
      <c r="H420" s="8" t="n"/>
      <c r="I420">
        <f>IF($G420="","", MAX(0, TODAY()-$G420))</f>
        <v/>
      </c>
      <c r="L420" s="6" t="n"/>
    </row>
    <row r="421">
      <c r="A421">
        <f>IF($C421="","", "REM"&amp;TEXT(ROW()-1,"0000"))</f>
        <v/>
      </c>
      <c r="B421" s="6" t="n"/>
      <c r="G421" s="6" t="n"/>
      <c r="H421" s="8" t="n"/>
      <c r="I421">
        <f>IF($G421="","", MAX(0, TODAY()-$G421))</f>
        <v/>
      </c>
      <c r="L421" s="6" t="n"/>
    </row>
    <row r="422">
      <c r="A422">
        <f>IF($C422="","", "REM"&amp;TEXT(ROW()-1,"0000"))</f>
        <v/>
      </c>
      <c r="B422" s="6" t="n"/>
      <c r="G422" s="6" t="n"/>
      <c r="H422" s="8" t="n"/>
      <c r="I422">
        <f>IF($G422="","", MAX(0, TODAY()-$G422))</f>
        <v/>
      </c>
      <c r="L422" s="6" t="n"/>
    </row>
    <row r="423">
      <c r="A423">
        <f>IF($C423="","", "REM"&amp;TEXT(ROW()-1,"0000"))</f>
        <v/>
      </c>
      <c r="B423" s="6" t="n"/>
      <c r="G423" s="6" t="n"/>
      <c r="H423" s="8" t="n"/>
      <c r="I423">
        <f>IF($G423="","", MAX(0, TODAY()-$G423))</f>
        <v/>
      </c>
      <c r="L423" s="6" t="n"/>
    </row>
    <row r="424">
      <c r="A424">
        <f>IF($C424="","", "REM"&amp;TEXT(ROW()-1,"0000"))</f>
        <v/>
      </c>
      <c r="B424" s="6" t="n"/>
      <c r="G424" s="6" t="n"/>
      <c r="H424" s="8" t="n"/>
      <c r="I424">
        <f>IF($G424="","", MAX(0, TODAY()-$G424))</f>
        <v/>
      </c>
      <c r="L424" s="6" t="n"/>
    </row>
    <row r="425">
      <c r="A425">
        <f>IF($C425="","", "REM"&amp;TEXT(ROW()-1,"0000"))</f>
        <v/>
      </c>
      <c r="B425" s="6" t="n"/>
      <c r="G425" s="6" t="n"/>
      <c r="H425" s="8" t="n"/>
      <c r="I425">
        <f>IF($G425="","", MAX(0, TODAY()-$G425))</f>
        <v/>
      </c>
      <c r="L425" s="6" t="n"/>
    </row>
    <row r="426">
      <c r="A426">
        <f>IF($C426="","", "REM"&amp;TEXT(ROW()-1,"0000"))</f>
        <v/>
      </c>
      <c r="B426" s="6" t="n"/>
      <c r="G426" s="6" t="n"/>
      <c r="H426" s="8" t="n"/>
      <c r="I426">
        <f>IF($G426="","", MAX(0, TODAY()-$G426))</f>
        <v/>
      </c>
      <c r="L426" s="6" t="n"/>
    </row>
    <row r="427">
      <c r="A427">
        <f>IF($C427="","", "REM"&amp;TEXT(ROW()-1,"0000"))</f>
        <v/>
      </c>
      <c r="B427" s="6" t="n"/>
      <c r="G427" s="6" t="n"/>
      <c r="H427" s="8" t="n"/>
      <c r="I427">
        <f>IF($G427="","", MAX(0, TODAY()-$G427))</f>
        <v/>
      </c>
      <c r="L427" s="6" t="n"/>
    </row>
    <row r="428">
      <c r="A428">
        <f>IF($C428="","", "REM"&amp;TEXT(ROW()-1,"0000"))</f>
        <v/>
      </c>
      <c r="B428" s="6" t="n"/>
      <c r="G428" s="6" t="n"/>
      <c r="H428" s="8" t="n"/>
      <c r="I428">
        <f>IF($G428="","", MAX(0, TODAY()-$G428))</f>
        <v/>
      </c>
      <c r="L428" s="6" t="n"/>
    </row>
    <row r="429">
      <c r="A429">
        <f>IF($C429="","", "REM"&amp;TEXT(ROW()-1,"0000"))</f>
        <v/>
      </c>
      <c r="B429" s="6" t="n"/>
      <c r="G429" s="6" t="n"/>
      <c r="H429" s="8" t="n"/>
      <c r="I429">
        <f>IF($G429="","", MAX(0, TODAY()-$G429))</f>
        <v/>
      </c>
      <c r="L429" s="6" t="n"/>
    </row>
    <row r="430">
      <c r="A430">
        <f>IF($C430="","", "REM"&amp;TEXT(ROW()-1,"0000"))</f>
        <v/>
      </c>
      <c r="B430" s="6" t="n"/>
      <c r="G430" s="6" t="n"/>
      <c r="H430" s="8" t="n"/>
      <c r="I430">
        <f>IF($G430="","", MAX(0, TODAY()-$G430))</f>
        <v/>
      </c>
      <c r="L430" s="6" t="n"/>
    </row>
    <row r="431">
      <c r="A431">
        <f>IF($C431="","", "REM"&amp;TEXT(ROW()-1,"0000"))</f>
        <v/>
      </c>
      <c r="B431" s="6" t="n"/>
      <c r="G431" s="6" t="n"/>
      <c r="H431" s="8" t="n"/>
      <c r="I431">
        <f>IF($G431="","", MAX(0, TODAY()-$G431))</f>
        <v/>
      </c>
      <c r="L431" s="6" t="n"/>
    </row>
    <row r="432">
      <c r="A432">
        <f>IF($C432="","", "REM"&amp;TEXT(ROW()-1,"0000"))</f>
        <v/>
      </c>
      <c r="B432" s="6" t="n"/>
      <c r="G432" s="6" t="n"/>
      <c r="H432" s="8" t="n"/>
      <c r="I432">
        <f>IF($G432="","", MAX(0, TODAY()-$G432))</f>
        <v/>
      </c>
      <c r="L432" s="6" t="n"/>
    </row>
    <row r="433">
      <c r="A433">
        <f>IF($C433="","", "REM"&amp;TEXT(ROW()-1,"0000"))</f>
        <v/>
      </c>
      <c r="B433" s="6" t="n"/>
      <c r="G433" s="6" t="n"/>
      <c r="H433" s="8" t="n"/>
      <c r="I433">
        <f>IF($G433="","", MAX(0, TODAY()-$G433))</f>
        <v/>
      </c>
      <c r="L433" s="6" t="n"/>
    </row>
    <row r="434">
      <c r="A434">
        <f>IF($C434="","", "REM"&amp;TEXT(ROW()-1,"0000"))</f>
        <v/>
      </c>
      <c r="B434" s="6" t="n"/>
      <c r="G434" s="6" t="n"/>
      <c r="H434" s="8" t="n"/>
      <c r="I434">
        <f>IF($G434="","", MAX(0, TODAY()-$G434))</f>
        <v/>
      </c>
      <c r="L434" s="6" t="n"/>
    </row>
    <row r="435">
      <c r="A435">
        <f>IF($C435="","", "REM"&amp;TEXT(ROW()-1,"0000"))</f>
        <v/>
      </c>
      <c r="B435" s="6" t="n"/>
      <c r="G435" s="6" t="n"/>
      <c r="H435" s="8" t="n"/>
      <c r="I435">
        <f>IF($G435="","", MAX(0, TODAY()-$G435))</f>
        <v/>
      </c>
      <c r="L435" s="6" t="n"/>
    </row>
    <row r="436">
      <c r="A436">
        <f>IF($C436="","", "REM"&amp;TEXT(ROW()-1,"0000"))</f>
        <v/>
      </c>
      <c r="B436" s="6" t="n"/>
      <c r="G436" s="6" t="n"/>
      <c r="H436" s="8" t="n"/>
      <c r="I436">
        <f>IF($G436="","", MAX(0, TODAY()-$G436))</f>
        <v/>
      </c>
      <c r="L436" s="6" t="n"/>
    </row>
    <row r="437">
      <c r="A437">
        <f>IF($C437="","", "REM"&amp;TEXT(ROW()-1,"0000"))</f>
        <v/>
      </c>
      <c r="B437" s="6" t="n"/>
      <c r="G437" s="6" t="n"/>
      <c r="H437" s="8" t="n"/>
      <c r="I437">
        <f>IF($G437="","", MAX(0, TODAY()-$G437))</f>
        <v/>
      </c>
      <c r="L437" s="6" t="n"/>
    </row>
    <row r="438">
      <c r="A438">
        <f>IF($C438="","", "REM"&amp;TEXT(ROW()-1,"0000"))</f>
        <v/>
      </c>
      <c r="B438" s="6" t="n"/>
      <c r="G438" s="6" t="n"/>
      <c r="H438" s="8" t="n"/>
      <c r="I438">
        <f>IF($G438="","", MAX(0, TODAY()-$G438))</f>
        <v/>
      </c>
      <c r="L438" s="6" t="n"/>
    </row>
    <row r="439">
      <c r="A439">
        <f>IF($C439="","", "REM"&amp;TEXT(ROW()-1,"0000"))</f>
        <v/>
      </c>
      <c r="B439" s="6" t="n"/>
      <c r="G439" s="6" t="n"/>
      <c r="H439" s="8" t="n"/>
      <c r="I439">
        <f>IF($G439="","", MAX(0, TODAY()-$G439))</f>
        <v/>
      </c>
      <c r="L439" s="6" t="n"/>
    </row>
    <row r="440">
      <c r="A440">
        <f>IF($C440="","", "REM"&amp;TEXT(ROW()-1,"0000"))</f>
        <v/>
      </c>
      <c r="B440" s="6" t="n"/>
      <c r="G440" s="6" t="n"/>
      <c r="H440" s="8" t="n"/>
      <c r="I440">
        <f>IF($G440="","", MAX(0, TODAY()-$G440))</f>
        <v/>
      </c>
      <c r="L440" s="6" t="n"/>
    </row>
    <row r="441">
      <c r="A441">
        <f>IF($C441="","", "REM"&amp;TEXT(ROW()-1,"0000"))</f>
        <v/>
      </c>
      <c r="B441" s="6" t="n"/>
      <c r="G441" s="6" t="n"/>
      <c r="H441" s="8" t="n"/>
      <c r="I441">
        <f>IF($G441="","", MAX(0, TODAY()-$G441))</f>
        <v/>
      </c>
      <c r="L441" s="6" t="n"/>
    </row>
    <row r="442">
      <c r="A442">
        <f>IF($C442="","", "REM"&amp;TEXT(ROW()-1,"0000"))</f>
        <v/>
      </c>
      <c r="B442" s="6" t="n"/>
      <c r="G442" s="6" t="n"/>
      <c r="H442" s="8" t="n"/>
      <c r="I442">
        <f>IF($G442="","", MAX(0, TODAY()-$G442))</f>
        <v/>
      </c>
      <c r="L442" s="6" t="n"/>
    </row>
    <row r="443">
      <c r="A443">
        <f>IF($C443="","", "REM"&amp;TEXT(ROW()-1,"0000"))</f>
        <v/>
      </c>
      <c r="B443" s="6" t="n"/>
      <c r="G443" s="6" t="n"/>
      <c r="H443" s="8" t="n"/>
      <c r="I443">
        <f>IF($G443="","", MAX(0, TODAY()-$G443))</f>
        <v/>
      </c>
      <c r="L443" s="6" t="n"/>
    </row>
    <row r="444">
      <c r="A444">
        <f>IF($C444="","", "REM"&amp;TEXT(ROW()-1,"0000"))</f>
        <v/>
      </c>
      <c r="B444" s="6" t="n"/>
      <c r="G444" s="6" t="n"/>
      <c r="H444" s="8" t="n"/>
      <c r="I444">
        <f>IF($G444="","", MAX(0, TODAY()-$G444))</f>
        <v/>
      </c>
      <c r="L444" s="6" t="n"/>
    </row>
    <row r="445">
      <c r="A445">
        <f>IF($C445="","", "REM"&amp;TEXT(ROW()-1,"0000"))</f>
        <v/>
      </c>
      <c r="B445" s="6" t="n"/>
      <c r="G445" s="6" t="n"/>
      <c r="H445" s="8" t="n"/>
      <c r="I445">
        <f>IF($G445="","", MAX(0, TODAY()-$G445))</f>
        <v/>
      </c>
      <c r="L445" s="6" t="n"/>
    </row>
    <row r="446">
      <c r="A446">
        <f>IF($C446="","", "REM"&amp;TEXT(ROW()-1,"0000"))</f>
        <v/>
      </c>
      <c r="B446" s="6" t="n"/>
      <c r="G446" s="6" t="n"/>
      <c r="H446" s="8" t="n"/>
      <c r="I446">
        <f>IF($G446="","", MAX(0, TODAY()-$G446))</f>
        <v/>
      </c>
      <c r="L446" s="6" t="n"/>
    </row>
    <row r="447">
      <c r="A447">
        <f>IF($C447="","", "REM"&amp;TEXT(ROW()-1,"0000"))</f>
        <v/>
      </c>
      <c r="B447" s="6" t="n"/>
      <c r="G447" s="6" t="n"/>
      <c r="H447" s="8" t="n"/>
      <c r="I447">
        <f>IF($G447="","", MAX(0, TODAY()-$G447))</f>
        <v/>
      </c>
      <c r="L447" s="6" t="n"/>
    </row>
    <row r="448">
      <c r="A448">
        <f>IF($C448="","", "REM"&amp;TEXT(ROW()-1,"0000"))</f>
        <v/>
      </c>
      <c r="B448" s="6" t="n"/>
      <c r="G448" s="6" t="n"/>
      <c r="H448" s="8" t="n"/>
      <c r="I448">
        <f>IF($G448="","", MAX(0, TODAY()-$G448))</f>
        <v/>
      </c>
      <c r="L448" s="6" t="n"/>
    </row>
    <row r="449">
      <c r="A449">
        <f>IF($C449="","", "REM"&amp;TEXT(ROW()-1,"0000"))</f>
        <v/>
      </c>
      <c r="B449" s="6" t="n"/>
      <c r="G449" s="6" t="n"/>
      <c r="H449" s="8" t="n"/>
      <c r="I449">
        <f>IF($G449="","", MAX(0, TODAY()-$G449))</f>
        <v/>
      </c>
      <c r="L449" s="6" t="n"/>
    </row>
    <row r="450">
      <c r="A450">
        <f>IF($C450="","", "REM"&amp;TEXT(ROW()-1,"0000"))</f>
        <v/>
      </c>
      <c r="B450" s="6" t="n"/>
      <c r="G450" s="6" t="n"/>
      <c r="H450" s="8" t="n"/>
      <c r="I450">
        <f>IF($G450="","", MAX(0, TODAY()-$G450))</f>
        <v/>
      </c>
      <c r="L450" s="6" t="n"/>
    </row>
    <row r="451">
      <c r="A451">
        <f>IF($C451="","", "REM"&amp;TEXT(ROW()-1,"0000"))</f>
        <v/>
      </c>
      <c r="B451" s="6" t="n"/>
      <c r="G451" s="6" t="n"/>
      <c r="H451" s="8" t="n"/>
      <c r="I451">
        <f>IF($G451="","", MAX(0, TODAY()-$G451))</f>
        <v/>
      </c>
      <c r="L451" s="6" t="n"/>
    </row>
    <row r="452">
      <c r="A452">
        <f>IF($C452="","", "REM"&amp;TEXT(ROW()-1,"0000"))</f>
        <v/>
      </c>
      <c r="B452" s="6" t="n"/>
      <c r="G452" s="6" t="n"/>
      <c r="H452" s="8" t="n"/>
      <c r="I452">
        <f>IF($G452="","", MAX(0, TODAY()-$G452))</f>
        <v/>
      </c>
      <c r="L452" s="6" t="n"/>
    </row>
    <row r="453">
      <c r="A453">
        <f>IF($C453="","", "REM"&amp;TEXT(ROW()-1,"0000"))</f>
        <v/>
      </c>
      <c r="B453" s="6" t="n"/>
      <c r="G453" s="6" t="n"/>
      <c r="H453" s="8" t="n"/>
      <c r="I453">
        <f>IF($G453="","", MAX(0, TODAY()-$G453))</f>
        <v/>
      </c>
      <c r="L453" s="6" t="n"/>
    </row>
    <row r="454">
      <c r="A454">
        <f>IF($C454="","", "REM"&amp;TEXT(ROW()-1,"0000"))</f>
        <v/>
      </c>
      <c r="B454" s="6" t="n"/>
      <c r="G454" s="6" t="n"/>
      <c r="H454" s="8" t="n"/>
      <c r="I454">
        <f>IF($G454="","", MAX(0, TODAY()-$G454))</f>
        <v/>
      </c>
      <c r="L454" s="6" t="n"/>
    </row>
    <row r="455">
      <c r="A455">
        <f>IF($C455="","", "REM"&amp;TEXT(ROW()-1,"0000"))</f>
        <v/>
      </c>
      <c r="B455" s="6" t="n"/>
      <c r="G455" s="6" t="n"/>
      <c r="H455" s="8" t="n"/>
      <c r="I455">
        <f>IF($G455="","", MAX(0, TODAY()-$G455))</f>
        <v/>
      </c>
      <c r="L455" s="6" t="n"/>
    </row>
    <row r="456">
      <c r="A456">
        <f>IF($C456="","", "REM"&amp;TEXT(ROW()-1,"0000"))</f>
        <v/>
      </c>
      <c r="B456" s="6" t="n"/>
      <c r="G456" s="6" t="n"/>
      <c r="H456" s="8" t="n"/>
      <c r="I456">
        <f>IF($G456="","", MAX(0, TODAY()-$G456))</f>
        <v/>
      </c>
      <c r="L456" s="6" t="n"/>
    </row>
    <row r="457">
      <c r="A457">
        <f>IF($C457="","", "REM"&amp;TEXT(ROW()-1,"0000"))</f>
        <v/>
      </c>
      <c r="B457" s="6" t="n"/>
      <c r="G457" s="6" t="n"/>
      <c r="H457" s="8" t="n"/>
      <c r="I457">
        <f>IF($G457="","", MAX(0, TODAY()-$G457))</f>
        <v/>
      </c>
      <c r="L457" s="6" t="n"/>
    </row>
    <row r="458">
      <c r="A458">
        <f>IF($C458="","", "REM"&amp;TEXT(ROW()-1,"0000"))</f>
        <v/>
      </c>
      <c r="B458" s="6" t="n"/>
      <c r="G458" s="6" t="n"/>
      <c r="H458" s="8" t="n"/>
      <c r="I458">
        <f>IF($G458="","", MAX(0, TODAY()-$G458))</f>
        <v/>
      </c>
      <c r="L458" s="6" t="n"/>
    </row>
    <row r="459">
      <c r="A459">
        <f>IF($C459="","", "REM"&amp;TEXT(ROW()-1,"0000"))</f>
        <v/>
      </c>
      <c r="B459" s="6" t="n"/>
      <c r="G459" s="6" t="n"/>
      <c r="H459" s="8" t="n"/>
      <c r="I459">
        <f>IF($G459="","", MAX(0, TODAY()-$G459))</f>
        <v/>
      </c>
      <c r="L459" s="6" t="n"/>
    </row>
    <row r="460">
      <c r="A460">
        <f>IF($C460="","", "REM"&amp;TEXT(ROW()-1,"0000"))</f>
        <v/>
      </c>
      <c r="B460" s="6" t="n"/>
      <c r="G460" s="6" t="n"/>
      <c r="H460" s="8" t="n"/>
      <c r="I460">
        <f>IF($G460="","", MAX(0, TODAY()-$G460))</f>
        <v/>
      </c>
      <c r="L460" s="6" t="n"/>
    </row>
    <row r="461">
      <c r="A461">
        <f>IF($C461="","", "REM"&amp;TEXT(ROW()-1,"0000"))</f>
        <v/>
      </c>
      <c r="B461" s="6" t="n"/>
      <c r="G461" s="6" t="n"/>
      <c r="H461" s="8" t="n"/>
      <c r="I461">
        <f>IF($G461="","", MAX(0, TODAY()-$G461))</f>
        <v/>
      </c>
      <c r="L461" s="6" t="n"/>
    </row>
    <row r="462">
      <c r="A462">
        <f>IF($C462="","", "REM"&amp;TEXT(ROW()-1,"0000"))</f>
        <v/>
      </c>
      <c r="B462" s="6" t="n"/>
      <c r="G462" s="6" t="n"/>
      <c r="H462" s="8" t="n"/>
      <c r="I462">
        <f>IF($G462="","", MAX(0, TODAY()-$G462))</f>
        <v/>
      </c>
      <c r="L462" s="6" t="n"/>
    </row>
    <row r="463">
      <c r="A463">
        <f>IF($C463="","", "REM"&amp;TEXT(ROW()-1,"0000"))</f>
        <v/>
      </c>
      <c r="B463" s="6" t="n"/>
      <c r="G463" s="6" t="n"/>
      <c r="H463" s="8" t="n"/>
      <c r="I463">
        <f>IF($G463="","", MAX(0, TODAY()-$G463))</f>
        <v/>
      </c>
      <c r="L463" s="6" t="n"/>
    </row>
    <row r="464">
      <c r="A464">
        <f>IF($C464="","", "REM"&amp;TEXT(ROW()-1,"0000"))</f>
        <v/>
      </c>
      <c r="B464" s="6" t="n"/>
      <c r="G464" s="6" t="n"/>
      <c r="H464" s="8" t="n"/>
      <c r="I464">
        <f>IF($G464="","", MAX(0, TODAY()-$G464))</f>
        <v/>
      </c>
      <c r="L464" s="6" t="n"/>
    </row>
    <row r="465">
      <c r="A465">
        <f>IF($C465="","", "REM"&amp;TEXT(ROW()-1,"0000"))</f>
        <v/>
      </c>
      <c r="B465" s="6" t="n"/>
      <c r="G465" s="6" t="n"/>
      <c r="H465" s="8" t="n"/>
      <c r="I465">
        <f>IF($G465="","", MAX(0, TODAY()-$G465))</f>
        <v/>
      </c>
      <c r="L465" s="6" t="n"/>
    </row>
    <row r="466">
      <c r="A466">
        <f>IF($C466="","", "REM"&amp;TEXT(ROW()-1,"0000"))</f>
        <v/>
      </c>
      <c r="B466" s="6" t="n"/>
      <c r="G466" s="6" t="n"/>
      <c r="H466" s="8" t="n"/>
      <c r="I466">
        <f>IF($G466="","", MAX(0, TODAY()-$G466))</f>
        <v/>
      </c>
      <c r="L466" s="6" t="n"/>
    </row>
    <row r="467">
      <c r="A467">
        <f>IF($C467="","", "REM"&amp;TEXT(ROW()-1,"0000"))</f>
        <v/>
      </c>
      <c r="B467" s="6" t="n"/>
      <c r="G467" s="6" t="n"/>
      <c r="H467" s="8" t="n"/>
      <c r="I467">
        <f>IF($G467="","", MAX(0, TODAY()-$G467))</f>
        <v/>
      </c>
      <c r="L467" s="6" t="n"/>
    </row>
    <row r="468">
      <c r="A468">
        <f>IF($C468="","", "REM"&amp;TEXT(ROW()-1,"0000"))</f>
        <v/>
      </c>
      <c r="B468" s="6" t="n"/>
      <c r="G468" s="6" t="n"/>
      <c r="H468" s="8" t="n"/>
      <c r="I468">
        <f>IF($G468="","", MAX(0, TODAY()-$G468))</f>
        <v/>
      </c>
      <c r="L468" s="6" t="n"/>
    </row>
    <row r="469">
      <c r="A469">
        <f>IF($C469="","", "REM"&amp;TEXT(ROW()-1,"0000"))</f>
        <v/>
      </c>
      <c r="B469" s="6" t="n"/>
      <c r="G469" s="6" t="n"/>
      <c r="H469" s="8" t="n"/>
      <c r="I469">
        <f>IF($G469="","", MAX(0, TODAY()-$G469))</f>
        <v/>
      </c>
      <c r="L469" s="6" t="n"/>
    </row>
    <row r="470">
      <c r="A470">
        <f>IF($C470="","", "REM"&amp;TEXT(ROW()-1,"0000"))</f>
        <v/>
      </c>
      <c r="B470" s="6" t="n"/>
      <c r="G470" s="6" t="n"/>
      <c r="H470" s="8" t="n"/>
      <c r="I470">
        <f>IF($G470="","", MAX(0, TODAY()-$G470))</f>
        <v/>
      </c>
      <c r="L470" s="6" t="n"/>
    </row>
    <row r="471">
      <c r="A471">
        <f>IF($C471="","", "REM"&amp;TEXT(ROW()-1,"0000"))</f>
        <v/>
      </c>
      <c r="B471" s="6" t="n"/>
      <c r="G471" s="6" t="n"/>
      <c r="H471" s="8" t="n"/>
      <c r="I471">
        <f>IF($G471="","", MAX(0, TODAY()-$G471))</f>
        <v/>
      </c>
      <c r="L471" s="6" t="n"/>
    </row>
    <row r="472">
      <c r="A472">
        <f>IF($C472="","", "REM"&amp;TEXT(ROW()-1,"0000"))</f>
        <v/>
      </c>
      <c r="B472" s="6" t="n"/>
      <c r="G472" s="6" t="n"/>
      <c r="H472" s="8" t="n"/>
      <c r="I472">
        <f>IF($G472="","", MAX(0, TODAY()-$G472))</f>
        <v/>
      </c>
      <c r="L472" s="6" t="n"/>
    </row>
    <row r="473">
      <c r="A473">
        <f>IF($C473="","", "REM"&amp;TEXT(ROW()-1,"0000"))</f>
        <v/>
      </c>
      <c r="B473" s="6" t="n"/>
      <c r="G473" s="6" t="n"/>
      <c r="H473" s="8" t="n"/>
      <c r="I473">
        <f>IF($G473="","", MAX(0, TODAY()-$G473))</f>
        <v/>
      </c>
      <c r="L473" s="6" t="n"/>
    </row>
    <row r="474">
      <c r="A474">
        <f>IF($C474="","", "REM"&amp;TEXT(ROW()-1,"0000"))</f>
        <v/>
      </c>
      <c r="B474" s="6" t="n"/>
      <c r="G474" s="6" t="n"/>
      <c r="H474" s="8" t="n"/>
      <c r="I474">
        <f>IF($G474="","", MAX(0, TODAY()-$G474))</f>
        <v/>
      </c>
      <c r="L474" s="6" t="n"/>
    </row>
    <row r="475">
      <c r="A475">
        <f>IF($C475="","", "REM"&amp;TEXT(ROW()-1,"0000"))</f>
        <v/>
      </c>
      <c r="B475" s="6" t="n"/>
      <c r="G475" s="6" t="n"/>
      <c r="H475" s="8" t="n"/>
      <c r="I475">
        <f>IF($G475="","", MAX(0, TODAY()-$G475))</f>
        <v/>
      </c>
      <c r="L475" s="6" t="n"/>
    </row>
    <row r="476">
      <c r="A476">
        <f>IF($C476="","", "REM"&amp;TEXT(ROW()-1,"0000"))</f>
        <v/>
      </c>
      <c r="B476" s="6" t="n"/>
      <c r="G476" s="6" t="n"/>
      <c r="H476" s="8" t="n"/>
      <c r="I476">
        <f>IF($G476="","", MAX(0, TODAY()-$G476))</f>
        <v/>
      </c>
      <c r="L476" s="6" t="n"/>
    </row>
    <row r="477">
      <c r="A477">
        <f>IF($C477="","", "REM"&amp;TEXT(ROW()-1,"0000"))</f>
        <v/>
      </c>
      <c r="B477" s="6" t="n"/>
      <c r="G477" s="6" t="n"/>
      <c r="H477" s="8" t="n"/>
      <c r="I477">
        <f>IF($G477="","", MAX(0, TODAY()-$G477))</f>
        <v/>
      </c>
      <c r="L477" s="6" t="n"/>
    </row>
    <row r="478">
      <c r="A478">
        <f>IF($C478="","", "REM"&amp;TEXT(ROW()-1,"0000"))</f>
        <v/>
      </c>
      <c r="B478" s="6" t="n"/>
      <c r="G478" s="6" t="n"/>
      <c r="H478" s="8" t="n"/>
      <c r="I478">
        <f>IF($G478="","", MAX(0, TODAY()-$G478))</f>
        <v/>
      </c>
      <c r="L478" s="6" t="n"/>
    </row>
    <row r="479">
      <c r="A479">
        <f>IF($C479="","", "REM"&amp;TEXT(ROW()-1,"0000"))</f>
        <v/>
      </c>
      <c r="B479" s="6" t="n"/>
      <c r="G479" s="6" t="n"/>
      <c r="H479" s="8" t="n"/>
      <c r="I479">
        <f>IF($G479="","", MAX(0, TODAY()-$G479))</f>
        <v/>
      </c>
      <c r="L479" s="6" t="n"/>
    </row>
    <row r="480">
      <c r="A480">
        <f>IF($C480="","", "REM"&amp;TEXT(ROW()-1,"0000"))</f>
        <v/>
      </c>
      <c r="B480" s="6" t="n"/>
      <c r="G480" s="6" t="n"/>
      <c r="H480" s="8" t="n"/>
      <c r="I480">
        <f>IF($G480="","", MAX(0, TODAY()-$G480))</f>
        <v/>
      </c>
      <c r="L480" s="6" t="n"/>
    </row>
    <row r="481">
      <c r="A481">
        <f>IF($C481="","", "REM"&amp;TEXT(ROW()-1,"0000"))</f>
        <v/>
      </c>
      <c r="B481" s="6" t="n"/>
      <c r="G481" s="6" t="n"/>
      <c r="H481" s="8" t="n"/>
      <c r="I481">
        <f>IF($G481="","", MAX(0, TODAY()-$G481))</f>
        <v/>
      </c>
      <c r="L481" s="6" t="n"/>
    </row>
    <row r="482">
      <c r="A482">
        <f>IF($C482="","", "REM"&amp;TEXT(ROW()-1,"0000"))</f>
        <v/>
      </c>
      <c r="B482" s="6" t="n"/>
      <c r="G482" s="6" t="n"/>
      <c r="H482" s="8" t="n"/>
      <c r="I482">
        <f>IF($G482="","", MAX(0, TODAY()-$G482))</f>
        <v/>
      </c>
      <c r="L482" s="6" t="n"/>
    </row>
    <row r="483">
      <c r="A483">
        <f>IF($C483="","", "REM"&amp;TEXT(ROW()-1,"0000"))</f>
        <v/>
      </c>
      <c r="B483" s="6" t="n"/>
      <c r="G483" s="6" t="n"/>
      <c r="H483" s="8" t="n"/>
      <c r="I483">
        <f>IF($G483="","", MAX(0, TODAY()-$G483))</f>
        <v/>
      </c>
      <c r="L483" s="6" t="n"/>
    </row>
    <row r="484">
      <c r="A484">
        <f>IF($C484="","", "REM"&amp;TEXT(ROW()-1,"0000"))</f>
        <v/>
      </c>
      <c r="B484" s="6" t="n"/>
      <c r="G484" s="6" t="n"/>
      <c r="H484" s="8" t="n"/>
      <c r="I484">
        <f>IF($G484="","", MAX(0, TODAY()-$G484))</f>
        <v/>
      </c>
      <c r="L484" s="6" t="n"/>
    </row>
    <row r="485">
      <c r="A485">
        <f>IF($C485="","", "REM"&amp;TEXT(ROW()-1,"0000"))</f>
        <v/>
      </c>
      <c r="B485" s="6" t="n"/>
      <c r="G485" s="6" t="n"/>
      <c r="H485" s="8" t="n"/>
      <c r="I485">
        <f>IF($G485="","", MAX(0, TODAY()-$G485))</f>
        <v/>
      </c>
      <c r="L485" s="6" t="n"/>
    </row>
    <row r="486">
      <c r="A486">
        <f>IF($C486="","", "REM"&amp;TEXT(ROW()-1,"0000"))</f>
        <v/>
      </c>
      <c r="B486" s="6" t="n"/>
      <c r="G486" s="6" t="n"/>
      <c r="H486" s="8" t="n"/>
      <c r="I486">
        <f>IF($G486="","", MAX(0, TODAY()-$G486))</f>
        <v/>
      </c>
      <c r="L486" s="6" t="n"/>
    </row>
    <row r="487">
      <c r="A487">
        <f>IF($C487="","", "REM"&amp;TEXT(ROW()-1,"0000"))</f>
        <v/>
      </c>
      <c r="B487" s="6" t="n"/>
      <c r="G487" s="6" t="n"/>
      <c r="H487" s="8" t="n"/>
      <c r="I487">
        <f>IF($G487="","", MAX(0, TODAY()-$G487))</f>
        <v/>
      </c>
      <c r="L487" s="6" t="n"/>
    </row>
    <row r="488">
      <c r="A488">
        <f>IF($C488="","", "REM"&amp;TEXT(ROW()-1,"0000"))</f>
        <v/>
      </c>
      <c r="B488" s="6" t="n"/>
      <c r="G488" s="6" t="n"/>
      <c r="H488" s="8" t="n"/>
      <c r="I488">
        <f>IF($G488="","", MAX(0, TODAY()-$G488))</f>
        <v/>
      </c>
      <c r="L488" s="6" t="n"/>
    </row>
    <row r="489">
      <c r="A489">
        <f>IF($C489="","", "REM"&amp;TEXT(ROW()-1,"0000"))</f>
        <v/>
      </c>
      <c r="B489" s="6" t="n"/>
      <c r="G489" s="6" t="n"/>
      <c r="H489" s="8" t="n"/>
      <c r="I489">
        <f>IF($G489="","", MAX(0, TODAY()-$G489))</f>
        <v/>
      </c>
      <c r="L489" s="6" t="n"/>
    </row>
    <row r="490">
      <c r="A490">
        <f>IF($C490="","", "REM"&amp;TEXT(ROW()-1,"0000"))</f>
        <v/>
      </c>
      <c r="B490" s="6" t="n"/>
      <c r="G490" s="6" t="n"/>
      <c r="H490" s="8" t="n"/>
      <c r="I490">
        <f>IF($G490="","", MAX(0, TODAY()-$G490))</f>
        <v/>
      </c>
      <c r="L490" s="6" t="n"/>
    </row>
    <row r="491">
      <c r="A491">
        <f>IF($C491="","", "REM"&amp;TEXT(ROW()-1,"0000"))</f>
        <v/>
      </c>
      <c r="B491" s="6" t="n"/>
      <c r="G491" s="6" t="n"/>
      <c r="H491" s="8" t="n"/>
      <c r="I491">
        <f>IF($G491="","", MAX(0, TODAY()-$G491))</f>
        <v/>
      </c>
      <c r="L491" s="6" t="n"/>
    </row>
    <row r="492">
      <c r="A492">
        <f>IF($C492="","", "REM"&amp;TEXT(ROW()-1,"0000"))</f>
        <v/>
      </c>
      <c r="B492" s="6" t="n"/>
      <c r="G492" s="6" t="n"/>
      <c r="H492" s="8" t="n"/>
      <c r="I492">
        <f>IF($G492="","", MAX(0, TODAY()-$G492))</f>
        <v/>
      </c>
      <c r="L492" s="6" t="n"/>
    </row>
    <row r="493">
      <c r="A493">
        <f>IF($C493="","", "REM"&amp;TEXT(ROW()-1,"0000"))</f>
        <v/>
      </c>
      <c r="B493" s="6" t="n"/>
      <c r="G493" s="6" t="n"/>
      <c r="H493" s="8" t="n"/>
      <c r="I493">
        <f>IF($G493="","", MAX(0, TODAY()-$G493))</f>
        <v/>
      </c>
      <c r="L493" s="6" t="n"/>
    </row>
    <row r="494">
      <c r="A494">
        <f>IF($C494="","", "REM"&amp;TEXT(ROW()-1,"0000"))</f>
        <v/>
      </c>
      <c r="B494" s="6" t="n"/>
      <c r="G494" s="6" t="n"/>
      <c r="H494" s="8" t="n"/>
      <c r="I494">
        <f>IF($G494="","", MAX(0, TODAY()-$G494))</f>
        <v/>
      </c>
      <c r="L494" s="6" t="n"/>
    </row>
    <row r="495">
      <c r="A495">
        <f>IF($C495="","", "REM"&amp;TEXT(ROW()-1,"0000"))</f>
        <v/>
      </c>
      <c r="B495" s="6" t="n"/>
      <c r="G495" s="6" t="n"/>
      <c r="H495" s="8" t="n"/>
      <c r="I495">
        <f>IF($G495="","", MAX(0, TODAY()-$G495))</f>
        <v/>
      </c>
      <c r="L495" s="6" t="n"/>
    </row>
    <row r="496">
      <c r="A496">
        <f>IF($C496="","", "REM"&amp;TEXT(ROW()-1,"0000"))</f>
        <v/>
      </c>
      <c r="B496" s="6" t="n"/>
      <c r="G496" s="6" t="n"/>
      <c r="H496" s="8" t="n"/>
      <c r="I496">
        <f>IF($G496="","", MAX(0, TODAY()-$G496))</f>
        <v/>
      </c>
      <c r="L496" s="6" t="n"/>
    </row>
    <row r="497">
      <c r="A497">
        <f>IF($C497="","", "REM"&amp;TEXT(ROW()-1,"0000"))</f>
        <v/>
      </c>
      <c r="B497" s="6" t="n"/>
      <c r="G497" s="6" t="n"/>
      <c r="H497" s="8" t="n"/>
      <c r="I497">
        <f>IF($G497="","", MAX(0, TODAY()-$G497))</f>
        <v/>
      </c>
      <c r="L497" s="6" t="n"/>
    </row>
    <row r="498">
      <c r="A498">
        <f>IF($C498="","", "REM"&amp;TEXT(ROW()-1,"0000"))</f>
        <v/>
      </c>
      <c r="B498" s="6" t="n"/>
      <c r="G498" s="6" t="n"/>
      <c r="H498" s="8" t="n"/>
      <c r="I498">
        <f>IF($G498="","", MAX(0, TODAY()-$G498))</f>
        <v/>
      </c>
      <c r="L498" s="6" t="n"/>
    </row>
    <row r="499">
      <c r="A499">
        <f>IF($C499="","", "REM"&amp;TEXT(ROW()-1,"0000"))</f>
        <v/>
      </c>
      <c r="B499" s="6" t="n"/>
      <c r="G499" s="6" t="n"/>
      <c r="H499" s="8" t="n"/>
      <c r="I499">
        <f>IF($G499="","", MAX(0, TODAY()-$G499))</f>
        <v/>
      </c>
      <c r="L499" s="6" t="n"/>
    </row>
    <row r="500">
      <c r="A500">
        <f>IF($C500="","", "REM"&amp;TEXT(ROW()-1,"0000"))</f>
        <v/>
      </c>
      <c r="B500" s="6" t="n"/>
      <c r="G500" s="6" t="n"/>
      <c r="H500" s="8" t="n"/>
      <c r="I500">
        <f>IF($G500="","", MAX(0, TODAY()-$G500))</f>
        <v/>
      </c>
      <c r="L500" s="6" t="n"/>
    </row>
    <row r="501">
      <c r="A501">
        <f>IF($C501="","", "REM"&amp;TEXT(ROW()-1,"0000"))</f>
        <v/>
      </c>
      <c r="B501" s="6" t="n"/>
      <c r="G501" s="6" t="n"/>
      <c r="H501" s="8" t="n"/>
      <c r="I501">
        <f>IF($G501="","", MAX(0, TODAY()-$G501))</f>
        <v/>
      </c>
      <c r="L501" s="6" t="n"/>
    </row>
    <row r="502">
      <c r="A502">
        <f>IF($C502="","", "REM"&amp;TEXT(ROW()-1,"0000"))</f>
        <v/>
      </c>
      <c r="B502" s="6" t="n"/>
      <c r="G502" s="6" t="n"/>
      <c r="H502" s="8" t="n"/>
      <c r="I502">
        <f>IF($G502="","", MAX(0, TODAY()-$G502))</f>
        <v/>
      </c>
      <c r="L502" s="6" t="n"/>
    </row>
    <row r="503">
      <c r="A503">
        <f>IF($C503="","", "REM"&amp;TEXT(ROW()-1,"0000"))</f>
        <v/>
      </c>
      <c r="B503" s="6" t="n"/>
      <c r="G503" s="6" t="n"/>
      <c r="H503" s="8" t="n"/>
      <c r="I503">
        <f>IF($G503="","", MAX(0, TODAY()-$G503))</f>
        <v/>
      </c>
      <c r="L503" s="6" t="n"/>
    </row>
    <row r="504">
      <c r="A504">
        <f>IF($C504="","", "REM"&amp;TEXT(ROW()-1,"0000"))</f>
        <v/>
      </c>
      <c r="B504" s="6" t="n"/>
      <c r="G504" s="6" t="n"/>
      <c r="H504" s="8" t="n"/>
      <c r="I504">
        <f>IF($G504="","", MAX(0, TODAY()-$G504))</f>
        <v/>
      </c>
      <c r="L504" s="6" t="n"/>
    </row>
    <row r="505">
      <c r="A505">
        <f>IF($C505="","", "REM"&amp;TEXT(ROW()-1,"0000"))</f>
        <v/>
      </c>
      <c r="B505" s="6" t="n"/>
      <c r="G505" s="6" t="n"/>
      <c r="H505" s="8" t="n"/>
      <c r="I505">
        <f>IF($G505="","", MAX(0, TODAY()-$G505))</f>
        <v/>
      </c>
      <c r="L505" s="6" t="n"/>
    </row>
    <row r="506">
      <c r="A506">
        <f>IF($C506="","", "REM"&amp;TEXT(ROW()-1,"0000"))</f>
        <v/>
      </c>
      <c r="B506" s="6" t="n"/>
      <c r="G506" s="6" t="n"/>
      <c r="H506" s="8" t="n"/>
      <c r="I506">
        <f>IF($G506="","", MAX(0, TODAY()-$G506))</f>
        <v/>
      </c>
      <c r="L506" s="6" t="n"/>
    </row>
    <row r="507">
      <c r="A507">
        <f>IF($C507="","", "REM"&amp;TEXT(ROW()-1,"0000"))</f>
        <v/>
      </c>
      <c r="B507" s="6" t="n"/>
      <c r="G507" s="6" t="n"/>
      <c r="H507" s="8" t="n"/>
      <c r="I507">
        <f>IF($G507="","", MAX(0, TODAY()-$G507))</f>
        <v/>
      </c>
      <c r="L507" s="6" t="n"/>
    </row>
    <row r="508">
      <c r="A508">
        <f>IF($C508="","", "REM"&amp;TEXT(ROW()-1,"0000"))</f>
        <v/>
      </c>
      <c r="B508" s="6" t="n"/>
      <c r="G508" s="6" t="n"/>
      <c r="H508" s="8" t="n"/>
      <c r="I508">
        <f>IF($G508="","", MAX(0, TODAY()-$G508))</f>
        <v/>
      </c>
      <c r="L508" s="6" t="n"/>
    </row>
    <row r="509">
      <c r="A509">
        <f>IF($C509="","", "REM"&amp;TEXT(ROW()-1,"0000"))</f>
        <v/>
      </c>
      <c r="B509" s="6" t="n"/>
      <c r="G509" s="6" t="n"/>
      <c r="H509" s="8" t="n"/>
      <c r="I509">
        <f>IF($G509="","", MAX(0, TODAY()-$G509))</f>
        <v/>
      </c>
      <c r="L509" s="6" t="n"/>
    </row>
    <row r="510">
      <c r="A510">
        <f>IF($C510="","", "REM"&amp;TEXT(ROW()-1,"0000"))</f>
        <v/>
      </c>
      <c r="B510" s="6" t="n"/>
      <c r="G510" s="6" t="n"/>
      <c r="H510" s="8" t="n"/>
      <c r="I510">
        <f>IF($G510="","", MAX(0, TODAY()-$G510))</f>
        <v/>
      </c>
      <c r="L510" s="6" t="n"/>
    </row>
    <row r="511">
      <c r="A511">
        <f>IF($C511="","", "REM"&amp;TEXT(ROW()-1,"0000"))</f>
        <v/>
      </c>
      <c r="B511" s="6" t="n"/>
      <c r="G511" s="6" t="n"/>
      <c r="H511" s="8" t="n"/>
      <c r="I511">
        <f>IF($G511="","", MAX(0, TODAY()-$G511))</f>
        <v/>
      </c>
      <c r="L511" s="6" t="n"/>
    </row>
    <row r="512">
      <c r="A512">
        <f>IF($C512="","", "REM"&amp;TEXT(ROW()-1,"0000"))</f>
        <v/>
      </c>
      <c r="B512" s="6" t="n"/>
      <c r="G512" s="6" t="n"/>
      <c r="H512" s="8" t="n"/>
      <c r="I512">
        <f>IF($G512="","", MAX(0, TODAY()-$G512))</f>
        <v/>
      </c>
      <c r="L512" s="6" t="n"/>
    </row>
    <row r="513">
      <c r="A513">
        <f>IF($C513="","", "REM"&amp;TEXT(ROW()-1,"0000"))</f>
        <v/>
      </c>
      <c r="B513" s="6" t="n"/>
      <c r="G513" s="6" t="n"/>
      <c r="H513" s="8" t="n"/>
      <c r="I513">
        <f>IF($G513="","", MAX(0, TODAY()-$G513))</f>
        <v/>
      </c>
      <c r="L513" s="6" t="n"/>
    </row>
    <row r="514">
      <c r="A514">
        <f>IF($C514="","", "REM"&amp;TEXT(ROW()-1,"0000"))</f>
        <v/>
      </c>
      <c r="B514" s="6" t="n"/>
      <c r="G514" s="6" t="n"/>
      <c r="H514" s="8" t="n"/>
      <c r="I514">
        <f>IF($G514="","", MAX(0, TODAY()-$G514))</f>
        <v/>
      </c>
      <c r="L514" s="6" t="n"/>
    </row>
    <row r="515">
      <c r="A515">
        <f>IF($C515="","", "REM"&amp;TEXT(ROW()-1,"0000"))</f>
        <v/>
      </c>
      <c r="B515" s="6" t="n"/>
      <c r="G515" s="6" t="n"/>
      <c r="H515" s="8" t="n"/>
      <c r="I515">
        <f>IF($G515="","", MAX(0, TODAY()-$G515))</f>
        <v/>
      </c>
      <c r="L515" s="6" t="n"/>
    </row>
    <row r="516">
      <c r="A516">
        <f>IF($C516="","", "REM"&amp;TEXT(ROW()-1,"0000"))</f>
        <v/>
      </c>
      <c r="B516" s="6" t="n"/>
      <c r="G516" s="6" t="n"/>
      <c r="H516" s="8" t="n"/>
      <c r="I516">
        <f>IF($G516="","", MAX(0, TODAY()-$G516))</f>
        <v/>
      </c>
      <c r="L516" s="6" t="n"/>
    </row>
    <row r="517">
      <c r="A517">
        <f>IF($C517="","", "REM"&amp;TEXT(ROW()-1,"0000"))</f>
        <v/>
      </c>
      <c r="B517" s="6" t="n"/>
      <c r="G517" s="6" t="n"/>
      <c r="H517" s="8" t="n"/>
      <c r="I517">
        <f>IF($G517="","", MAX(0, TODAY()-$G517))</f>
        <v/>
      </c>
      <c r="L517" s="6" t="n"/>
    </row>
    <row r="518">
      <c r="A518">
        <f>IF($C518="","", "REM"&amp;TEXT(ROW()-1,"0000"))</f>
        <v/>
      </c>
      <c r="B518" s="6" t="n"/>
      <c r="G518" s="6" t="n"/>
      <c r="H518" s="8" t="n"/>
      <c r="I518">
        <f>IF($G518="","", MAX(0, TODAY()-$G518))</f>
        <v/>
      </c>
      <c r="L518" s="6" t="n"/>
    </row>
    <row r="519">
      <c r="A519">
        <f>IF($C519="","", "REM"&amp;TEXT(ROW()-1,"0000"))</f>
        <v/>
      </c>
      <c r="B519" s="6" t="n"/>
      <c r="G519" s="6" t="n"/>
      <c r="H519" s="8" t="n"/>
      <c r="I519">
        <f>IF($G519="","", MAX(0, TODAY()-$G519))</f>
        <v/>
      </c>
      <c r="L519" s="6" t="n"/>
    </row>
    <row r="520">
      <c r="A520">
        <f>IF($C520="","", "REM"&amp;TEXT(ROW()-1,"0000"))</f>
        <v/>
      </c>
      <c r="B520" s="6" t="n"/>
      <c r="G520" s="6" t="n"/>
      <c r="H520" s="8" t="n"/>
      <c r="I520">
        <f>IF($G520="","", MAX(0, TODAY()-$G520))</f>
        <v/>
      </c>
      <c r="L520" s="6" t="n"/>
    </row>
    <row r="521">
      <c r="A521">
        <f>IF($C521="","", "REM"&amp;TEXT(ROW()-1,"0000"))</f>
        <v/>
      </c>
      <c r="B521" s="6" t="n"/>
      <c r="G521" s="6" t="n"/>
      <c r="H521" s="8" t="n"/>
      <c r="I521">
        <f>IF($G521="","", MAX(0, TODAY()-$G521))</f>
        <v/>
      </c>
      <c r="L521" s="6" t="n"/>
    </row>
    <row r="522">
      <c r="A522">
        <f>IF($C522="","", "REM"&amp;TEXT(ROW()-1,"0000"))</f>
        <v/>
      </c>
      <c r="B522" s="6" t="n"/>
      <c r="G522" s="6" t="n"/>
      <c r="H522" s="8" t="n"/>
      <c r="I522">
        <f>IF($G522="","", MAX(0, TODAY()-$G522))</f>
        <v/>
      </c>
      <c r="L522" s="6" t="n"/>
    </row>
    <row r="523">
      <c r="A523">
        <f>IF($C523="","", "REM"&amp;TEXT(ROW()-1,"0000"))</f>
        <v/>
      </c>
      <c r="B523" s="6" t="n"/>
      <c r="G523" s="6" t="n"/>
      <c r="H523" s="8" t="n"/>
      <c r="I523">
        <f>IF($G523="","", MAX(0, TODAY()-$G523))</f>
        <v/>
      </c>
      <c r="L523" s="6" t="n"/>
    </row>
    <row r="524">
      <c r="A524">
        <f>IF($C524="","", "REM"&amp;TEXT(ROW()-1,"0000"))</f>
        <v/>
      </c>
      <c r="B524" s="6" t="n"/>
      <c r="G524" s="6" t="n"/>
      <c r="H524" s="8" t="n"/>
      <c r="I524">
        <f>IF($G524="","", MAX(0, TODAY()-$G524))</f>
        <v/>
      </c>
      <c r="L524" s="6" t="n"/>
    </row>
    <row r="525">
      <c r="A525">
        <f>IF($C525="","", "REM"&amp;TEXT(ROW()-1,"0000"))</f>
        <v/>
      </c>
      <c r="B525" s="6" t="n"/>
      <c r="G525" s="6" t="n"/>
      <c r="H525" s="8" t="n"/>
      <c r="I525">
        <f>IF($G525="","", MAX(0, TODAY()-$G525))</f>
        <v/>
      </c>
      <c r="L525" s="6" t="n"/>
    </row>
    <row r="526">
      <c r="A526">
        <f>IF($C526="","", "REM"&amp;TEXT(ROW()-1,"0000"))</f>
        <v/>
      </c>
      <c r="B526" s="6" t="n"/>
      <c r="G526" s="6" t="n"/>
      <c r="H526" s="8" t="n"/>
      <c r="I526">
        <f>IF($G526="","", MAX(0, TODAY()-$G526))</f>
        <v/>
      </c>
      <c r="L526" s="6" t="n"/>
    </row>
    <row r="527">
      <c r="A527">
        <f>IF($C527="","", "REM"&amp;TEXT(ROW()-1,"0000"))</f>
        <v/>
      </c>
      <c r="B527" s="6" t="n"/>
      <c r="G527" s="6" t="n"/>
      <c r="H527" s="8" t="n"/>
      <c r="I527">
        <f>IF($G527="","", MAX(0, TODAY()-$G527))</f>
        <v/>
      </c>
      <c r="L527" s="6" t="n"/>
    </row>
    <row r="528">
      <c r="A528">
        <f>IF($C528="","", "REM"&amp;TEXT(ROW()-1,"0000"))</f>
        <v/>
      </c>
      <c r="B528" s="6" t="n"/>
      <c r="G528" s="6" t="n"/>
      <c r="H528" s="8" t="n"/>
      <c r="I528">
        <f>IF($G528="","", MAX(0, TODAY()-$G528))</f>
        <v/>
      </c>
      <c r="L528" s="6" t="n"/>
    </row>
    <row r="529">
      <c r="A529">
        <f>IF($C529="","", "REM"&amp;TEXT(ROW()-1,"0000"))</f>
        <v/>
      </c>
      <c r="B529" s="6" t="n"/>
      <c r="G529" s="6" t="n"/>
      <c r="H529" s="8" t="n"/>
      <c r="I529">
        <f>IF($G529="","", MAX(0, TODAY()-$G529))</f>
        <v/>
      </c>
      <c r="L529" s="6" t="n"/>
    </row>
    <row r="530">
      <c r="A530">
        <f>IF($C530="","", "REM"&amp;TEXT(ROW()-1,"0000"))</f>
        <v/>
      </c>
      <c r="B530" s="6" t="n"/>
      <c r="G530" s="6" t="n"/>
      <c r="H530" s="8" t="n"/>
      <c r="I530">
        <f>IF($G530="","", MAX(0, TODAY()-$G530))</f>
        <v/>
      </c>
      <c r="L530" s="6" t="n"/>
    </row>
    <row r="531">
      <c r="A531">
        <f>IF($C531="","", "REM"&amp;TEXT(ROW()-1,"0000"))</f>
        <v/>
      </c>
      <c r="B531" s="6" t="n"/>
      <c r="G531" s="6" t="n"/>
      <c r="H531" s="8" t="n"/>
      <c r="I531">
        <f>IF($G531="","", MAX(0, TODAY()-$G531))</f>
        <v/>
      </c>
      <c r="L531" s="6" t="n"/>
    </row>
    <row r="532">
      <c r="A532">
        <f>IF($C532="","", "REM"&amp;TEXT(ROW()-1,"0000"))</f>
        <v/>
      </c>
      <c r="B532" s="6" t="n"/>
      <c r="G532" s="6" t="n"/>
      <c r="H532" s="8" t="n"/>
      <c r="I532">
        <f>IF($G532="","", MAX(0, TODAY()-$G532))</f>
        <v/>
      </c>
      <c r="L532" s="6" t="n"/>
    </row>
    <row r="533">
      <c r="A533">
        <f>IF($C533="","", "REM"&amp;TEXT(ROW()-1,"0000"))</f>
        <v/>
      </c>
      <c r="B533" s="6" t="n"/>
      <c r="G533" s="6" t="n"/>
      <c r="H533" s="8" t="n"/>
      <c r="I533">
        <f>IF($G533="","", MAX(0, TODAY()-$G533))</f>
        <v/>
      </c>
      <c r="L533" s="6" t="n"/>
    </row>
    <row r="534">
      <c r="A534">
        <f>IF($C534="","", "REM"&amp;TEXT(ROW()-1,"0000"))</f>
        <v/>
      </c>
      <c r="B534" s="6" t="n"/>
      <c r="G534" s="6" t="n"/>
      <c r="H534" s="8" t="n"/>
      <c r="I534">
        <f>IF($G534="","", MAX(0, TODAY()-$G534))</f>
        <v/>
      </c>
      <c r="L534" s="6" t="n"/>
    </row>
    <row r="535">
      <c r="A535">
        <f>IF($C535="","", "REM"&amp;TEXT(ROW()-1,"0000"))</f>
        <v/>
      </c>
      <c r="B535" s="6" t="n"/>
      <c r="G535" s="6" t="n"/>
      <c r="H535" s="8" t="n"/>
      <c r="I535">
        <f>IF($G535="","", MAX(0, TODAY()-$G535))</f>
        <v/>
      </c>
      <c r="L535" s="6" t="n"/>
    </row>
    <row r="536">
      <c r="A536">
        <f>IF($C536="","", "REM"&amp;TEXT(ROW()-1,"0000"))</f>
        <v/>
      </c>
      <c r="B536" s="6" t="n"/>
      <c r="G536" s="6" t="n"/>
      <c r="H536" s="8" t="n"/>
      <c r="I536">
        <f>IF($G536="","", MAX(0, TODAY()-$G536))</f>
        <v/>
      </c>
      <c r="L536" s="6" t="n"/>
    </row>
    <row r="537">
      <c r="A537">
        <f>IF($C537="","", "REM"&amp;TEXT(ROW()-1,"0000"))</f>
        <v/>
      </c>
      <c r="B537" s="6" t="n"/>
      <c r="G537" s="6" t="n"/>
      <c r="H537" s="8" t="n"/>
      <c r="I537">
        <f>IF($G537="","", MAX(0, TODAY()-$G537))</f>
        <v/>
      </c>
      <c r="L537" s="6" t="n"/>
    </row>
    <row r="538">
      <c r="A538">
        <f>IF($C538="","", "REM"&amp;TEXT(ROW()-1,"0000"))</f>
        <v/>
      </c>
      <c r="B538" s="6" t="n"/>
      <c r="G538" s="6" t="n"/>
      <c r="H538" s="8" t="n"/>
      <c r="I538">
        <f>IF($G538="","", MAX(0, TODAY()-$G538))</f>
        <v/>
      </c>
      <c r="L538" s="6" t="n"/>
    </row>
    <row r="539">
      <c r="A539">
        <f>IF($C539="","", "REM"&amp;TEXT(ROW()-1,"0000"))</f>
        <v/>
      </c>
      <c r="B539" s="6" t="n"/>
      <c r="G539" s="6" t="n"/>
      <c r="H539" s="8" t="n"/>
      <c r="I539">
        <f>IF($G539="","", MAX(0, TODAY()-$G539))</f>
        <v/>
      </c>
      <c r="L539" s="6" t="n"/>
    </row>
    <row r="540">
      <c r="A540">
        <f>IF($C540="","", "REM"&amp;TEXT(ROW()-1,"0000"))</f>
        <v/>
      </c>
      <c r="B540" s="6" t="n"/>
      <c r="G540" s="6" t="n"/>
      <c r="H540" s="8" t="n"/>
      <c r="I540">
        <f>IF($G540="","", MAX(0, TODAY()-$G540))</f>
        <v/>
      </c>
      <c r="L540" s="6" t="n"/>
    </row>
    <row r="541">
      <c r="A541">
        <f>IF($C541="","", "REM"&amp;TEXT(ROW()-1,"0000"))</f>
        <v/>
      </c>
      <c r="B541" s="6" t="n"/>
      <c r="G541" s="6" t="n"/>
      <c r="H541" s="8" t="n"/>
      <c r="I541">
        <f>IF($G541="","", MAX(0, TODAY()-$G541))</f>
        <v/>
      </c>
      <c r="L541" s="6" t="n"/>
    </row>
    <row r="542">
      <c r="A542">
        <f>IF($C542="","", "REM"&amp;TEXT(ROW()-1,"0000"))</f>
        <v/>
      </c>
      <c r="B542" s="6" t="n"/>
      <c r="G542" s="6" t="n"/>
      <c r="H542" s="8" t="n"/>
      <c r="I542">
        <f>IF($G542="","", MAX(0, TODAY()-$G542))</f>
        <v/>
      </c>
      <c r="L542" s="6" t="n"/>
    </row>
    <row r="543">
      <c r="A543">
        <f>IF($C543="","", "REM"&amp;TEXT(ROW()-1,"0000"))</f>
        <v/>
      </c>
      <c r="B543" s="6" t="n"/>
      <c r="G543" s="6" t="n"/>
      <c r="H543" s="8" t="n"/>
      <c r="I543">
        <f>IF($G543="","", MAX(0, TODAY()-$G543))</f>
        <v/>
      </c>
      <c r="L543" s="6" t="n"/>
    </row>
    <row r="544">
      <c r="A544">
        <f>IF($C544="","", "REM"&amp;TEXT(ROW()-1,"0000"))</f>
        <v/>
      </c>
      <c r="B544" s="6" t="n"/>
      <c r="G544" s="6" t="n"/>
      <c r="H544" s="8" t="n"/>
      <c r="I544">
        <f>IF($G544="","", MAX(0, TODAY()-$G544))</f>
        <v/>
      </c>
      <c r="L544" s="6" t="n"/>
    </row>
    <row r="545">
      <c r="A545">
        <f>IF($C545="","", "REM"&amp;TEXT(ROW()-1,"0000"))</f>
        <v/>
      </c>
      <c r="B545" s="6" t="n"/>
      <c r="G545" s="6" t="n"/>
      <c r="H545" s="8" t="n"/>
      <c r="I545">
        <f>IF($G545="","", MAX(0, TODAY()-$G545))</f>
        <v/>
      </c>
      <c r="L545" s="6" t="n"/>
    </row>
    <row r="546">
      <c r="A546">
        <f>IF($C546="","", "REM"&amp;TEXT(ROW()-1,"0000"))</f>
        <v/>
      </c>
      <c r="B546" s="6" t="n"/>
      <c r="G546" s="6" t="n"/>
      <c r="H546" s="8" t="n"/>
      <c r="I546">
        <f>IF($G546="","", MAX(0, TODAY()-$G546))</f>
        <v/>
      </c>
      <c r="L546" s="6" t="n"/>
    </row>
    <row r="547">
      <c r="A547">
        <f>IF($C547="","", "REM"&amp;TEXT(ROW()-1,"0000"))</f>
        <v/>
      </c>
      <c r="B547" s="6" t="n"/>
      <c r="G547" s="6" t="n"/>
      <c r="H547" s="8" t="n"/>
      <c r="I547">
        <f>IF($G547="","", MAX(0, TODAY()-$G547))</f>
        <v/>
      </c>
      <c r="L547" s="6" t="n"/>
    </row>
    <row r="548">
      <c r="A548">
        <f>IF($C548="","", "REM"&amp;TEXT(ROW()-1,"0000"))</f>
        <v/>
      </c>
      <c r="B548" s="6" t="n"/>
      <c r="G548" s="6" t="n"/>
      <c r="H548" s="8" t="n"/>
      <c r="I548">
        <f>IF($G548="","", MAX(0, TODAY()-$G548))</f>
        <v/>
      </c>
      <c r="L548" s="6" t="n"/>
    </row>
    <row r="549">
      <c r="A549">
        <f>IF($C549="","", "REM"&amp;TEXT(ROW()-1,"0000"))</f>
        <v/>
      </c>
      <c r="B549" s="6" t="n"/>
      <c r="G549" s="6" t="n"/>
      <c r="H549" s="8" t="n"/>
      <c r="I549">
        <f>IF($G549="","", MAX(0, TODAY()-$G549))</f>
        <v/>
      </c>
      <c r="L549" s="6" t="n"/>
    </row>
    <row r="550">
      <c r="A550">
        <f>IF($C550="","", "REM"&amp;TEXT(ROW()-1,"0000"))</f>
        <v/>
      </c>
      <c r="B550" s="6" t="n"/>
      <c r="G550" s="6" t="n"/>
      <c r="H550" s="8" t="n"/>
      <c r="I550">
        <f>IF($G550="","", MAX(0, TODAY()-$G550))</f>
        <v/>
      </c>
      <c r="L550" s="6" t="n"/>
    </row>
    <row r="551">
      <c r="A551">
        <f>IF($C551="","", "REM"&amp;TEXT(ROW()-1,"0000"))</f>
        <v/>
      </c>
      <c r="B551" s="6" t="n"/>
      <c r="G551" s="6" t="n"/>
      <c r="H551" s="8" t="n"/>
      <c r="I551">
        <f>IF($G551="","", MAX(0, TODAY()-$G551))</f>
        <v/>
      </c>
      <c r="L551" s="6" t="n"/>
    </row>
    <row r="552">
      <c r="A552">
        <f>IF($C552="","", "REM"&amp;TEXT(ROW()-1,"0000"))</f>
        <v/>
      </c>
      <c r="B552" s="6" t="n"/>
      <c r="G552" s="6" t="n"/>
      <c r="H552" s="8" t="n"/>
      <c r="I552">
        <f>IF($G552="","", MAX(0, TODAY()-$G552))</f>
        <v/>
      </c>
      <c r="L552" s="6" t="n"/>
    </row>
    <row r="553">
      <c r="A553">
        <f>IF($C553="","", "REM"&amp;TEXT(ROW()-1,"0000"))</f>
        <v/>
      </c>
      <c r="B553" s="6" t="n"/>
      <c r="G553" s="6" t="n"/>
      <c r="H553" s="8" t="n"/>
      <c r="I553">
        <f>IF($G553="","", MAX(0, TODAY()-$G553))</f>
        <v/>
      </c>
      <c r="L553" s="6" t="n"/>
    </row>
    <row r="554">
      <c r="A554">
        <f>IF($C554="","", "REM"&amp;TEXT(ROW()-1,"0000"))</f>
        <v/>
      </c>
      <c r="B554" s="6" t="n"/>
      <c r="G554" s="6" t="n"/>
      <c r="H554" s="8" t="n"/>
      <c r="I554">
        <f>IF($G554="","", MAX(0, TODAY()-$G554))</f>
        <v/>
      </c>
      <c r="L554" s="6" t="n"/>
    </row>
    <row r="555">
      <c r="A555">
        <f>IF($C555="","", "REM"&amp;TEXT(ROW()-1,"0000"))</f>
        <v/>
      </c>
      <c r="B555" s="6" t="n"/>
      <c r="G555" s="6" t="n"/>
      <c r="H555" s="8" t="n"/>
      <c r="I555">
        <f>IF($G555="","", MAX(0, TODAY()-$G555))</f>
        <v/>
      </c>
      <c r="L555" s="6" t="n"/>
    </row>
    <row r="556">
      <c r="A556">
        <f>IF($C556="","", "REM"&amp;TEXT(ROW()-1,"0000"))</f>
        <v/>
      </c>
      <c r="B556" s="6" t="n"/>
      <c r="G556" s="6" t="n"/>
      <c r="H556" s="8" t="n"/>
      <c r="I556">
        <f>IF($G556="","", MAX(0, TODAY()-$G556))</f>
        <v/>
      </c>
      <c r="L556" s="6" t="n"/>
    </row>
    <row r="557">
      <c r="A557">
        <f>IF($C557="","", "REM"&amp;TEXT(ROW()-1,"0000"))</f>
        <v/>
      </c>
      <c r="B557" s="6" t="n"/>
      <c r="G557" s="6" t="n"/>
      <c r="H557" s="8" t="n"/>
      <c r="I557">
        <f>IF($G557="","", MAX(0, TODAY()-$G557))</f>
        <v/>
      </c>
      <c r="L557" s="6" t="n"/>
    </row>
    <row r="558">
      <c r="A558">
        <f>IF($C558="","", "REM"&amp;TEXT(ROW()-1,"0000"))</f>
        <v/>
      </c>
      <c r="B558" s="6" t="n"/>
      <c r="G558" s="6" t="n"/>
      <c r="H558" s="8" t="n"/>
      <c r="I558">
        <f>IF($G558="","", MAX(0, TODAY()-$G558))</f>
        <v/>
      </c>
      <c r="L558" s="6" t="n"/>
    </row>
    <row r="559">
      <c r="A559">
        <f>IF($C559="","", "REM"&amp;TEXT(ROW()-1,"0000"))</f>
        <v/>
      </c>
      <c r="B559" s="6" t="n"/>
      <c r="G559" s="6" t="n"/>
      <c r="H559" s="8" t="n"/>
      <c r="I559">
        <f>IF($G559="","", MAX(0, TODAY()-$G559))</f>
        <v/>
      </c>
      <c r="L559" s="6" t="n"/>
    </row>
    <row r="560">
      <c r="A560">
        <f>IF($C560="","", "REM"&amp;TEXT(ROW()-1,"0000"))</f>
        <v/>
      </c>
      <c r="B560" s="6" t="n"/>
      <c r="G560" s="6" t="n"/>
      <c r="H560" s="8" t="n"/>
      <c r="I560">
        <f>IF($G560="","", MAX(0, TODAY()-$G560))</f>
        <v/>
      </c>
      <c r="L560" s="6" t="n"/>
    </row>
    <row r="561">
      <c r="A561">
        <f>IF($C561="","", "REM"&amp;TEXT(ROW()-1,"0000"))</f>
        <v/>
      </c>
      <c r="B561" s="6" t="n"/>
      <c r="G561" s="6" t="n"/>
      <c r="H561" s="8" t="n"/>
      <c r="I561">
        <f>IF($G561="","", MAX(0, TODAY()-$G561))</f>
        <v/>
      </c>
      <c r="L561" s="6" t="n"/>
    </row>
    <row r="562">
      <c r="A562">
        <f>IF($C562="","", "REM"&amp;TEXT(ROW()-1,"0000"))</f>
        <v/>
      </c>
      <c r="B562" s="6" t="n"/>
      <c r="G562" s="6" t="n"/>
      <c r="H562" s="8" t="n"/>
      <c r="I562">
        <f>IF($G562="","", MAX(0, TODAY()-$G562))</f>
        <v/>
      </c>
      <c r="L562" s="6" t="n"/>
    </row>
    <row r="563">
      <c r="A563">
        <f>IF($C563="","", "REM"&amp;TEXT(ROW()-1,"0000"))</f>
        <v/>
      </c>
      <c r="B563" s="6" t="n"/>
      <c r="G563" s="6" t="n"/>
      <c r="H563" s="8" t="n"/>
      <c r="I563">
        <f>IF($G563="","", MAX(0, TODAY()-$G563))</f>
        <v/>
      </c>
      <c r="L563" s="6" t="n"/>
    </row>
    <row r="564">
      <c r="A564">
        <f>IF($C564="","", "REM"&amp;TEXT(ROW()-1,"0000"))</f>
        <v/>
      </c>
      <c r="B564" s="6" t="n"/>
      <c r="G564" s="6" t="n"/>
      <c r="H564" s="8" t="n"/>
      <c r="I564">
        <f>IF($G564="","", MAX(0, TODAY()-$G564))</f>
        <v/>
      </c>
      <c r="L564" s="6" t="n"/>
    </row>
    <row r="565">
      <c r="A565">
        <f>IF($C565="","", "REM"&amp;TEXT(ROW()-1,"0000"))</f>
        <v/>
      </c>
      <c r="B565" s="6" t="n"/>
      <c r="G565" s="6" t="n"/>
      <c r="H565" s="8" t="n"/>
      <c r="I565">
        <f>IF($G565="","", MAX(0, TODAY()-$G565))</f>
        <v/>
      </c>
      <c r="L565" s="6" t="n"/>
    </row>
    <row r="566">
      <c r="A566">
        <f>IF($C566="","", "REM"&amp;TEXT(ROW()-1,"0000"))</f>
        <v/>
      </c>
      <c r="B566" s="6" t="n"/>
      <c r="G566" s="6" t="n"/>
      <c r="H566" s="8" t="n"/>
      <c r="I566">
        <f>IF($G566="","", MAX(0, TODAY()-$G566))</f>
        <v/>
      </c>
      <c r="L566" s="6" t="n"/>
    </row>
    <row r="567">
      <c r="A567">
        <f>IF($C567="","", "REM"&amp;TEXT(ROW()-1,"0000"))</f>
        <v/>
      </c>
      <c r="B567" s="6" t="n"/>
      <c r="G567" s="6" t="n"/>
      <c r="H567" s="8" t="n"/>
      <c r="I567">
        <f>IF($G567="","", MAX(0, TODAY()-$G567))</f>
        <v/>
      </c>
      <c r="L567" s="6" t="n"/>
    </row>
    <row r="568">
      <c r="A568">
        <f>IF($C568="","", "REM"&amp;TEXT(ROW()-1,"0000"))</f>
        <v/>
      </c>
      <c r="B568" s="6" t="n"/>
      <c r="G568" s="6" t="n"/>
      <c r="H568" s="8" t="n"/>
      <c r="I568">
        <f>IF($G568="","", MAX(0, TODAY()-$G568))</f>
        <v/>
      </c>
      <c r="L568" s="6" t="n"/>
    </row>
    <row r="569">
      <c r="A569">
        <f>IF($C569="","", "REM"&amp;TEXT(ROW()-1,"0000"))</f>
        <v/>
      </c>
      <c r="B569" s="6" t="n"/>
      <c r="G569" s="6" t="n"/>
      <c r="H569" s="8" t="n"/>
      <c r="I569">
        <f>IF($G569="","", MAX(0, TODAY()-$G569))</f>
        <v/>
      </c>
      <c r="L569" s="6" t="n"/>
    </row>
    <row r="570">
      <c r="A570">
        <f>IF($C570="","", "REM"&amp;TEXT(ROW()-1,"0000"))</f>
        <v/>
      </c>
      <c r="B570" s="6" t="n"/>
      <c r="G570" s="6" t="n"/>
      <c r="H570" s="8" t="n"/>
      <c r="I570">
        <f>IF($G570="","", MAX(0, TODAY()-$G570))</f>
        <v/>
      </c>
      <c r="L570" s="6" t="n"/>
    </row>
    <row r="571">
      <c r="A571">
        <f>IF($C571="","", "REM"&amp;TEXT(ROW()-1,"0000"))</f>
        <v/>
      </c>
      <c r="B571" s="6" t="n"/>
      <c r="G571" s="6" t="n"/>
      <c r="H571" s="8" t="n"/>
      <c r="I571">
        <f>IF($G571="","", MAX(0, TODAY()-$G571))</f>
        <v/>
      </c>
      <c r="L571" s="6" t="n"/>
    </row>
    <row r="572">
      <c r="A572">
        <f>IF($C572="","", "REM"&amp;TEXT(ROW()-1,"0000"))</f>
        <v/>
      </c>
      <c r="B572" s="6" t="n"/>
      <c r="G572" s="6" t="n"/>
      <c r="H572" s="8" t="n"/>
      <c r="I572">
        <f>IF($G572="","", MAX(0, TODAY()-$G572))</f>
        <v/>
      </c>
      <c r="L572" s="6" t="n"/>
    </row>
    <row r="573">
      <c r="A573">
        <f>IF($C573="","", "REM"&amp;TEXT(ROW()-1,"0000"))</f>
        <v/>
      </c>
      <c r="B573" s="6" t="n"/>
      <c r="G573" s="6" t="n"/>
      <c r="H573" s="8" t="n"/>
      <c r="I573">
        <f>IF($G573="","", MAX(0, TODAY()-$G573))</f>
        <v/>
      </c>
      <c r="L573" s="6" t="n"/>
    </row>
    <row r="574">
      <c r="A574">
        <f>IF($C574="","", "REM"&amp;TEXT(ROW()-1,"0000"))</f>
        <v/>
      </c>
      <c r="B574" s="6" t="n"/>
      <c r="G574" s="6" t="n"/>
      <c r="H574" s="8" t="n"/>
      <c r="I574">
        <f>IF($G574="","", MAX(0, TODAY()-$G574))</f>
        <v/>
      </c>
      <c r="L574" s="6" t="n"/>
    </row>
    <row r="575">
      <c r="A575">
        <f>IF($C575="","", "REM"&amp;TEXT(ROW()-1,"0000"))</f>
        <v/>
      </c>
      <c r="B575" s="6" t="n"/>
      <c r="G575" s="6" t="n"/>
      <c r="H575" s="8" t="n"/>
      <c r="I575">
        <f>IF($G575="","", MAX(0, TODAY()-$G575))</f>
        <v/>
      </c>
      <c r="L575" s="6" t="n"/>
    </row>
    <row r="576">
      <c r="A576">
        <f>IF($C576="","", "REM"&amp;TEXT(ROW()-1,"0000"))</f>
        <v/>
      </c>
      <c r="B576" s="6" t="n"/>
      <c r="G576" s="6" t="n"/>
      <c r="H576" s="8" t="n"/>
      <c r="I576">
        <f>IF($G576="","", MAX(0, TODAY()-$G576))</f>
        <v/>
      </c>
      <c r="L576" s="6" t="n"/>
    </row>
    <row r="577">
      <c r="A577">
        <f>IF($C577="","", "REM"&amp;TEXT(ROW()-1,"0000"))</f>
        <v/>
      </c>
      <c r="B577" s="6" t="n"/>
      <c r="G577" s="6" t="n"/>
      <c r="H577" s="8" t="n"/>
      <c r="I577">
        <f>IF($G577="","", MAX(0, TODAY()-$G577))</f>
        <v/>
      </c>
      <c r="L577" s="6" t="n"/>
    </row>
    <row r="578">
      <c r="A578">
        <f>IF($C578="","", "REM"&amp;TEXT(ROW()-1,"0000"))</f>
        <v/>
      </c>
      <c r="B578" s="6" t="n"/>
      <c r="G578" s="6" t="n"/>
      <c r="H578" s="8" t="n"/>
      <c r="I578">
        <f>IF($G578="","", MAX(0, TODAY()-$G578))</f>
        <v/>
      </c>
      <c r="L578" s="6" t="n"/>
    </row>
    <row r="579">
      <c r="A579">
        <f>IF($C579="","", "REM"&amp;TEXT(ROW()-1,"0000"))</f>
        <v/>
      </c>
      <c r="B579" s="6" t="n"/>
      <c r="G579" s="6" t="n"/>
      <c r="H579" s="8" t="n"/>
      <c r="I579">
        <f>IF($G579="","", MAX(0, TODAY()-$G579))</f>
        <v/>
      </c>
      <c r="L579" s="6" t="n"/>
    </row>
    <row r="580">
      <c r="A580">
        <f>IF($C580="","", "REM"&amp;TEXT(ROW()-1,"0000"))</f>
        <v/>
      </c>
      <c r="B580" s="6" t="n"/>
      <c r="G580" s="6" t="n"/>
      <c r="H580" s="8" t="n"/>
      <c r="I580">
        <f>IF($G580="","", MAX(0, TODAY()-$G580))</f>
        <v/>
      </c>
      <c r="L580" s="6" t="n"/>
    </row>
    <row r="581">
      <c r="A581">
        <f>IF($C581="","", "REM"&amp;TEXT(ROW()-1,"0000"))</f>
        <v/>
      </c>
      <c r="B581" s="6" t="n"/>
      <c r="G581" s="6" t="n"/>
      <c r="H581" s="8" t="n"/>
      <c r="I581">
        <f>IF($G581="","", MAX(0, TODAY()-$G581))</f>
        <v/>
      </c>
      <c r="L581" s="6" t="n"/>
    </row>
    <row r="582">
      <c r="A582">
        <f>IF($C582="","", "REM"&amp;TEXT(ROW()-1,"0000"))</f>
        <v/>
      </c>
      <c r="B582" s="6" t="n"/>
      <c r="G582" s="6" t="n"/>
      <c r="H582" s="8" t="n"/>
      <c r="I582">
        <f>IF($G582="","", MAX(0, TODAY()-$G582))</f>
        <v/>
      </c>
      <c r="L582" s="6" t="n"/>
    </row>
    <row r="583">
      <c r="A583">
        <f>IF($C583="","", "REM"&amp;TEXT(ROW()-1,"0000"))</f>
        <v/>
      </c>
      <c r="B583" s="6" t="n"/>
      <c r="G583" s="6" t="n"/>
      <c r="H583" s="8" t="n"/>
      <c r="I583">
        <f>IF($G583="","", MAX(0, TODAY()-$G583))</f>
        <v/>
      </c>
      <c r="L583" s="6" t="n"/>
    </row>
    <row r="584">
      <c r="A584">
        <f>IF($C584="","", "REM"&amp;TEXT(ROW()-1,"0000"))</f>
        <v/>
      </c>
      <c r="B584" s="6" t="n"/>
      <c r="G584" s="6" t="n"/>
      <c r="H584" s="8" t="n"/>
      <c r="I584">
        <f>IF($G584="","", MAX(0, TODAY()-$G584))</f>
        <v/>
      </c>
      <c r="L584" s="6" t="n"/>
    </row>
    <row r="585">
      <c r="A585">
        <f>IF($C585="","", "REM"&amp;TEXT(ROW()-1,"0000"))</f>
        <v/>
      </c>
      <c r="B585" s="6" t="n"/>
      <c r="G585" s="6" t="n"/>
      <c r="H585" s="8" t="n"/>
      <c r="I585">
        <f>IF($G585="","", MAX(0, TODAY()-$G585))</f>
        <v/>
      </c>
      <c r="L585" s="6" t="n"/>
    </row>
    <row r="586">
      <c r="A586">
        <f>IF($C586="","", "REM"&amp;TEXT(ROW()-1,"0000"))</f>
        <v/>
      </c>
      <c r="B586" s="6" t="n"/>
      <c r="G586" s="6" t="n"/>
      <c r="H586" s="8" t="n"/>
      <c r="I586">
        <f>IF($G586="","", MAX(0, TODAY()-$G586))</f>
        <v/>
      </c>
      <c r="L586" s="6" t="n"/>
    </row>
    <row r="587">
      <c r="A587">
        <f>IF($C587="","", "REM"&amp;TEXT(ROW()-1,"0000"))</f>
        <v/>
      </c>
      <c r="B587" s="6" t="n"/>
      <c r="G587" s="6" t="n"/>
      <c r="H587" s="8" t="n"/>
      <c r="I587">
        <f>IF($G587="","", MAX(0, TODAY()-$G587))</f>
        <v/>
      </c>
      <c r="L587" s="6" t="n"/>
    </row>
    <row r="588">
      <c r="A588">
        <f>IF($C588="","", "REM"&amp;TEXT(ROW()-1,"0000"))</f>
        <v/>
      </c>
      <c r="B588" s="6" t="n"/>
      <c r="G588" s="6" t="n"/>
      <c r="H588" s="8" t="n"/>
      <c r="I588">
        <f>IF($G588="","", MAX(0, TODAY()-$G588))</f>
        <v/>
      </c>
      <c r="L588" s="6" t="n"/>
    </row>
    <row r="589">
      <c r="A589">
        <f>IF($C589="","", "REM"&amp;TEXT(ROW()-1,"0000"))</f>
        <v/>
      </c>
      <c r="B589" s="6" t="n"/>
      <c r="G589" s="6" t="n"/>
      <c r="H589" s="8" t="n"/>
      <c r="I589">
        <f>IF($G589="","", MAX(0, TODAY()-$G589))</f>
        <v/>
      </c>
      <c r="L589" s="6" t="n"/>
    </row>
    <row r="590">
      <c r="A590">
        <f>IF($C590="","", "REM"&amp;TEXT(ROW()-1,"0000"))</f>
        <v/>
      </c>
      <c r="B590" s="6" t="n"/>
      <c r="G590" s="6" t="n"/>
      <c r="H590" s="8" t="n"/>
      <c r="I590">
        <f>IF($G590="","", MAX(0, TODAY()-$G590))</f>
        <v/>
      </c>
      <c r="L590" s="6" t="n"/>
    </row>
    <row r="591">
      <c r="A591">
        <f>IF($C591="","", "REM"&amp;TEXT(ROW()-1,"0000"))</f>
        <v/>
      </c>
      <c r="B591" s="6" t="n"/>
      <c r="G591" s="6" t="n"/>
      <c r="H591" s="8" t="n"/>
      <c r="I591">
        <f>IF($G591="","", MAX(0, TODAY()-$G591))</f>
        <v/>
      </c>
      <c r="L591" s="6" t="n"/>
    </row>
    <row r="592">
      <c r="A592">
        <f>IF($C592="","", "REM"&amp;TEXT(ROW()-1,"0000"))</f>
        <v/>
      </c>
      <c r="B592" s="6" t="n"/>
      <c r="G592" s="6" t="n"/>
      <c r="H592" s="8" t="n"/>
      <c r="I592">
        <f>IF($G592="","", MAX(0, TODAY()-$G592))</f>
        <v/>
      </c>
      <c r="L592" s="6" t="n"/>
    </row>
    <row r="593">
      <c r="A593">
        <f>IF($C593="","", "REM"&amp;TEXT(ROW()-1,"0000"))</f>
        <v/>
      </c>
      <c r="B593" s="6" t="n"/>
      <c r="G593" s="6" t="n"/>
      <c r="H593" s="8" t="n"/>
      <c r="I593">
        <f>IF($G593="","", MAX(0, TODAY()-$G593))</f>
        <v/>
      </c>
      <c r="L593" s="6" t="n"/>
    </row>
    <row r="594">
      <c r="A594">
        <f>IF($C594="","", "REM"&amp;TEXT(ROW()-1,"0000"))</f>
        <v/>
      </c>
      <c r="B594" s="6" t="n"/>
      <c r="G594" s="6" t="n"/>
      <c r="H594" s="8" t="n"/>
      <c r="I594">
        <f>IF($G594="","", MAX(0, TODAY()-$G594))</f>
        <v/>
      </c>
      <c r="L594" s="6" t="n"/>
    </row>
    <row r="595">
      <c r="A595">
        <f>IF($C595="","", "REM"&amp;TEXT(ROW()-1,"0000"))</f>
        <v/>
      </c>
      <c r="B595" s="6" t="n"/>
      <c r="G595" s="6" t="n"/>
      <c r="H595" s="8" t="n"/>
      <c r="I595">
        <f>IF($G595="","", MAX(0, TODAY()-$G595))</f>
        <v/>
      </c>
      <c r="L595" s="6" t="n"/>
    </row>
    <row r="596">
      <c r="A596">
        <f>IF($C596="","", "REM"&amp;TEXT(ROW()-1,"0000"))</f>
        <v/>
      </c>
      <c r="B596" s="6" t="n"/>
      <c r="G596" s="6" t="n"/>
      <c r="H596" s="8" t="n"/>
      <c r="I596">
        <f>IF($G596="","", MAX(0, TODAY()-$G596))</f>
        <v/>
      </c>
      <c r="L596" s="6" t="n"/>
    </row>
    <row r="597">
      <c r="A597">
        <f>IF($C597="","", "REM"&amp;TEXT(ROW()-1,"0000"))</f>
        <v/>
      </c>
      <c r="B597" s="6" t="n"/>
      <c r="G597" s="6" t="n"/>
      <c r="H597" s="8" t="n"/>
      <c r="I597">
        <f>IF($G597="","", MAX(0, TODAY()-$G597))</f>
        <v/>
      </c>
      <c r="L597" s="6" t="n"/>
    </row>
    <row r="598">
      <c r="A598">
        <f>IF($C598="","", "REM"&amp;TEXT(ROW()-1,"0000"))</f>
        <v/>
      </c>
      <c r="B598" s="6" t="n"/>
      <c r="G598" s="6" t="n"/>
      <c r="H598" s="8" t="n"/>
      <c r="I598">
        <f>IF($G598="","", MAX(0, TODAY()-$G598))</f>
        <v/>
      </c>
      <c r="L598" s="6" t="n"/>
    </row>
    <row r="599">
      <c r="A599">
        <f>IF($C599="","", "REM"&amp;TEXT(ROW()-1,"0000"))</f>
        <v/>
      </c>
      <c r="B599" s="6" t="n"/>
      <c r="G599" s="6" t="n"/>
      <c r="H599" s="8" t="n"/>
      <c r="I599">
        <f>IF($G599="","", MAX(0, TODAY()-$G599))</f>
        <v/>
      </c>
      <c r="L599" s="6" t="n"/>
    </row>
    <row r="600">
      <c r="A600">
        <f>IF($C600="","", "REM"&amp;TEXT(ROW()-1,"0000"))</f>
        <v/>
      </c>
      <c r="B600" s="6" t="n"/>
      <c r="G600" s="6" t="n"/>
      <c r="H600" s="8" t="n"/>
      <c r="I600">
        <f>IF($G600="","", MAX(0, TODAY()-$G600))</f>
        <v/>
      </c>
      <c r="L600" s="6" t="n"/>
    </row>
    <row r="601">
      <c r="A601">
        <f>IF($C601="","", "REM"&amp;TEXT(ROW()-1,"0000"))</f>
        <v/>
      </c>
      <c r="B601" s="6" t="n"/>
      <c r="G601" s="6" t="n"/>
      <c r="H601" s="8" t="n"/>
      <c r="I601">
        <f>IF($G601="","", MAX(0, TODAY()-$G601))</f>
        <v/>
      </c>
      <c r="L601" s="6" t="n"/>
    </row>
    <row r="602">
      <c r="A602">
        <f>IF($C602="","", "REM"&amp;TEXT(ROW()-1,"0000"))</f>
        <v/>
      </c>
      <c r="B602" s="6" t="n"/>
      <c r="G602" s="6" t="n"/>
      <c r="H602" s="8" t="n"/>
      <c r="I602">
        <f>IF($G602="","", MAX(0, TODAY()-$G602))</f>
        <v/>
      </c>
      <c r="L602" s="6" t="n"/>
    </row>
    <row r="603">
      <c r="A603">
        <f>IF($C603="","", "REM"&amp;TEXT(ROW()-1,"0000"))</f>
        <v/>
      </c>
      <c r="B603" s="6" t="n"/>
      <c r="G603" s="6" t="n"/>
      <c r="H603" s="8" t="n"/>
      <c r="I603">
        <f>IF($G603="","", MAX(0, TODAY()-$G603))</f>
        <v/>
      </c>
      <c r="L603" s="6" t="n"/>
    </row>
    <row r="604">
      <c r="A604">
        <f>IF($C604="","", "REM"&amp;TEXT(ROW()-1,"0000"))</f>
        <v/>
      </c>
      <c r="B604" s="6" t="n"/>
      <c r="G604" s="6" t="n"/>
      <c r="H604" s="8" t="n"/>
      <c r="I604">
        <f>IF($G604="","", MAX(0, TODAY()-$G604))</f>
        <v/>
      </c>
      <c r="L604" s="6" t="n"/>
    </row>
    <row r="605">
      <c r="A605">
        <f>IF($C605="","", "REM"&amp;TEXT(ROW()-1,"0000"))</f>
        <v/>
      </c>
      <c r="B605" s="6" t="n"/>
      <c r="G605" s="6" t="n"/>
      <c r="H605" s="8" t="n"/>
      <c r="I605">
        <f>IF($G605="","", MAX(0, TODAY()-$G605))</f>
        <v/>
      </c>
      <c r="L605" s="6" t="n"/>
    </row>
    <row r="606">
      <c r="A606">
        <f>IF($C606="","", "REM"&amp;TEXT(ROW()-1,"0000"))</f>
        <v/>
      </c>
      <c r="B606" s="6" t="n"/>
      <c r="G606" s="6" t="n"/>
      <c r="H606" s="8" t="n"/>
      <c r="I606">
        <f>IF($G606="","", MAX(0, TODAY()-$G606))</f>
        <v/>
      </c>
      <c r="L606" s="6" t="n"/>
    </row>
    <row r="607">
      <c r="A607">
        <f>IF($C607="","", "REM"&amp;TEXT(ROW()-1,"0000"))</f>
        <v/>
      </c>
      <c r="B607" s="6" t="n"/>
      <c r="G607" s="6" t="n"/>
      <c r="H607" s="8" t="n"/>
      <c r="I607">
        <f>IF($G607="","", MAX(0, TODAY()-$G607))</f>
        <v/>
      </c>
      <c r="L607" s="6" t="n"/>
    </row>
    <row r="608">
      <c r="A608">
        <f>IF($C608="","", "REM"&amp;TEXT(ROW()-1,"0000"))</f>
        <v/>
      </c>
      <c r="B608" s="6" t="n"/>
      <c r="G608" s="6" t="n"/>
      <c r="H608" s="8" t="n"/>
      <c r="I608">
        <f>IF($G608="","", MAX(0, TODAY()-$G608))</f>
        <v/>
      </c>
      <c r="L608" s="6" t="n"/>
    </row>
    <row r="609">
      <c r="A609">
        <f>IF($C609="","", "REM"&amp;TEXT(ROW()-1,"0000"))</f>
        <v/>
      </c>
      <c r="B609" s="6" t="n"/>
      <c r="G609" s="6" t="n"/>
      <c r="H609" s="8" t="n"/>
      <c r="I609">
        <f>IF($G609="","", MAX(0, TODAY()-$G609))</f>
        <v/>
      </c>
      <c r="L609" s="6" t="n"/>
    </row>
    <row r="610">
      <c r="A610">
        <f>IF($C610="","", "REM"&amp;TEXT(ROW()-1,"0000"))</f>
        <v/>
      </c>
      <c r="B610" s="6" t="n"/>
      <c r="G610" s="6" t="n"/>
      <c r="H610" s="8" t="n"/>
      <c r="I610">
        <f>IF($G610="","", MAX(0, TODAY()-$G610))</f>
        <v/>
      </c>
      <c r="L610" s="6" t="n"/>
    </row>
    <row r="611">
      <c r="A611">
        <f>IF($C611="","", "REM"&amp;TEXT(ROW()-1,"0000"))</f>
        <v/>
      </c>
      <c r="B611" s="6" t="n"/>
      <c r="G611" s="6" t="n"/>
      <c r="H611" s="8" t="n"/>
      <c r="I611">
        <f>IF($G611="","", MAX(0, TODAY()-$G611))</f>
        <v/>
      </c>
      <c r="L611" s="6" t="n"/>
    </row>
    <row r="612">
      <c r="A612">
        <f>IF($C612="","", "REM"&amp;TEXT(ROW()-1,"0000"))</f>
        <v/>
      </c>
      <c r="B612" s="6" t="n"/>
      <c r="G612" s="6" t="n"/>
      <c r="H612" s="8" t="n"/>
      <c r="I612">
        <f>IF($G612="","", MAX(0, TODAY()-$G612))</f>
        <v/>
      </c>
      <c r="L612" s="6" t="n"/>
    </row>
    <row r="613">
      <c r="A613">
        <f>IF($C613="","", "REM"&amp;TEXT(ROW()-1,"0000"))</f>
        <v/>
      </c>
      <c r="B613" s="6" t="n"/>
      <c r="G613" s="6" t="n"/>
      <c r="H613" s="8" t="n"/>
      <c r="I613">
        <f>IF($G613="","", MAX(0, TODAY()-$G613))</f>
        <v/>
      </c>
      <c r="L613" s="6" t="n"/>
    </row>
    <row r="614">
      <c r="A614">
        <f>IF($C614="","", "REM"&amp;TEXT(ROW()-1,"0000"))</f>
        <v/>
      </c>
      <c r="B614" s="6" t="n"/>
      <c r="G614" s="6" t="n"/>
      <c r="H614" s="8" t="n"/>
      <c r="I614">
        <f>IF($G614="","", MAX(0, TODAY()-$G614))</f>
        <v/>
      </c>
      <c r="L614" s="6" t="n"/>
    </row>
    <row r="615">
      <c r="A615">
        <f>IF($C615="","", "REM"&amp;TEXT(ROW()-1,"0000"))</f>
        <v/>
      </c>
      <c r="B615" s="6" t="n"/>
      <c r="G615" s="6" t="n"/>
      <c r="H615" s="8" t="n"/>
      <c r="I615">
        <f>IF($G615="","", MAX(0, TODAY()-$G615))</f>
        <v/>
      </c>
      <c r="L615" s="6" t="n"/>
    </row>
    <row r="616">
      <c r="A616">
        <f>IF($C616="","", "REM"&amp;TEXT(ROW()-1,"0000"))</f>
        <v/>
      </c>
      <c r="B616" s="6" t="n"/>
      <c r="G616" s="6" t="n"/>
      <c r="H616" s="8" t="n"/>
      <c r="I616">
        <f>IF($G616="","", MAX(0, TODAY()-$G616))</f>
        <v/>
      </c>
      <c r="L616" s="6" t="n"/>
    </row>
    <row r="617">
      <c r="A617">
        <f>IF($C617="","", "REM"&amp;TEXT(ROW()-1,"0000"))</f>
        <v/>
      </c>
      <c r="B617" s="6" t="n"/>
      <c r="G617" s="6" t="n"/>
      <c r="H617" s="8" t="n"/>
      <c r="I617">
        <f>IF($G617="","", MAX(0, TODAY()-$G617))</f>
        <v/>
      </c>
      <c r="L617" s="6" t="n"/>
    </row>
    <row r="618">
      <c r="A618">
        <f>IF($C618="","", "REM"&amp;TEXT(ROW()-1,"0000"))</f>
        <v/>
      </c>
      <c r="B618" s="6" t="n"/>
      <c r="G618" s="6" t="n"/>
      <c r="H618" s="8" t="n"/>
      <c r="I618">
        <f>IF($G618="","", MAX(0, TODAY()-$G618))</f>
        <v/>
      </c>
      <c r="L618" s="6" t="n"/>
    </row>
    <row r="619">
      <c r="A619">
        <f>IF($C619="","", "REM"&amp;TEXT(ROW()-1,"0000"))</f>
        <v/>
      </c>
      <c r="B619" s="6" t="n"/>
      <c r="G619" s="6" t="n"/>
      <c r="H619" s="8" t="n"/>
      <c r="I619">
        <f>IF($G619="","", MAX(0, TODAY()-$G619))</f>
        <v/>
      </c>
      <c r="L619" s="6" t="n"/>
    </row>
    <row r="620">
      <c r="A620">
        <f>IF($C620="","", "REM"&amp;TEXT(ROW()-1,"0000"))</f>
        <v/>
      </c>
      <c r="B620" s="6" t="n"/>
      <c r="G620" s="6" t="n"/>
      <c r="H620" s="8" t="n"/>
      <c r="I620">
        <f>IF($G620="","", MAX(0, TODAY()-$G620))</f>
        <v/>
      </c>
      <c r="L620" s="6" t="n"/>
    </row>
    <row r="621">
      <c r="A621">
        <f>IF($C621="","", "REM"&amp;TEXT(ROW()-1,"0000"))</f>
        <v/>
      </c>
      <c r="B621" s="6" t="n"/>
      <c r="G621" s="6" t="n"/>
      <c r="H621" s="8" t="n"/>
      <c r="I621">
        <f>IF($G621="","", MAX(0, TODAY()-$G621))</f>
        <v/>
      </c>
      <c r="L621" s="6" t="n"/>
    </row>
    <row r="622">
      <c r="A622">
        <f>IF($C622="","", "REM"&amp;TEXT(ROW()-1,"0000"))</f>
        <v/>
      </c>
      <c r="B622" s="6" t="n"/>
      <c r="G622" s="6" t="n"/>
      <c r="H622" s="8" t="n"/>
      <c r="I622">
        <f>IF($G622="","", MAX(0, TODAY()-$G622))</f>
        <v/>
      </c>
      <c r="L622" s="6" t="n"/>
    </row>
    <row r="623">
      <c r="A623">
        <f>IF($C623="","", "REM"&amp;TEXT(ROW()-1,"0000"))</f>
        <v/>
      </c>
      <c r="B623" s="6" t="n"/>
      <c r="G623" s="6" t="n"/>
      <c r="H623" s="8" t="n"/>
      <c r="I623">
        <f>IF($G623="","", MAX(0, TODAY()-$G623))</f>
        <v/>
      </c>
      <c r="L623" s="6" t="n"/>
    </row>
    <row r="624">
      <c r="A624">
        <f>IF($C624="","", "REM"&amp;TEXT(ROW()-1,"0000"))</f>
        <v/>
      </c>
      <c r="B624" s="6" t="n"/>
      <c r="G624" s="6" t="n"/>
      <c r="H624" s="8" t="n"/>
      <c r="I624">
        <f>IF($G624="","", MAX(0, TODAY()-$G624))</f>
        <v/>
      </c>
      <c r="L624" s="6" t="n"/>
    </row>
    <row r="625">
      <c r="A625">
        <f>IF($C625="","", "REM"&amp;TEXT(ROW()-1,"0000"))</f>
        <v/>
      </c>
      <c r="B625" s="6" t="n"/>
      <c r="G625" s="6" t="n"/>
      <c r="H625" s="8" t="n"/>
      <c r="I625">
        <f>IF($G625="","", MAX(0, TODAY()-$G625))</f>
        <v/>
      </c>
      <c r="L625" s="6" t="n"/>
    </row>
    <row r="626">
      <c r="A626">
        <f>IF($C626="","", "REM"&amp;TEXT(ROW()-1,"0000"))</f>
        <v/>
      </c>
      <c r="B626" s="6" t="n"/>
      <c r="G626" s="6" t="n"/>
      <c r="H626" s="8" t="n"/>
      <c r="I626">
        <f>IF($G626="","", MAX(0, TODAY()-$G626))</f>
        <v/>
      </c>
      <c r="L626" s="6" t="n"/>
    </row>
    <row r="627">
      <c r="A627">
        <f>IF($C627="","", "REM"&amp;TEXT(ROW()-1,"0000"))</f>
        <v/>
      </c>
      <c r="B627" s="6" t="n"/>
      <c r="G627" s="6" t="n"/>
      <c r="H627" s="8" t="n"/>
      <c r="I627">
        <f>IF($G627="","", MAX(0, TODAY()-$G627))</f>
        <v/>
      </c>
      <c r="L627" s="6" t="n"/>
    </row>
    <row r="628">
      <c r="A628">
        <f>IF($C628="","", "REM"&amp;TEXT(ROW()-1,"0000"))</f>
        <v/>
      </c>
      <c r="B628" s="6" t="n"/>
      <c r="G628" s="6" t="n"/>
      <c r="H628" s="8" t="n"/>
      <c r="I628">
        <f>IF($G628="","", MAX(0, TODAY()-$G628))</f>
        <v/>
      </c>
      <c r="L628" s="6" t="n"/>
    </row>
    <row r="629">
      <c r="A629">
        <f>IF($C629="","", "REM"&amp;TEXT(ROW()-1,"0000"))</f>
        <v/>
      </c>
      <c r="B629" s="6" t="n"/>
      <c r="G629" s="6" t="n"/>
      <c r="H629" s="8" t="n"/>
      <c r="I629">
        <f>IF($G629="","", MAX(0, TODAY()-$G629))</f>
        <v/>
      </c>
      <c r="L629" s="6" t="n"/>
    </row>
    <row r="630">
      <c r="A630">
        <f>IF($C630="","", "REM"&amp;TEXT(ROW()-1,"0000"))</f>
        <v/>
      </c>
      <c r="B630" s="6" t="n"/>
      <c r="G630" s="6" t="n"/>
      <c r="H630" s="8" t="n"/>
      <c r="I630">
        <f>IF($G630="","", MAX(0, TODAY()-$G630))</f>
        <v/>
      </c>
      <c r="L630" s="6" t="n"/>
    </row>
    <row r="631">
      <c r="A631">
        <f>IF($C631="","", "REM"&amp;TEXT(ROW()-1,"0000"))</f>
        <v/>
      </c>
      <c r="B631" s="6" t="n"/>
      <c r="G631" s="6" t="n"/>
      <c r="H631" s="8" t="n"/>
      <c r="I631">
        <f>IF($G631="","", MAX(0, TODAY()-$G631))</f>
        <v/>
      </c>
      <c r="L631" s="6" t="n"/>
    </row>
    <row r="632">
      <c r="A632">
        <f>IF($C632="","", "REM"&amp;TEXT(ROW()-1,"0000"))</f>
        <v/>
      </c>
      <c r="B632" s="6" t="n"/>
      <c r="G632" s="6" t="n"/>
      <c r="H632" s="8" t="n"/>
      <c r="I632">
        <f>IF($G632="","", MAX(0, TODAY()-$G632))</f>
        <v/>
      </c>
      <c r="L632" s="6" t="n"/>
    </row>
    <row r="633">
      <c r="A633">
        <f>IF($C633="","", "REM"&amp;TEXT(ROW()-1,"0000"))</f>
        <v/>
      </c>
      <c r="B633" s="6" t="n"/>
      <c r="G633" s="6" t="n"/>
      <c r="H633" s="8" t="n"/>
      <c r="I633">
        <f>IF($G633="","", MAX(0, TODAY()-$G633))</f>
        <v/>
      </c>
      <c r="L633" s="6" t="n"/>
    </row>
    <row r="634">
      <c r="A634">
        <f>IF($C634="","", "REM"&amp;TEXT(ROW()-1,"0000"))</f>
        <v/>
      </c>
      <c r="B634" s="6" t="n"/>
      <c r="G634" s="6" t="n"/>
      <c r="H634" s="8" t="n"/>
      <c r="I634">
        <f>IF($G634="","", MAX(0, TODAY()-$G634))</f>
        <v/>
      </c>
      <c r="L634" s="6" t="n"/>
    </row>
    <row r="635">
      <c r="A635">
        <f>IF($C635="","", "REM"&amp;TEXT(ROW()-1,"0000"))</f>
        <v/>
      </c>
      <c r="B635" s="6" t="n"/>
      <c r="G635" s="6" t="n"/>
      <c r="H635" s="8" t="n"/>
      <c r="I635">
        <f>IF($G635="","", MAX(0, TODAY()-$G635))</f>
        <v/>
      </c>
      <c r="L635" s="6" t="n"/>
    </row>
    <row r="636">
      <c r="A636">
        <f>IF($C636="","", "REM"&amp;TEXT(ROW()-1,"0000"))</f>
        <v/>
      </c>
      <c r="B636" s="6" t="n"/>
      <c r="G636" s="6" t="n"/>
      <c r="H636" s="8" t="n"/>
      <c r="I636">
        <f>IF($G636="","", MAX(0, TODAY()-$G636))</f>
        <v/>
      </c>
      <c r="L636" s="6" t="n"/>
    </row>
    <row r="637">
      <c r="A637">
        <f>IF($C637="","", "REM"&amp;TEXT(ROW()-1,"0000"))</f>
        <v/>
      </c>
      <c r="B637" s="6" t="n"/>
      <c r="G637" s="6" t="n"/>
      <c r="H637" s="8" t="n"/>
      <c r="I637">
        <f>IF($G637="","", MAX(0, TODAY()-$G637))</f>
        <v/>
      </c>
      <c r="L637" s="6" t="n"/>
    </row>
    <row r="638">
      <c r="A638">
        <f>IF($C638="","", "REM"&amp;TEXT(ROW()-1,"0000"))</f>
        <v/>
      </c>
      <c r="B638" s="6" t="n"/>
      <c r="G638" s="6" t="n"/>
      <c r="H638" s="8" t="n"/>
      <c r="I638">
        <f>IF($G638="","", MAX(0, TODAY()-$G638))</f>
        <v/>
      </c>
      <c r="L638" s="6" t="n"/>
    </row>
    <row r="639">
      <c r="A639">
        <f>IF($C639="","", "REM"&amp;TEXT(ROW()-1,"0000"))</f>
        <v/>
      </c>
      <c r="B639" s="6" t="n"/>
      <c r="G639" s="6" t="n"/>
      <c r="H639" s="8" t="n"/>
      <c r="I639">
        <f>IF($G639="","", MAX(0, TODAY()-$G639))</f>
        <v/>
      </c>
      <c r="L639" s="6" t="n"/>
    </row>
    <row r="640">
      <c r="A640">
        <f>IF($C640="","", "REM"&amp;TEXT(ROW()-1,"0000"))</f>
        <v/>
      </c>
      <c r="B640" s="6" t="n"/>
      <c r="G640" s="6" t="n"/>
      <c r="H640" s="8" t="n"/>
      <c r="I640">
        <f>IF($G640="","", MAX(0, TODAY()-$G640))</f>
        <v/>
      </c>
      <c r="L640" s="6" t="n"/>
    </row>
    <row r="641">
      <c r="A641">
        <f>IF($C641="","", "REM"&amp;TEXT(ROW()-1,"0000"))</f>
        <v/>
      </c>
      <c r="B641" s="6" t="n"/>
      <c r="G641" s="6" t="n"/>
      <c r="H641" s="8" t="n"/>
      <c r="I641">
        <f>IF($G641="","", MAX(0, TODAY()-$G641))</f>
        <v/>
      </c>
      <c r="L641" s="6" t="n"/>
    </row>
    <row r="642">
      <c r="A642">
        <f>IF($C642="","", "REM"&amp;TEXT(ROW()-1,"0000"))</f>
        <v/>
      </c>
      <c r="B642" s="6" t="n"/>
      <c r="G642" s="6" t="n"/>
      <c r="H642" s="8" t="n"/>
      <c r="I642">
        <f>IF($G642="","", MAX(0, TODAY()-$G642))</f>
        <v/>
      </c>
      <c r="L642" s="6" t="n"/>
    </row>
    <row r="643">
      <c r="A643">
        <f>IF($C643="","", "REM"&amp;TEXT(ROW()-1,"0000"))</f>
        <v/>
      </c>
      <c r="B643" s="6" t="n"/>
      <c r="G643" s="6" t="n"/>
      <c r="H643" s="8" t="n"/>
      <c r="I643">
        <f>IF($G643="","", MAX(0, TODAY()-$G643))</f>
        <v/>
      </c>
      <c r="L643" s="6" t="n"/>
    </row>
    <row r="644">
      <c r="A644">
        <f>IF($C644="","", "REM"&amp;TEXT(ROW()-1,"0000"))</f>
        <v/>
      </c>
      <c r="B644" s="6" t="n"/>
      <c r="G644" s="6" t="n"/>
      <c r="H644" s="8" t="n"/>
      <c r="I644">
        <f>IF($G644="","", MAX(0, TODAY()-$G644))</f>
        <v/>
      </c>
      <c r="L644" s="6" t="n"/>
    </row>
    <row r="645">
      <c r="A645">
        <f>IF($C645="","", "REM"&amp;TEXT(ROW()-1,"0000"))</f>
        <v/>
      </c>
      <c r="B645" s="6" t="n"/>
      <c r="G645" s="6" t="n"/>
      <c r="H645" s="8" t="n"/>
      <c r="I645">
        <f>IF($G645="","", MAX(0, TODAY()-$G645))</f>
        <v/>
      </c>
      <c r="L645" s="6" t="n"/>
    </row>
    <row r="646">
      <c r="A646">
        <f>IF($C646="","", "REM"&amp;TEXT(ROW()-1,"0000"))</f>
        <v/>
      </c>
      <c r="B646" s="6" t="n"/>
      <c r="G646" s="6" t="n"/>
      <c r="H646" s="8" t="n"/>
      <c r="I646">
        <f>IF($G646="","", MAX(0, TODAY()-$G646))</f>
        <v/>
      </c>
      <c r="L646" s="6" t="n"/>
    </row>
    <row r="647">
      <c r="A647">
        <f>IF($C647="","", "REM"&amp;TEXT(ROW()-1,"0000"))</f>
        <v/>
      </c>
      <c r="B647" s="6" t="n"/>
      <c r="G647" s="6" t="n"/>
      <c r="H647" s="8" t="n"/>
      <c r="I647">
        <f>IF($G647="","", MAX(0, TODAY()-$G647))</f>
        <v/>
      </c>
      <c r="L647" s="6" t="n"/>
    </row>
    <row r="648">
      <c r="A648">
        <f>IF($C648="","", "REM"&amp;TEXT(ROW()-1,"0000"))</f>
        <v/>
      </c>
      <c r="B648" s="6" t="n"/>
      <c r="G648" s="6" t="n"/>
      <c r="H648" s="8" t="n"/>
      <c r="I648">
        <f>IF($G648="","", MAX(0, TODAY()-$G648))</f>
        <v/>
      </c>
      <c r="L648" s="6" t="n"/>
    </row>
    <row r="649">
      <c r="A649">
        <f>IF($C649="","", "REM"&amp;TEXT(ROW()-1,"0000"))</f>
        <v/>
      </c>
      <c r="B649" s="6" t="n"/>
      <c r="G649" s="6" t="n"/>
      <c r="H649" s="8" t="n"/>
      <c r="I649">
        <f>IF($G649="","", MAX(0, TODAY()-$G649))</f>
        <v/>
      </c>
      <c r="L649" s="6" t="n"/>
    </row>
    <row r="650">
      <c r="A650">
        <f>IF($C650="","", "REM"&amp;TEXT(ROW()-1,"0000"))</f>
        <v/>
      </c>
      <c r="B650" s="6" t="n"/>
      <c r="G650" s="6" t="n"/>
      <c r="H650" s="8" t="n"/>
      <c r="I650">
        <f>IF($G650="","", MAX(0, TODAY()-$G650))</f>
        <v/>
      </c>
      <c r="L650" s="6" t="n"/>
    </row>
    <row r="651">
      <c r="A651">
        <f>IF($C651="","", "REM"&amp;TEXT(ROW()-1,"0000"))</f>
        <v/>
      </c>
      <c r="B651" s="6" t="n"/>
      <c r="G651" s="6" t="n"/>
      <c r="H651" s="8" t="n"/>
      <c r="I651">
        <f>IF($G651="","", MAX(0, TODAY()-$G651))</f>
        <v/>
      </c>
      <c r="L651" s="6" t="n"/>
    </row>
    <row r="652">
      <c r="A652">
        <f>IF($C652="","", "REM"&amp;TEXT(ROW()-1,"0000"))</f>
        <v/>
      </c>
      <c r="B652" s="6" t="n"/>
      <c r="G652" s="6" t="n"/>
      <c r="H652" s="8" t="n"/>
      <c r="I652">
        <f>IF($G652="","", MAX(0, TODAY()-$G652))</f>
        <v/>
      </c>
      <c r="L652" s="6" t="n"/>
    </row>
    <row r="653">
      <c r="A653">
        <f>IF($C653="","", "REM"&amp;TEXT(ROW()-1,"0000"))</f>
        <v/>
      </c>
      <c r="B653" s="6" t="n"/>
      <c r="G653" s="6" t="n"/>
      <c r="H653" s="8" t="n"/>
      <c r="I653">
        <f>IF($G653="","", MAX(0, TODAY()-$G653))</f>
        <v/>
      </c>
      <c r="L653" s="6" t="n"/>
    </row>
    <row r="654">
      <c r="A654">
        <f>IF($C654="","", "REM"&amp;TEXT(ROW()-1,"0000"))</f>
        <v/>
      </c>
      <c r="B654" s="6" t="n"/>
      <c r="G654" s="6" t="n"/>
      <c r="H654" s="8" t="n"/>
      <c r="I654">
        <f>IF($G654="","", MAX(0, TODAY()-$G654))</f>
        <v/>
      </c>
      <c r="L654" s="6" t="n"/>
    </row>
    <row r="655">
      <c r="A655">
        <f>IF($C655="","", "REM"&amp;TEXT(ROW()-1,"0000"))</f>
        <v/>
      </c>
      <c r="B655" s="6" t="n"/>
      <c r="G655" s="6" t="n"/>
      <c r="H655" s="8" t="n"/>
      <c r="I655">
        <f>IF($G655="","", MAX(0, TODAY()-$G655))</f>
        <v/>
      </c>
      <c r="L655" s="6" t="n"/>
    </row>
    <row r="656">
      <c r="A656">
        <f>IF($C656="","", "REM"&amp;TEXT(ROW()-1,"0000"))</f>
        <v/>
      </c>
      <c r="B656" s="6" t="n"/>
      <c r="G656" s="6" t="n"/>
      <c r="H656" s="8" t="n"/>
      <c r="I656">
        <f>IF($G656="","", MAX(0, TODAY()-$G656))</f>
        <v/>
      </c>
      <c r="L656" s="6" t="n"/>
    </row>
    <row r="657">
      <c r="A657">
        <f>IF($C657="","", "REM"&amp;TEXT(ROW()-1,"0000"))</f>
        <v/>
      </c>
      <c r="B657" s="6" t="n"/>
      <c r="G657" s="6" t="n"/>
      <c r="H657" s="8" t="n"/>
      <c r="I657">
        <f>IF($G657="","", MAX(0, TODAY()-$G657))</f>
        <v/>
      </c>
      <c r="L657" s="6" t="n"/>
    </row>
    <row r="658">
      <c r="A658">
        <f>IF($C658="","", "REM"&amp;TEXT(ROW()-1,"0000"))</f>
        <v/>
      </c>
      <c r="B658" s="6" t="n"/>
      <c r="G658" s="6" t="n"/>
      <c r="H658" s="8" t="n"/>
      <c r="I658">
        <f>IF($G658="","", MAX(0, TODAY()-$G658))</f>
        <v/>
      </c>
      <c r="L658" s="6" t="n"/>
    </row>
    <row r="659">
      <c r="A659">
        <f>IF($C659="","", "REM"&amp;TEXT(ROW()-1,"0000"))</f>
        <v/>
      </c>
      <c r="B659" s="6" t="n"/>
      <c r="G659" s="6" t="n"/>
      <c r="H659" s="8" t="n"/>
      <c r="I659">
        <f>IF($G659="","", MAX(0, TODAY()-$G659))</f>
        <v/>
      </c>
      <c r="L659" s="6" t="n"/>
    </row>
    <row r="660">
      <c r="A660">
        <f>IF($C660="","", "REM"&amp;TEXT(ROW()-1,"0000"))</f>
        <v/>
      </c>
      <c r="B660" s="6" t="n"/>
      <c r="G660" s="6" t="n"/>
      <c r="H660" s="8" t="n"/>
      <c r="I660">
        <f>IF($G660="","", MAX(0, TODAY()-$G660))</f>
        <v/>
      </c>
      <c r="L660" s="6" t="n"/>
    </row>
    <row r="661">
      <c r="A661">
        <f>IF($C661="","", "REM"&amp;TEXT(ROW()-1,"0000"))</f>
        <v/>
      </c>
      <c r="B661" s="6" t="n"/>
      <c r="G661" s="6" t="n"/>
      <c r="H661" s="8" t="n"/>
      <c r="I661">
        <f>IF($G661="","", MAX(0, TODAY()-$G661))</f>
        <v/>
      </c>
      <c r="L661" s="6" t="n"/>
    </row>
    <row r="662">
      <c r="A662">
        <f>IF($C662="","", "REM"&amp;TEXT(ROW()-1,"0000"))</f>
        <v/>
      </c>
      <c r="B662" s="6" t="n"/>
      <c r="G662" s="6" t="n"/>
      <c r="H662" s="8" t="n"/>
      <c r="I662">
        <f>IF($G662="","", MAX(0, TODAY()-$G662))</f>
        <v/>
      </c>
      <c r="L662" s="6" t="n"/>
    </row>
    <row r="663">
      <c r="A663">
        <f>IF($C663="","", "REM"&amp;TEXT(ROW()-1,"0000"))</f>
        <v/>
      </c>
      <c r="B663" s="6" t="n"/>
      <c r="G663" s="6" t="n"/>
      <c r="H663" s="8" t="n"/>
      <c r="I663">
        <f>IF($G663="","", MAX(0, TODAY()-$G663))</f>
        <v/>
      </c>
      <c r="L663" s="6" t="n"/>
    </row>
    <row r="664">
      <c r="A664">
        <f>IF($C664="","", "REM"&amp;TEXT(ROW()-1,"0000"))</f>
        <v/>
      </c>
      <c r="B664" s="6" t="n"/>
      <c r="G664" s="6" t="n"/>
      <c r="H664" s="8" t="n"/>
      <c r="I664">
        <f>IF($G664="","", MAX(0, TODAY()-$G664))</f>
        <v/>
      </c>
      <c r="L664" s="6" t="n"/>
    </row>
    <row r="665">
      <c r="A665">
        <f>IF($C665="","", "REM"&amp;TEXT(ROW()-1,"0000"))</f>
        <v/>
      </c>
      <c r="B665" s="6" t="n"/>
      <c r="G665" s="6" t="n"/>
      <c r="H665" s="8" t="n"/>
      <c r="I665">
        <f>IF($G665="","", MAX(0, TODAY()-$G665))</f>
        <v/>
      </c>
      <c r="L665" s="6" t="n"/>
    </row>
    <row r="666">
      <c r="A666">
        <f>IF($C666="","", "REM"&amp;TEXT(ROW()-1,"0000"))</f>
        <v/>
      </c>
      <c r="B666" s="6" t="n"/>
      <c r="G666" s="6" t="n"/>
      <c r="H666" s="8" t="n"/>
      <c r="I666">
        <f>IF($G666="","", MAX(0, TODAY()-$G666))</f>
        <v/>
      </c>
      <c r="L666" s="6" t="n"/>
    </row>
    <row r="667">
      <c r="A667">
        <f>IF($C667="","", "REM"&amp;TEXT(ROW()-1,"0000"))</f>
        <v/>
      </c>
      <c r="B667" s="6" t="n"/>
      <c r="G667" s="6" t="n"/>
      <c r="H667" s="8" t="n"/>
      <c r="I667">
        <f>IF($G667="","", MAX(0, TODAY()-$G667))</f>
        <v/>
      </c>
      <c r="L667" s="6" t="n"/>
    </row>
    <row r="668">
      <c r="A668">
        <f>IF($C668="","", "REM"&amp;TEXT(ROW()-1,"0000"))</f>
        <v/>
      </c>
      <c r="B668" s="6" t="n"/>
      <c r="G668" s="6" t="n"/>
      <c r="H668" s="8" t="n"/>
      <c r="I668">
        <f>IF($G668="","", MAX(0, TODAY()-$G668))</f>
        <v/>
      </c>
      <c r="L668" s="6" t="n"/>
    </row>
    <row r="669">
      <c r="A669">
        <f>IF($C669="","", "REM"&amp;TEXT(ROW()-1,"0000"))</f>
        <v/>
      </c>
      <c r="B669" s="6" t="n"/>
      <c r="G669" s="6" t="n"/>
      <c r="H669" s="8" t="n"/>
      <c r="I669">
        <f>IF($G669="","", MAX(0, TODAY()-$G669))</f>
        <v/>
      </c>
      <c r="L669" s="6" t="n"/>
    </row>
    <row r="670">
      <c r="A670">
        <f>IF($C670="","", "REM"&amp;TEXT(ROW()-1,"0000"))</f>
        <v/>
      </c>
      <c r="B670" s="6" t="n"/>
      <c r="G670" s="6" t="n"/>
      <c r="H670" s="8" t="n"/>
      <c r="I670">
        <f>IF($G670="","", MAX(0, TODAY()-$G670))</f>
        <v/>
      </c>
      <c r="L670" s="6" t="n"/>
    </row>
    <row r="671">
      <c r="A671">
        <f>IF($C671="","", "REM"&amp;TEXT(ROW()-1,"0000"))</f>
        <v/>
      </c>
      <c r="B671" s="6" t="n"/>
      <c r="G671" s="6" t="n"/>
      <c r="H671" s="8" t="n"/>
      <c r="I671">
        <f>IF($G671="","", MAX(0, TODAY()-$G671))</f>
        <v/>
      </c>
      <c r="L671" s="6" t="n"/>
    </row>
    <row r="672">
      <c r="A672">
        <f>IF($C672="","", "REM"&amp;TEXT(ROW()-1,"0000"))</f>
        <v/>
      </c>
      <c r="B672" s="6" t="n"/>
      <c r="G672" s="6" t="n"/>
      <c r="H672" s="8" t="n"/>
      <c r="I672">
        <f>IF($G672="","", MAX(0, TODAY()-$G672))</f>
        <v/>
      </c>
      <c r="L672" s="6" t="n"/>
    </row>
    <row r="673">
      <c r="A673">
        <f>IF($C673="","", "REM"&amp;TEXT(ROW()-1,"0000"))</f>
        <v/>
      </c>
      <c r="B673" s="6" t="n"/>
      <c r="G673" s="6" t="n"/>
      <c r="H673" s="8" t="n"/>
      <c r="I673">
        <f>IF($G673="","", MAX(0, TODAY()-$G673))</f>
        <v/>
      </c>
      <c r="L673" s="6" t="n"/>
    </row>
    <row r="674">
      <c r="A674">
        <f>IF($C674="","", "REM"&amp;TEXT(ROW()-1,"0000"))</f>
        <v/>
      </c>
      <c r="B674" s="6" t="n"/>
      <c r="G674" s="6" t="n"/>
      <c r="H674" s="8" t="n"/>
      <c r="I674">
        <f>IF($G674="","", MAX(0, TODAY()-$G674))</f>
        <v/>
      </c>
      <c r="L674" s="6" t="n"/>
    </row>
    <row r="675">
      <c r="A675">
        <f>IF($C675="","", "REM"&amp;TEXT(ROW()-1,"0000"))</f>
        <v/>
      </c>
      <c r="B675" s="6" t="n"/>
      <c r="G675" s="6" t="n"/>
      <c r="H675" s="8" t="n"/>
      <c r="I675">
        <f>IF($G675="","", MAX(0, TODAY()-$G675))</f>
        <v/>
      </c>
      <c r="L675" s="6" t="n"/>
    </row>
    <row r="676">
      <c r="A676">
        <f>IF($C676="","", "REM"&amp;TEXT(ROW()-1,"0000"))</f>
        <v/>
      </c>
      <c r="B676" s="6" t="n"/>
      <c r="G676" s="6" t="n"/>
      <c r="H676" s="8" t="n"/>
      <c r="I676">
        <f>IF($G676="","", MAX(0, TODAY()-$G676))</f>
        <v/>
      </c>
      <c r="L676" s="6" t="n"/>
    </row>
    <row r="677">
      <c r="A677">
        <f>IF($C677="","", "REM"&amp;TEXT(ROW()-1,"0000"))</f>
        <v/>
      </c>
      <c r="B677" s="6" t="n"/>
      <c r="G677" s="6" t="n"/>
      <c r="H677" s="8" t="n"/>
      <c r="I677">
        <f>IF($G677="","", MAX(0, TODAY()-$G677))</f>
        <v/>
      </c>
      <c r="L677" s="6" t="n"/>
    </row>
    <row r="678">
      <c r="A678">
        <f>IF($C678="","", "REM"&amp;TEXT(ROW()-1,"0000"))</f>
        <v/>
      </c>
      <c r="B678" s="6" t="n"/>
      <c r="G678" s="6" t="n"/>
      <c r="H678" s="8" t="n"/>
      <c r="I678">
        <f>IF($G678="","", MAX(0, TODAY()-$G678))</f>
        <v/>
      </c>
      <c r="L678" s="6" t="n"/>
    </row>
    <row r="679">
      <c r="A679">
        <f>IF($C679="","", "REM"&amp;TEXT(ROW()-1,"0000"))</f>
        <v/>
      </c>
      <c r="B679" s="6" t="n"/>
      <c r="G679" s="6" t="n"/>
      <c r="H679" s="8" t="n"/>
      <c r="I679">
        <f>IF($G679="","", MAX(0, TODAY()-$G679))</f>
        <v/>
      </c>
      <c r="L679" s="6" t="n"/>
    </row>
    <row r="680">
      <c r="A680">
        <f>IF($C680="","", "REM"&amp;TEXT(ROW()-1,"0000"))</f>
        <v/>
      </c>
      <c r="B680" s="6" t="n"/>
      <c r="G680" s="6" t="n"/>
      <c r="H680" s="8" t="n"/>
      <c r="I680">
        <f>IF($G680="","", MAX(0, TODAY()-$G680))</f>
        <v/>
      </c>
      <c r="L680" s="6" t="n"/>
    </row>
    <row r="681">
      <c r="A681">
        <f>IF($C681="","", "REM"&amp;TEXT(ROW()-1,"0000"))</f>
        <v/>
      </c>
      <c r="B681" s="6" t="n"/>
      <c r="G681" s="6" t="n"/>
      <c r="H681" s="8" t="n"/>
      <c r="I681">
        <f>IF($G681="","", MAX(0, TODAY()-$G681))</f>
        <v/>
      </c>
      <c r="L681" s="6" t="n"/>
    </row>
    <row r="682">
      <c r="A682">
        <f>IF($C682="","", "REM"&amp;TEXT(ROW()-1,"0000"))</f>
        <v/>
      </c>
      <c r="B682" s="6" t="n"/>
      <c r="G682" s="6" t="n"/>
      <c r="H682" s="8" t="n"/>
      <c r="I682">
        <f>IF($G682="","", MAX(0, TODAY()-$G682))</f>
        <v/>
      </c>
      <c r="L682" s="6" t="n"/>
    </row>
    <row r="683">
      <c r="A683">
        <f>IF($C683="","", "REM"&amp;TEXT(ROW()-1,"0000"))</f>
        <v/>
      </c>
      <c r="B683" s="6" t="n"/>
      <c r="G683" s="6" t="n"/>
      <c r="H683" s="8" t="n"/>
      <c r="I683">
        <f>IF($G683="","", MAX(0, TODAY()-$G683))</f>
        <v/>
      </c>
      <c r="L683" s="6" t="n"/>
    </row>
    <row r="684">
      <c r="A684">
        <f>IF($C684="","", "REM"&amp;TEXT(ROW()-1,"0000"))</f>
        <v/>
      </c>
      <c r="B684" s="6" t="n"/>
      <c r="G684" s="6" t="n"/>
      <c r="H684" s="8" t="n"/>
      <c r="I684">
        <f>IF($G684="","", MAX(0, TODAY()-$G684))</f>
        <v/>
      </c>
      <c r="L684" s="6" t="n"/>
    </row>
    <row r="685">
      <c r="A685">
        <f>IF($C685="","", "REM"&amp;TEXT(ROW()-1,"0000"))</f>
        <v/>
      </c>
      <c r="B685" s="6" t="n"/>
      <c r="G685" s="6" t="n"/>
      <c r="H685" s="8" t="n"/>
      <c r="I685">
        <f>IF($G685="","", MAX(0, TODAY()-$G685))</f>
        <v/>
      </c>
      <c r="L685" s="6" t="n"/>
    </row>
    <row r="686">
      <c r="A686">
        <f>IF($C686="","", "REM"&amp;TEXT(ROW()-1,"0000"))</f>
        <v/>
      </c>
      <c r="B686" s="6" t="n"/>
      <c r="G686" s="6" t="n"/>
      <c r="H686" s="8" t="n"/>
      <c r="I686">
        <f>IF($G686="","", MAX(0, TODAY()-$G686))</f>
        <v/>
      </c>
      <c r="L686" s="6" t="n"/>
    </row>
    <row r="687">
      <c r="A687">
        <f>IF($C687="","", "REM"&amp;TEXT(ROW()-1,"0000"))</f>
        <v/>
      </c>
      <c r="B687" s="6" t="n"/>
      <c r="G687" s="6" t="n"/>
      <c r="H687" s="8" t="n"/>
      <c r="I687">
        <f>IF($G687="","", MAX(0, TODAY()-$G687))</f>
        <v/>
      </c>
      <c r="L687" s="6" t="n"/>
    </row>
    <row r="688">
      <c r="A688">
        <f>IF($C688="","", "REM"&amp;TEXT(ROW()-1,"0000"))</f>
        <v/>
      </c>
      <c r="B688" s="6" t="n"/>
      <c r="G688" s="6" t="n"/>
      <c r="H688" s="8" t="n"/>
      <c r="I688">
        <f>IF($G688="","", MAX(0, TODAY()-$G688))</f>
        <v/>
      </c>
      <c r="L688" s="6" t="n"/>
    </row>
    <row r="689">
      <c r="A689">
        <f>IF($C689="","", "REM"&amp;TEXT(ROW()-1,"0000"))</f>
        <v/>
      </c>
      <c r="B689" s="6" t="n"/>
      <c r="G689" s="6" t="n"/>
      <c r="H689" s="8" t="n"/>
      <c r="I689">
        <f>IF($G689="","", MAX(0, TODAY()-$G689))</f>
        <v/>
      </c>
      <c r="L689" s="6" t="n"/>
    </row>
    <row r="690">
      <c r="A690">
        <f>IF($C690="","", "REM"&amp;TEXT(ROW()-1,"0000"))</f>
        <v/>
      </c>
      <c r="B690" s="6" t="n"/>
      <c r="G690" s="6" t="n"/>
      <c r="H690" s="8" t="n"/>
      <c r="I690">
        <f>IF($G690="","", MAX(0, TODAY()-$G690))</f>
        <v/>
      </c>
      <c r="L690" s="6" t="n"/>
    </row>
    <row r="691">
      <c r="A691">
        <f>IF($C691="","", "REM"&amp;TEXT(ROW()-1,"0000"))</f>
        <v/>
      </c>
      <c r="B691" s="6" t="n"/>
      <c r="G691" s="6" t="n"/>
      <c r="H691" s="8" t="n"/>
      <c r="I691">
        <f>IF($G691="","", MAX(0, TODAY()-$G691))</f>
        <v/>
      </c>
      <c r="L691" s="6" t="n"/>
    </row>
    <row r="692">
      <c r="A692">
        <f>IF($C692="","", "REM"&amp;TEXT(ROW()-1,"0000"))</f>
        <v/>
      </c>
      <c r="B692" s="6" t="n"/>
      <c r="G692" s="6" t="n"/>
      <c r="H692" s="8" t="n"/>
      <c r="I692">
        <f>IF($G692="","", MAX(0, TODAY()-$G692))</f>
        <v/>
      </c>
      <c r="L692" s="6" t="n"/>
    </row>
    <row r="693">
      <c r="A693">
        <f>IF($C693="","", "REM"&amp;TEXT(ROW()-1,"0000"))</f>
        <v/>
      </c>
      <c r="B693" s="6" t="n"/>
      <c r="G693" s="6" t="n"/>
      <c r="H693" s="8" t="n"/>
      <c r="I693">
        <f>IF($G693="","", MAX(0, TODAY()-$G693))</f>
        <v/>
      </c>
      <c r="L693" s="6" t="n"/>
    </row>
    <row r="694">
      <c r="A694">
        <f>IF($C694="","", "REM"&amp;TEXT(ROW()-1,"0000"))</f>
        <v/>
      </c>
      <c r="B694" s="6" t="n"/>
      <c r="G694" s="6" t="n"/>
      <c r="H694" s="8" t="n"/>
      <c r="I694">
        <f>IF($G694="","", MAX(0, TODAY()-$G694))</f>
        <v/>
      </c>
      <c r="L694" s="6" t="n"/>
    </row>
    <row r="695">
      <c r="A695">
        <f>IF($C695="","", "REM"&amp;TEXT(ROW()-1,"0000"))</f>
        <v/>
      </c>
      <c r="B695" s="6" t="n"/>
      <c r="G695" s="6" t="n"/>
      <c r="H695" s="8" t="n"/>
      <c r="I695">
        <f>IF($G695="","", MAX(0, TODAY()-$G695))</f>
        <v/>
      </c>
      <c r="L695" s="6" t="n"/>
    </row>
    <row r="696">
      <c r="A696">
        <f>IF($C696="","", "REM"&amp;TEXT(ROW()-1,"0000"))</f>
        <v/>
      </c>
      <c r="B696" s="6" t="n"/>
      <c r="G696" s="6" t="n"/>
      <c r="H696" s="8" t="n"/>
      <c r="I696">
        <f>IF($G696="","", MAX(0, TODAY()-$G696))</f>
        <v/>
      </c>
      <c r="L696" s="6" t="n"/>
    </row>
    <row r="697">
      <c r="A697">
        <f>IF($C697="","", "REM"&amp;TEXT(ROW()-1,"0000"))</f>
        <v/>
      </c>
      <c r="B697" s="6" t="n"/>
      <c r="G697" s="6" t="n"/>
      <c r="H697" s="8" t="n"/>
      <c r="I697">
        <f>IF($G697="","", MAX(0, TODAY()-$G697))</f>
        <v/>
      </c>
      <c r="L697" s="6" t="n"/>
    </row>
    <row r="698">
      <c r="A698">
        <f>IF($C698="","", "REM"&amp;TEXT(ROW()-1,"0000"))</f>
        <v/>
      </c>
      <c r="B698" s="6" t="n"/>
      <c r="G698" s="6" t="n"/>
      <c r="H698" s="8" t="n"/>
      <c r="I698">
        <f>IF($G698="","", MAX(0, TODAY()-$G698))</f>
        <v/>
      </c>
      <c r="L698" s="6" t="n"/>
    </row>
    <row r="699">
      <c r="A699">
        <f>IF($C699="","", "REM"&amp;TEXT(ROW()-1,"0000"))</f>
        <v/>
      </c>
      <c r="B699" s="6" t="n"/>
      <c r="G699" s="6" t="n"/>
      <c r="H699" s="8" t="n"/>
      <c r="I699">
        <f>IF($G699="","", MAX(0, TODAY()-$G699))</f>
        <v/>
      </c>
      <c r="L699" s="6" t="n"/>
    </row>
    <row r="700">
      <c r="A700">
        <f>IF($C700="","", "REM"&amp;TEXT(ROW()-1,"0000"))</f>
        <v/>
      </c>
      <c r="B700" s="6" t="n"/>
      <c r="G700" s="6" t="n"/>
      <c r="H700" s="8" t="n"/>
      <c r="I700">
        <f>IF($G700="","", MAX(0, TODAY()-$G700))</f>
        <v/>
      </c>
      <c r="L700" s="6" t="n"/>
    </row>
    <row r="701">
      <c r="A701">
        <f>IF($C701="","", "REM"&amp;TEXT(ROW()-1,"0000"))</f>
        <v/>
      </c>
      <c r="B701" s="6" t="n"/>
      <c r="G701" s="6" t="n"/>
      <c r="H701" s="8" t="n"/>
      <c r="I701">
        <f>IF($G701="","", MAX(0, TODAY()-$G701))</f>
        <v/>
      </c>
      <c r="L701" s="6" t="n"/>
    </row>
    <row r="702">
      <c r="A702">
        <f>IF($C702="","", "REM"&amp;TEXT(ROW()-1,"0000"))</f>
        <v/>
      </c>
      <c r="B702" s="6" t="n"/>
      <c r="G702" s="6" t="n"/>
      <c r="H702" s="8" t="n"/>
      <c r="I702">
        <f>IF($G702="","", MAX(0, TODAY()-$G702))</f>
        <v/>
      </c>
      <c r="L702" s="6" t="n"/>
    </row>
    <row r="703">
      <c r="A703">
        <f>IF($C703="","", "REM"&amp;TEXT(ROW()-1,"0000"))</f>
        <v/>
      </c>
      <c r="B703" s="6" t="n"/>
      <c r="G703" s="6" t="n"/>
      <c r="H703" s="8" t="n"/>
      <c r="I703">
        <f>IF($G703="","", MAX(0, TODAY()-$G703))</f>
        <v/>
      </c>
      <c r="L703" s="6" t="n"/>
    </row>
    <row r="704">
      <c r="A704">
        <f>IF($C704="","", "REM"&amp;TEXT(ROW()-1,"0000"))</f>
        <v/>
      </c>
      <c r="B704" s="6" t="n"/>
      <c r="G704" s="6" t="n"/>
      <c r="H704" s="8" t="n"/>
      <c r="I704">
        <f>IF($G704="","", MAX(0, TODAY()-$G704))</f>
        <v/>
      </c>
      <c r="L704" s="6" t="n"/>
    </row>
    <row r="705">
      <c r="A705">
        <f>IF($C705="","", "REM"&amp;TEXT(ROW()-1,"0000"))</f>
        <v/>
      </c>
      <c r="B705" s="6" t="n"/>
      <c r="G705" s="6" t="n"/>
      <c r="H705" s="8" t="n"/>
      <c r="I705">
        <f>IF($G705="","", MAX(0, TODAY()-$G705))</f>
        <v/>
      </c>
      <c r="L705" s="6" t="n"/>
    </row>
    <row r="706">
      <c r="A706">
        <f>IF($C706="","", "REM"&amp;TEXT(ROW()-1,"0000"))</f>
        <v/>
      </c>
      <c r="B706" s="6" t="n"/>
      <c r="G706" s="6" t="n"/>
      <c r="H706" s="8" t="n"/>
      <c r="I706">
        <f>IF($G706="","", MAX(0, TODAY()-$G706))</f>
        <v/>
      </c>
      <c r="L706" s="6" t="n"/>
    </row>
    <row r="707">
      <c r="A707">
        <f>IF($C707="","", "REM"&amp;TEXT(ROW()-1,"0000"))</f>
        <v/>
      </c>
      <c r="B707" s="6" t="n"/>
      <c r="G707" s="6" t="n"/>
      <c r="H707" s="8" t="n"/>
      <c r="I707">
        <f>IF($G707="","", MAX(0, TODAY()-$G707))</f>
        <v/>
      </c>
      <c r="L707" s="6" t="n"/>
    </row>
    <row r="708">
      <c r="A708">
        <f>IF($C708="","", "REM"&amp;TEXT(ROW()-1,"0000"))</f>
        <v/>
      </c>
      <c r="B708" s="6" t="n"/>
      <c r="G708" s="6" t="n"/>
      <c r="H708" s="8" t="n"/>
      <c r="I708">
        <f>IF($G708="","", MAX(0, TODAY()-$G708))</f>
        <v/>
      </c>
      <c r="L708" s="6" t="n"/>
    </row>
    <row r="709">
      <c r="A709">
        <f>IF($C709="","", "REM"&amp;TEXT(ROW()-1,"0000"))</f>
        <v/>
      </c>
      <c r="B709" s="6" t="n"/>
      <c r="G709" s="6" t="n"/>
      <c r="H709" s="8" t="n"/>
      <c r="I709">
        <f>IF($G709="","", MAX(0, TODAY()-$G709))</f>
        <v/>
      </c>
      <c r="L709" s="6" t="n"/>
    </row>
    <row r="710">
      <c r="A710">
        <f>IF($C710="","", "REM"&amp;TEXT(ROW()-1,"0000"))</f>
        <v/>
      </c>
      <c r="B710" s="6" t="n"/>
      <c r="G710" s="6" t="n"/>
      <c r="H710" s="8" t="n"/>
      <c r="I710">
        <f>IF($G710="","", MAX(0, TODAY()-$G710))</f>
        <v/>
      </c>
      <c r="L710" s="6" t="n"/>
    </row>
    <row r="711">
      <c r="A711">
        <f>IF($C711="","", "REM"&amp;TEXT(ROW()-1,"0000"))</f>
        <v/>
      </c>
      <c r="B711" s="6" t="n"/>
      <c r="G711" s="6" t="n"/>
      <c r="H711" s="8" t="n"/>
      <c r="I711">
        <f>IF($G711="","", MAX(0, TODAY()-$G711))</f>
        <v/>
      </c>
      <c r="L711" s="6" t="n"/>
    </row>
    <row r="712">
      <c r="A712">
        <f>IF($C712="","", "REM"&amp;TEXT(ROW()-1,"0000"))</f>
        <v/>
      </c>
      <c r="B712" s="6" t="n"/>
      <c r="G712" s="6" t="n"/>
      <c r="H712" s="8" t="n"/>
      <c r="I712">
        <f>IF($G712="","", MAX(0, TODAY()-$G712))</f>
        <v/>
      </c>
      <c r="L712" s="6" t="n"/>
    </row>
    <row r="713">
      <c r="A713">
        <f>IF($C713="","", "REM"&amp;TEXT(ROW()-1,"0000"))</f>
        <v/>
      </c>
      <c r="B713" s="6" t="n"/>
      <c r="G713" s="6" t="n"/>
      <c r="H713" s="8" t="n"/>
      <c r="I713">
        <f>IF($G713="","", MAX(0, TODAY()-$G713))</f>
        <v/>
      </c>
      <c r="L713" s="6" t="n"/>
    </row>
    <row r="714">
      <c r="A714">
        <f>IF($C714="","", "REM"&amp;TEXT(ROW()-1,"0000"))</f>
        <v/>
      </c>
      <c r="B714" s="6" t="n"/>
      <c r="G714" s="6" t="n"/>
      <c r="H714" s="8" t="n"/>
      <c r="I714">
        <f>IF($G714="","", MAX(0, TODAY()-$G714))</f>
        <v/>
      </c>
      <c r="L714" s="6" t="n"/>
    </row>
    <row r="715">
      <c r="A715">
        <f>IF($C715="","", "REM"&amp;TEXT(ROW()-1,"0000"))</f>
        <v/>
      </c>
      <c r="B715" s="6" t="n"/>
      <c r="G715" s="6" t="n"/>
      <c r="H715" s="8" t="n"/>
      <c r="I715">
        <f>IF($G715="","", MAX(0, TODAY()-$G715))</f>
        <v/>
      </c>
      <c r="L715" s="6" t="n"/>
    </row>
    <row r="716">
      <c r="A716">
        <f>IF($C716="","", "REM"&amp;TEXT(ROW()-1,"0000"))</f>
        <v/>
      </c>
      <c r="B716" s="6" t="n"/>
      <c r="G716" s="6" t="n"/>
      <c r="H716" s="8" t="n"/>
      <c r="I716">
        <f>IF($G716="","", MAX(0, TODAY()-$G716))</f>
        <v/>
      </c>
      <c r="L716" s="6" t="n"/>
    </row>
    <row r="717">
      <c r="A717">
        <f>IF($C717="","", "REM"&amp;TEXT(ROW()-1,"0000"))</f>
        <v/>
      </c>
      <c r="B717" s="6" t="n"/>
      <c r="G717" s="6" t="n"/>
      <c r="H717" s="8" t="n"/>
      <c r="I717">
        <f>IF($G717="","", MAX(0, TODAY()-$G717))</f>
        <v/>
      </c>
      <c r="L717" s="6" t="n"/>
    </row>
    <row r="718">
      <c r="A718">
        <f>IF($C718="","", "REM"&amp;TEXT(ROW()-1,"0000"))</f>
        <v/>
      </c>
      <c r="B718" s="6" t="n"/>
      <c r="G718" s="6" t="n"/>
      <c r="H718" s="8" t="n"/>
      <c r="I718">
        <f>IF($G718="","", MAX(0, TODAY()-$G718))</f>
        <v/>
      </c>
      <c r="L718" s="6" t="n"/>
    </row>
    <row r="719">
      <c r="A719">
        <f>IF($C719="","", "REM"&amp;TEXT(ROW()-1,"0000"))</f>
        <v/>
      </c>
      <c r="B719" s="6" t="n"/>
      <c r="G719" s="6" t="n"/>
      <c r="H719" s="8" t="n"/>
      <c r="I719">
        <f>IF($G719="","", MAX(0, TODAY()-$G719))</f>
        <v/>
      </c>
      <c r="L719" s="6" t="n"/>
    </row>
    <row r="720">
      <c r="A720">
        <f>IF($C720="","", "REM"&amp;TEXT(ROW()-1,"0000"))</f>
        <v/>
      </c>
      <c r="B720" s="6" t="n"/>
      <c r="G720" s="6" t="n"/>
      <c r="H720" s="8" t="n"/>
      <c r="I720">
        <f>IF($G720="","", MAX(0, TODAY()-$G720))</f>
        <v/>
      </c>
      <c r="L720" s="6" t="n"/>
    </row>
    <row r="721">
      <c r="A721">
        <f>IF($C721="","", "REM"&amp;TEXT(ROW()-1,"0000"))</f>
        <v/>
      </c>
      <c r="B721" s="6" t="n"/>
      <c r="G721" s="6" t="n"/>
      <c r="H721" s="8" t="n"/>
      <c r="I721">
        <f>IF($G721="","", MAX(0, TODAY()-$G721))</f>
        <v/>
      </c>
      <c r="L721" s="6" t="n"/>
    </row>
    <row r="722">
      <c r="A722">
        <f>IF($C722="","", "REM"&amp;TEXT(ROW()-1,"0000"))</f>
        <v/>
      </c>
      <c r="B722" s="6" t="n"/>
      <c r="G722" s="6" t="n"/>
      <c r="H722" s="8" t="n"/>
      <c r="I722">
        <f>IF($G722="","", MAX(0, TODAY()-$G722))</f>
        <v/>
      </c>
      <c r="L722" s="6" t="n"/>
    </row>
    <row r="723">
      <c r="A723">
        <f>IF($C723="","", "REM"&amp;TEXT(ROW()-1,"0000"))</f>
        <v/>
      </c>
      <c r="B723" s="6" t="n"/>
      <c r="G723" s="6" t="n"/>
      <c r="H723" s="8" t="n"/>
      <c r="I723">
        <f>IF($G723="","", MAX(0, TODAY()-$G723))</f>
        <v/>
      </c>
      <c r="L723" s="6" t="n"/>
    </row>
    <row r="724">
      <c r="A724">
        <f>IF($C724="","", "REM"&amp;TEXT(ROW()-1,"0000"))</f>
        <v/>
      </c>
      <c r="B724" s="6" t="n"/>
      <c r="G724" s="6" t="n"/>
      <c r="H724" s="8" t="n"/>
      <c r="I724">
        <f>IF($G724="","", MAX(0, TODAY()-$G724))</f>
        <v/>
      </c>
      <c r="L724" s="6" t="n"/>
    </row>
    <row r="725">
      <c r="A725">
        <f>IF($C725="","", "REM"&amp;TEXT(ROW()-1,"0000"))</f>
        <v/>
      </c>
      <c r="B725" s="6" t="n"/>
      <c r="G725" s="6" t="n"/>
      <c r="H725" s="8" t="n"/>
      <c r="I725">
        <f>IF($G725="","", MAX(0, TODAY()-$G725))</f>
        <v/>
      </c>
      <c r="L725" s="6" t="n"/>
    </row>
    <row r="726">
      <c r="A726">
        <f>IF($C726="","", "REM"&amp;TEXT(ROW()-1,"0000"))</f>
        <v/>
      </c>
      <c r="B726" s="6" t="n"/>
      <c r="G726" s="6" t="n"/>
      <c r="H726" s="8" t="n"/>
      <c r="I726">
        <f>IF($G726="","", MAX(0, TODAY()-$G726))</f>
        <v/>
      </c>
      <c r="L726" s="6" t="n"/>
    </row>
    <row r="727">
      <c r="A727">
        <f>IF($C727="","", "REM"&amp;TEXT(ROW()-1,"0000"))</f>
        <v/>
      </c>
      <c r="B727" s="6" t="n"/>
      <c r="G727" s="6" t="n"/>
      <c r="H727" s="8" t="n"/>
      <c r="I727">
        <f>IF($G727="","", MAX(0, TODAY()-$G727))</f>
        <v/>
      </c>
      <c r="L727" s="6" t="n"/>
    </row>
    <row r="728">
      <c r="A728">
        <f>IF($C728="","", "REM"&amp;TEXT(ROW()-1,"0000"))</f>
        <v/>
      </c>
      <c r="B728" s="6" t="n"/>
      <c r="G728" s="6" t="n"/>
      <c r="H728" s="8" t="n"/>
      <c r="I728">
        <f>IF($G728="","", MAX(0, TODAY()-$G728))</f>
        <v/>
      </c>
      <c r="L728" s="6" t="n"/>
    </row>
    <row r="729">
      <c r="A729">
        <f>IF($C729="","", "REM"&amp;TEXT(ROW()-1,"0000"))</f>
        <v/>
      </c>
      <c r="B729" s="6" t="n"/>
      <c r="G729" s="6" t="n"/>
      <c r="H729" s="8" t="n"/>
      <c r="I729">
        <f>IF($G729="","", MAX(0, TODAY()-$G729))</f>
        <v/>
      </c>
      <c r="L729" s="6" t="n"/>
    </row>
    <row r="730">
      <c r="A730">
        <f>IF($C730="","", "REM"&amp;TEXT(ROW()-1,"0000"))</f>
        <v/>
      </c>
      <c r="B730" s="6" t="n"/>
      <c r="G730" s="6" t="n"/>
      <c r="H730" s="8" t="n"/>
      <c r="I730">
        <f>IF($G730="","", MAX(0, TODAY()-$G730))</f>
        <v/>
      </c>
      <c r="L730" s="6" t="n"/>
    </row>
    <row r="731">
      <c r="A731">
        <f>IF($C731="","", "REM"&amp;TEXT(ROW()-1,"0000"))</f>
        <v/>
      </c>
      <c r="B731" s="6" t="n"/>
      <c r="G731" s="6" t="n"/>
      <c r="H731" s="8" t="n"/>
      <c r="I731">
        <f>IF($G731="","", MAX(0, TODAY()-$G731))</f>
        <v/>
      </c>
      <c r="L731" s="6" t="n"/>
    </row>
    <row r="732">
      <c r="A732">
        <f>IF($C732="","", "REM"&amp;TEXT(ROW()-1,"0000"))</f>
        <v/>
      </c>
      <c r="B732" s="6" t="n"/>
      <c r="G732" s="6" t="n"/>
      <c r="H732" s="8" t="n"/>
      <c r="I732">
        <f>IF($G732="","", MAX(0, TODAY()-$G732))</f>
        <v/>
      </c>
      <c r="L732" s="6" t="n"/>
    </row>
    <row r="733">
      <c r="A733">
        <f>IF($C733="","", "REM"&amp;TEXT(ROW()-1,"0000"))</f>
        <v/>
      </c>
      <c r="B733" s="6" t="n"/>
      <c r="G733" s="6" t="n"/>
      <c r="H733" s="8" t="n"/>
      <c r="I733">
        <f>IF($G733="","", MAX(0, TODAY()-$G733))</f>
        <v/>
      </c>
      <c r="L733" s="6" t="n"/>
    </row>
    <row r="734">
      <c r="A734">
        <f>IF($C734="","", "REM"&amp;TEXT(ROW()-1,"0000"))</f>
        <v/>
      </c>
      <c r="B734" s="6" t="n"/>
      <c r="G734" s="6" t="n"/>
      <c r="H734" s="8" t="n"/>
      <c r="I734">
        <f>IF($G734="","", MAX(0, TODAY()-$G734))</f>
        <v/>
      </c>
      <c r="L734" s="6" t="n"/>
    </row>
    <row r="735">
      <c r="A735">
        <f>IF($C735="","", "REM"&amp;TEXT(ROW()-1,"0000"))</f>
        <v/>
      </c>
      <c r="B735" s="6" t="n"/>
      <c r="G735" s="6" t="n"/>
      <c r="H735" s="8" t="n"/>
      <c r="I735">
        <f>IF($G735="","", MAX(0, TODAY()-$G735))</f>
        <v/>
      </c>
      <c r="L735" s="6" t="n"/>
    </row>
    <row r="736">
      <c r="A736">
        <f>IF($C736="","", "REM"&amp;TEXT(ROW()-1,"0000"))</f>
        <v/>
      </c>
      <c r="B736" s="6" t="n"/>
      <c r="G736" s="6" t="n"/>
      <c r="H736" s="8" t="n"/>
      <c r="I736">
        <f>IF($G736="","", MAX(0, TODAY()-$G736))</f>
        <v/>
      </c>
      <c r="L736" s="6" t="n"/>
    </row>
    <row r="737">
      <c r="A737">
        <f>IF($C737="","", "REM"&amp;TEXT(ROW()-1,"0000"))</f>
        <v/>
      </c>
      <c r="B737" s="6" t="n"/>
      <c r="G737" s="6" t="n"/>
      <c r="H737" s="8" t="n"/>
      <c r="I737">
        <f>IF($G737="","", MAX(0, TODAY()-$G737))</f>
        <v/>
      </c>
      <c r="L737" s="6" t="n"/>
    </row>
    <row r="738">
      <c r="A738">
        <f>IF($C738="","", "REM"&amp;TEXT(ROW()-1,"0000"))</f>
        <v/>
      </c>
      <c r="B738" s="6" t="n"/>
      <c r="G738" s="6" t="n"/>
      <c r="H738" s="8" t="n"/>
      <c r="I738">
        <f>IF($G738="","", MAX(0, TODAY()-$G738))</f>
        <v/>
      </c>
      <c r="L738" s="6" t="n"/>
    </row>
    <row r="739">
      <c r="A739">
        <f>IF($C739="","", "REM"&amp;TEXT(ROW()-1,"0000"))</f>
        <v/>
      </c>
      <c r="B739" s="6" t="n"/>
      <c r="G739" s="6" t="n"/>
      <c r="H739" s="8" t="n"/>
      <c r="I739">
        <f>IF($G739="","", MAX(0, TODAY()-$G739))</f>
        <v/>
      </c>
      <c r="L739" s="6" t="n"/>
    </row>
    <row r="740">
      <c r="A740">
        <f>IF($C740="","", "REM"&amp;TEXT(ROW()-1,"0000"))</f>
        <v/>
      </c>
      <c r="B740" s="6" t="n"/>
      <c r="G740" s="6" t="n"/>
      <c r="H740" s="8" t="n"/>
      <c r="I740">
        <f>IF($G740="","", MAX(0, TODAY()-$G740))</f>
        <v/>
      </c>
      <c r="L740" s="6" t="n"/>
    </row>
    <row r="741">
      <c r="A741">
        <f>IF($C741="","", "REM"&amp;TEXT(ROW()-1,"0000"))</f>
        <v/>
      </c>
      <c r="B741" s="6" t="n"/>
      <c r="G741" s="6" t="n"/>
      <c r="H741" s="8" t="n"/>
      <c r="I741">
        <f>IF($G741="","", MAX(0, TODAY()-$G741))</f>
        <v/>
      </c>
      <c r="L741" s="6" t="n"/>
    </row>
    <row r="742">
      <c r="A742">
        <f>IF($C742="","", "REM"&amp;TEXT(ROW()-1,"0000"))</f>
        <v/>
      </c>
      <c r="B742" s="6" t="n"/>
      <c r="G742" s="6" t="n"/>
      <c r="H742" s="8" t="n"/>
      <c r="I742">
        <f>IF($G742="","", MAX(0, TODAY()-$G742))</f>
        <v/>
      </c>
      <c r="L742" s="6" t="n"/>
    </row>
    <row r="743">
      <c r="A743">
        <f>IF($C743="","", "REM"&amp;TEXT(ROW()-1,"0000"))</f>
        <v/>
      </c>
      <c r="B743" s="6" t="n"/>
      <c r="G743" s="6" t="n"/>
      <c r="H743" s="8" t="n"/>
      <c r="I743">
        <f>IF($G743="","", MAX(0, TODAY()-$G743))</f>
        <v/>
      </c>
      <c r="L743" s="6" t="n"/>
    </row>
    <row r="744">
      <c r="A744">
        <f>IF($C744="","", "REM"&amp;TEXT(ROW()-1,"0000"))</f>
        <v/>
      </c>
      <c r="B744" s="6" t="n"/>
      <c r="G744" s="6" t="n"/>
      <c r="H744" s="8" t="n"/>
      <c r="I744">
        <f>IF($G744="","", MAX(0, TODAY()-$G744))</f>
        <v/>
      </c>
      <c r="L744" s="6" t="n"/>
    </row>
    <row r="745">
      <c r="A745">
        <f>IF($C745="","", "REM"&amp;TEXT(ROW()-1,"0000"))</f>
        <v/>
      </c>
      <c r="B745" s="6" t="n"/>
      <c r="G745" s="6" t="n"/>
      <c r="H745" s="8" t="n"/>
      <c r="I745">
        <f>IF($G745="","", MAX(0, TODAY()-$G745))</f>
        <v/>
      </c>
      <c r="L745" s="6" t="n"/>
    </row>
    <row r="746">
      <c r="A746">
        <f>IF($C746="","", "REM"&amp;TEXT(ROW()-1,"0000"))</f>
        <v/>
      </c>
      <c r="B746" s="6" t="n"/>
      <c r="G746" s="6" t="n"/>
      <c r="H746" s="8" t="n"/>
      <c r="I746">
        <f>IF($G746="","", MAX(0, TODAY()-$G746))</f>
        <v/>
      </c>
      <c r="L746" s="6" t="n"/>
    </row>
    <row r="747">
      <c r="A747">
        <f>IF($C747="","", "REM"&amp;TEXT(ROW()-1,"0000"))</f>
        <v/>
      </c>
      <c r="B747" s="6" t="n"/>
      <c r="G747" s="6" t="n"/>
      <c r="H747" s="8" t="n"/>
      <c r="I747">
        <f>IF($G747="","", MAX(0, TODAY()-$G747))</f>
        <v/>
      </c>
      <c r="L747" s="6" t="n"/>
    </row>
    <row r="748">
      <c r="A748">
        <f>IF($C748="","", "REM"&amp;TEXT(ROW()-1,"0000"))</f>
        <v/>
      </c>
      <c r="B748" s="6" t="n"/>
      <c r="G748" s="6" t="n"/>
      <c r="H748" s="8" t="n"/>
      <c r="I748">
        <f>IF($G748="","", MAX(0, TODAY()-$G748))</f>
        <v/>
      </c>
      <c r="L748" s="6" t="n"/>
    </row>
    <row r="749">
      <c r="A749">
        <f>IF($C749="","", "REM"&amp;TEXT(ROW()-1,"0000"))</f>
        <v/>
      </c>
      <c r="B749" s="6" t="n"/>
      <c r="G749" s="6" t="n"/>
      <c r="H749" s="8" t="n"/>
      <c r="I749">
        <f>IF($G749="","", MAX(0, TODAY()-$G749))</f>
        <v/>
      </c>
      <c r="L749" s="6" t="n"/>
    </row>
    <row r="750">
      <c r="A750">
        <f>IF($C750="","", "REM"&amp;TEXT(ROW()-1,"0000"))</f>
        <v/>
      </c>
      <c r="B750" s="6" t="n"/>
      <c r="G750" s="6" t="n"/>
      <c r="H750" s="8" t="n"/>
      <c r="I750">
        <f>IF($G750="","", MAX(0, TODAY()-$G750))</f>
        <v/>
      </c>
      <c r="L750" s="6" t="n"/>
    </row>
    <row r="751">
      <c r="A751">
        <f>IF($C751="","", "REM"&amp;TEXT(ROW()-1,"0000"))</f>
        <v/>
      </c>
      <c r="B751" s="6" t="n"/>
      <c r="G751" s="6" t="n"/>
      <c r="H751" s="8" t="n"/>
      <c r="I751">
        <f>IF($G751="","", MAX(0, TODAY()-$G751))</f>
        <v/>
      </c>
      <c r="L751" s="6" t="n"/>
    </row>
    <row r="752">
      <c r="A752">
        <f>IF($C752="","", "REM"&amp;TEXT(ROW()-1,"0000"))</f>
        <v/>
      </c>
      <c r="B752" s="6" t="n"/>
      <c r="G752" s="6" t="n"/>
      <c r="H752" s="8" t="n"/>
      <c r="I752">
        <f>IF($G752="","", MAX(0, TODAY()-$G752))</f>
        <v/>
      </c>
      <c r="L752" s="6" t="n"/>
    </row>
    <row r="753">
      <c r="A753">
        <f>IF($C753="","", "REM"&amp;TEXT(ROW()-1,"0000"))</f>
        <v/>
      </c>
      <c r="B753" s="6" t="n"/>
      <c r="G753" s="6" t="n"/>
      <c r="H753" s="8" t="n"/>
      <c r="I753">
        <f>IF($G753="","", MAX(0, TODAY()-$G753))</f>
        <v/>
      </c>
      <c r="L753" s="6" t="n"/>
    </row>
    <row r="754">
      <c r="A754">
        <f>IF($C754="","", "REM"&amp;TEXT(ROW()-1,"0000"))</f>
        <v/>
      </c>
      <c r="B754" s="6" t="n"/>
      <c r="G754" s="6" t="n"/>
      <c r="H754" s="8" t="n"/>
      <c r="I754">
        <f>IF($G754="","", MAX(0, TODAY()-$G754))</f>
        <v/>
      </c>
      <c r="L754" s="6" t="n"/>
    </row>
    <row r="755">
      <c r="A755">
        <f>IF($C755="","", "REM"&amp;TEXT(ROW()-1,"0000"))</f>
        <v/>
      </c>
      <c r="B755" s="6" t="n"/>
      <c r="G755" s="6" t="n"/>
      <c r="H755" s="8" t="n"/>
      <c r="I755">
        <f>IF($G755="","", MAX(0, TODAY()-$G755))</f>
        <v/>
      </c>
      <c r="L755" s="6" t="n"/>
    </row>
    <row r="756">
      <c r="A756">
        <f>IF($C756="","", "REM"&amp;TEXT(ROW()-1,"0000"))</f>
        <v/>
      </c>
      <c r="B756" s="6" t="n"/>
      <c r="G756" s="6" t="n"/>
      <c r="H756" s="8" t="n"/>
      <c r="I756">
        <f>IF($G756="","", MAX(0, TODAY()-$G756))</f>
        <v/>
      </c>
      <c r="L756" s="6" t="n"/>
    </row>
    <row r="757">
      <c r="A757">
        <f>IF($C757="","", "REM"&amp;TEXT(ROW()-1,"0000"))</f>
        <v/>
      </c>
      <c r="B757" s="6" t="n"/>
      <c r="G757" s="6" t="n"/>
      <c r="H757" s="8" t="n"/>
      <c r="I757">
        <f>IF($G757="","", MAX(0, TODAY()-$G757))</f>
        <v/>
      </c>
      <c r="L757" s="6" t="n"/>
    </row>
    <row r="758">
      <c r="A758">
        <f>IF($C758="","", "REM"&amp;TEXT(ROW()-1,"0000"))</f>
        <v/>
      </c>
      <c r="B758" s="6" t="n"/>
      <c r="G758" s="6" t="n"/>
      <c r="H758" s="8" t="n"/>
      <c r="I758">
        <f>IF($G758="","", MAX(0, TODAY()-$G758))</f>
        <v/>
      </c>
      <c r="L758" s="6" t="n"/>
    </row>
    <row r="759">
      <c r="A759">
        <f>IF($C759="","", "REM"&amp;TEXT(ROW()-1,"0000"))</f>
        <v/>
      </c>
      <c r="B759" s="6" t="n"/>
      <c r="G759" s="6" t="n"/>
      <c r="H759" s="8" t="n"/>
      <c r="I759">
        <f>IF($G759="","", MAX(0, TODAY()-$G759))</f>
        <v/>
      </c>
      <c r="L759" s="6" t="n"/>
    </row>
    <row r="760">
      <c r="A760">
        <f>IF($C760="","", "REM"&amp;TEXT(ROW()-1,"0000"))</f>
        <v/>
      </c>
      <c r="B760" s="6" t="n"/>
      <c r="G760" s="6" t="n"/>
      <c r="H760" s="8" t="n"/>
      <c r="I760">
        <f>IF($G760="","", MAX(0, TODAY()-$G760))</f>
        <v/>
      </c>
      <c r="L760" s="6" t="n"/>
    </row>
    <row r="761">
      <c r="A761">
        <f>IF($C761="","", "REM"&amp;TEXT(ROW()-1,"0000"))</f>
        <v/>
      </c>
      <c r="B761" s="6" t="n"/>
      <c r="G761" s="6" t="n"/>
      <c r="H761" s="8" t="n"/>
      <c r="I761">
        <f>IF($G761="","", MAX(0, TODAY()-$G761))</f>
        <v/>
      </c>
      <c r="L761" s="6" t="n"/>
    </row>
    <row r="762">
      <c r="A762">
        <f>IF($C762="","", "REM"&amp;TEXT(ROW()-1,"0000"))</f>
        <v/>
      </c>
      <c r="B762" s="6" t="n"/>
      <c r="G762" s="6" t="n"/>
      <c r="H762" s="8" t="n"/>
      <c r="I762">
        <f>IF($G762="","", MAX(0, TODAY()-$G762))</f>
        <v/>
      </c>
      <c r="L762" s="6" t="n"/>
    </row>
    <row r="763">
      <c r="A763">
        <f>IF($C763="","", "REM"&amp;TEXT(ROW()-1,"0000"))</f>
        <v/>
      </c>
      <c r="B763" s="6" t="n"/>
      <c r="G763" s="6" t="n"/>
      <c r="H763" s="8" t="n"/>
      <c r="I763">
        <f>IF($G763="","", MAX(0, TODAY()-$G763))</f>
        <v/>
      </c>
      <c r="L763" s="6" t="n"/>
    </row>
    <row r="764">
      <c r="A764">
        <f>IF($C764="","", "REM"&amp;TEXT(ROW()-1,"0000"))</f>
        <v/>
      </c>
      <c r="B764" s="6" t="n"/>
      <c r="G764" s="6" t="n"/>
      <c r="H764" s="8" t="n"/>
      <c r="I764">
        <f>IF($G764="","", MAX(0, TODAY()-$G764))</f>
        <v/>
      </c>
      <c r="L764" s="6" t="n"/>
    </row>
    <row r="765">
      <c r="A765">
        <f>IF($C765="","", "REM"&amp;TEXT(ROW()-1,"0000"))</f>
        <v/>
      </c>
      <c r="B765" s="6" t="n"/>
      <c r="G765" s="6" t="n"/>
      <c r="H765" s="8" t="n"/>
      <c r="I765">
        <f>IF($G765="","", MAX(0, TODAY()-$G765))</f>
        <v/>
      </c>
      <c r="L765" s="6" t="n"/>
    </row>
    <row r="766">
      <c r="A766">
        <f>IF($C766="","", "REM"&amp;TEXT(ROW()-1,"0000"))</f>
        <v/>
      </c>
      <c r="B766" s="6" t="n"/>
      <c r="G766" s="6" t="n"/>
      <c r="H766" s="8" t="n"/>
      <c r="I766">
        <f>IF($G766="","", MAX(0, TODAY()-$G766))</f>
        <v/>
      </c>
      <c r="L766" s="6" t="n"/>
    </row>
    <row r="767">
      <c r="A767">
        <f>IF($C767="","", "REM"&amp;TEXT(ROW()-1,"0000"))</f>
        <v/>
      </c>
      <c r="B767" s="6" t="n"/>
      <c r="G767" s="6" t="n"/>
      <c r="H767" s="8" t="n"/>
      <c r="I767">
        <f>IF($G767="","", MAX(0, TODAY()-$G767))</f>
        <v/>
      </c>
      <c r="L767" s="6" t="n"/>
    </row>
    <row r="768">
      <c r="A768">
        <f>IF($C768="","", "REM"&amp;TEXT(ROW()-1,"0000"))</f>
        <v/>
      </c>
      <c r="B768" s="6" t="n"/>
      <c r="G768" s="6" t="n"/>
      <c r="H768" s="8" t="n"/>
      <c r="I768">
        <f>IF($G768="","", MAX(0, TODAY()-$G768))</f>
        <v/>
      </c>
      <c r="L768" s="6" t="n"/>
    </row>
    <row r="769">
      <c r="A769">
        <f>IF($C769="","", "REM"&amp;TEXT(ROW()-1,"0000"))</f>
        <v/>
      </c>
      <c r="B769" s="6" t="n"/>
      <c r="G769" s="6" t="n"/>
      <c r="H769" s="8" t="n"/>
      <c r="I769">
        <f>IF($G769="","", MAX(0, TODAY()-$G769))</f>
        <v/>
      </c>
      <c r="L769" s="6" t="n"/>
    </row>
    <row r="770">
      <c r="A770">
        <f>IF($C770="","", "REM"&amp;TEXT(ROW()-1,"0000"))</f>
        <v/>
      </c>
      <c r="B770" s="6" t="n"/>
      <c r="G770" s="6" t="n"/>
      <c r="H770" s="8" t="n"/>
      <c r="I770">
        <f>IF($G770="","", MAX(0, TODAY()-$G770))</f>
        <v/>
      </c>
      <c r="L770" s="6" t="n"/>
    </row>
    <row r="771">
      <c r="A771">
        <f>IF($C771="","", "REM"&amp;TEXT(ROW()-1,"0000"))</f>
        <v/>
      </c>
      <c r="B771" s="6" t="n"/>
      <c r="G771" s="6" t="n"/>
      <c r="H771" s="8" t="n"/>
      <c r="I771">
        <f>IF($G771="","", MAX(0, TODAY()-$G771))</f>
        <v/>
      </c>
      <c r="L771" s="6" t="n"/>
    </row>
    <row r="772">
      <c r="A772">
        <f>IF($C772="","", "REM"&amp;TEXT(ROW()-1,"0000"))</f>
        <v/>
      </c>
      <c r="B772" s="6" t="n"/>
      <c r="G772" s="6" t="n"/>
      <c r="H772" s="8" t="n"/>
      <c r="I772">
        <f>IF($G772="","", MAX(0, TODAY()-$G772))</f>
        <v/>
      </c>
      <c r="L772" s="6" t="n"/>
    </row>
    <row r="773">
      <c r="A773">
        <f>IF($C773="","", "REM"&amp;TEXT(ROW()-1,"0000"))</f>
        <v/>
      </c>
      <c r="B773" s="6" t="n"/>
      <c r="G773" s="6" t="n"/>
      <c r="H773" s="8" t="n"/>
      <c r="I773">
        <f>IF($G773="","", MAX(0, TODAY()-$G773))</f>
        <v/>
      </c>
      <c r="L773" s="6" t="n"/>
    </row>
    <row r="774">
      <c r="A774">
        <f>IF($C774="","", "REM"&amp;TEXT(ROW()-1,"0000"))</f>
        <v/>
      </c>
      <c r="B774" s="6" t="n"/>
      <c r="G774" s="6" t="n"/>
      <c r="H774" s="8" t="n"/>
      <c r="I774">
        <f>IF($G774="","", MAX(0, TODAY()-$G774))</f>
        <v/>
      </c>
      <c r="L774" s="6" t="n"/>
    </row>
    <row r="775">
      <c r="A775">
        <f>IF($C775="","", "REM"&amp;TEXT(ROW()-1,"0000"))</f>
        <v/>
      </c>
      <c r="B775" s="6" t="n"/>
      <c r="G775" s="6" t="n"/>
      <c r="H775" s="8" t="n"/>
      <c r="I775">
        <f>IF($G775="","", MAX(0, TODAY()-$G775))</f>
        <v/>
      </c>
      <c r="L775" s="6" t="n"/>
    </row>
    <row r="776">
      <c r="A776">
        <f>IF($C776="","", "REM"&amp;TEXT(ROW()-1,"0000"))</f>
        <v/>
      </c>
      <c r="B776" s="6" t="n"/>
      <c r="G776" s="6" t="n"/>
      <c r="H776" s="8" t="n"/>
      <c r="I776">
        <f>IF($G776="","", MAX(0, TODAY()-$G776))</f>
        <v/>
      </c>
      <c r="L776" s="6" t="n"/>
    </row>
    <row r="777">
      <c r="A777">
        <f>IF($C777="","", "REM"&amp;TEXT(ROW()-1,"0000"))</f>
        <v/>
      </c>
      <c r="B777" s="6" t="n"/>
      <c r="G777" s="6" t="n"/>
      <c r="H777" s="8" t="n"/>
      <c r="I777">
        <f>IF($G777="","", MAX(0, TODAY()-$G777))</f>
        <v/>
      </c>
      <c r="L777" s="6" t="n"/>
    </row>
    <row r="778">
      <c r="A778">
        <f>IF($C778="","", "REM"&amp;TEXT(ROW()-1,"0000"))</f>
        <v/>
      </c>
      <c r="B778" s="6" t="n"/>
      <c r="G778" s="6" t="n"/>
      <c r="H778" s="8" t="n"/>
      <c r="I778">
        <f>IF($G778="","", MAX(0, TODAY()-$G778))</f>
        <v/>
      </c>
      <c r="L778" s="6" t="n"/>
    </row>
    <row r="779">
      <c r="A779">
        <f>IF($C779="","", "REM"&amp;TEXT(ROW()-1,"0000"))</f>
        <v/>
      </c>
      <c r="B779" s="6" t="n"/>
      <c r="G779" s="6" t="n"/>
      <c r="H779" s="8" t="n"/>
      <c r="I779">
        <f>IF($G779="","", MAX(0, TODAY()-$G779))</f>
        <v/>
      </c>
      <c r="L779" s="6" t="n"/>
    </row>
    <row r="780">
      <c r="A780">
        <f>IF($C780="","", "REM"&amp;TEXT(ROW()-1,"0000"))</f>
        <v/>
      </c>
      <c r="B780" s="6" t="n"/>
      <c r="G780" s="6" t="n"/>
      <c r="H780" s="8" t="n"/>
      <c r="I780">
        <f>IF($G780="","", MAX(0, TODAY()-$G780))</f>
        <v/>
      </c>
      <c r="L780" s="6" t="n"/>
    </row>
    <row r="781">
      <c r="A781">
        <f>IF($C781="","", "REM"&amp;TEXT(ROW()-1,"0000"))</f>
        <v/>
      </c>
      <c r="B781" s="6" t="n"/>
      <c r="G781" s="6" t="n"/>
      <c r="H781" s="8" t="n"/>
      <c r="I781">
        <f>IF($G781="","", MAX(0, TODAY()-$G781))</f>
        <v/>
      </c>
      <c r="L781" s="6" t="n"/>
    </row>
    <row r="782">
      <c r="A782">
        <f>IF($C782="","", "REM"&amp;TEXT(ROW()-1,"0000"))</f>
        <v/>
      </c>
      <c r="B782" s="6" t="n"/>
      <c r="G782" s="6" t="n"/>
      <c r="H782" s="8" t="n"/>
      <c r="I782">
        <f>IF($G782="","", MAX(0, TODAY()-$G782))</f>
        <v/>
      </c>
      <c r="L782" s="6" t="n"/>
    </row>
    <row r="783">
      <c r="A783">
        <f>IF($C783="","", "REM"&amp;TEXT(ROW()-1,"0000"))</f>
        <v/>
      </c>
      <c r="B783" s="6" t="n"/>
      <c r="G783" s="6" t="n"/>
      <c r="H783" s="8" t="n"/>
      <c r="I783">
        <f>IF($G783="","", MAX(0, TODAY()-$G783))</f>
        <v/>
      </c>
      <c r="L783" s="6" t="n"/>
    </row>
    <row r="784">
      <c r="A784">
        <f>IF($C784="","", "REM"&amp;TEXT(ROW()-1,"0000"))</f>
        <v/>
      </c>
      <c r="B784" s="6" t="n"/>
      <c r="G784" s="6" t="n"/>
      <c r="H784" s="8" t="n"/>
      <c r="I784">
        <f>IF($G784="","", MAX(0, TODAY()-$G784))</f>
        <v/>
      </c>
      <c r="L784" s="6" t="n"/>
    </row>
    <row r="785">
      <c r="A785">
        <f>IF($C785="","", "REM"&amp;TEXT(ROW()-1,"0000"))</f>
        <v/>
      </c>
      <c r="B785" s="6" t="n"/>
      <c r="G785" s="6" t="n"/>
      <c r="H785" s="8" t="n"/>
      <c r="I785">
        <f>IF($G785="","", MAX(0, TODAY()-$G785))</f>
        <v/>
      </c>
      <c r="L785" s="6" t="n"/>
    </row>
    <row r="786">
      <c r="A786">
        <f>IF($C786="","", "REM"&amp;TEXT(ROW()-1,"0000"))</f>
        <v/>
      </c>
      <c r="B786" s="6" t="n"/>
      <c r="G786" s="6" t="n"/>
      <c r="H786" s="8" t="n"/>
      <c r="I786">
        <f>IF($G786="","", MAX(0, TODAY()-$G786))</f>
        <v/>
      </c>
      <c r="L786" s="6" t="n"/>
    </row>
    <row r="787">
      <c r="A787">
        <f>IF($C787="","", "REM"&amp;TEXT(ROW()-1,"0000"))</f>
        <v/>
      </c>
      <c r="B787" s="6" t="n"/>
      <c r="G787" s="6" t="n"/>
      <c r="H787" s="8" t="n"/>
      <c r="I787">
        <f>IF($G787="","", MAX(0, TODAY()-$G787))</f>
        <v/>
      </c>
      <c r="L787" s="6" t="n"/>
    </row>
    <row r="788">
      <c r="A788">
        <f>IF($C788="","", "REM"&amp;TEXT(ROW()-1,"0000"))</f>
        <v/>
      </c>
      <c r="B788" s="6" t="n"/>
      <c r="G788" s="6" t="n"/>
      <c r="H788" s="8" t="n"/>
      <c r="I788">
        <f>IF($G788="","", MAX(0, TODAY()-$G788))</f>
        <v/>
      </c>
      <c r="L788" s="6" t="n"/>
    </row>
    <row r="789">
      <c r="A789">
        <f>IF($C789="","", "REM"&amp;TEXT(ROW()-1,"0000"))</f>
        <v/>
      </c>
      <c r="B789" s="6" t="n"/>
      <c r="G789" s="6" t="n"/>
      <c r="H789" s="8" t="n"/>
      <c r="I789">
        <f>IF($G789="","", MAX(0, TODAY()-$G789))</f>
        <v/>
      </c>
      <c r="L789" s="6" t="n"/>
    </row>
    <row r="790">
      <c r="A790">
        <f>IF($C790="","", "REM"&amp;TEXT(ROW()-1,"0000"))</f>
        <v/>
      </c>
      <c r="B790" s="6" t="n"/>
      <c r="G790" s="6" t="n"/>
      <c r="H790" s="8" t="n"/>
      <c r="I790">
        <f>IF($G790="","", MAX(0, TODAY()-$G790))</f>
        <v/>
      </c>
      <c r="L790" s="6" t="n"/>
    </row>
    <row r="791">
      <c r="A791">
        <f>IF($C791="","", "REM"&amp;TEXT(ROW()-1,"0000"))</f>
        <v/>
      </c>
      <c r="B791" s="6" t="n"/>
      <c r="G791" s="6" t="n"/>
      <c r="H791" s="8" t="n"/>
      <c r="I791">
        <f>IF($G791="","", MAX(0, TODAY()-$G791))</f>
        <v/>
      </c>
      <c r="L791" s="6" t="n"/>
    </row>
    <row r="792">
      <c r="A792">
        <f>IF($C792="","", "REM"&amp;TEXT(ROW()-1,"0000"))</f>
        <v/>
      </c>
      <c r="B792" s="6" t="n"/>
      <c r="G792" s="6" t="n"/>
      <c r="H792" s="8" t="n"/>
      <c r="I792">
        <f>IF($G792="","", MAX(0, TODAY()-$G792))</f>
        <v/>
      </c>
      <c r="L792" s="6" t="n"/>
    </row>
    <row r="793">
      <c r="A793">
        <f>IF($C793="","", "REM"&amp;TEXT(ROW()-1,"0000"))</f>
        <v/>
      </c>
      <c r="B793" s="6" t="n"/>
      <c r="G793" s="6" t="n"/>
      <c r="H793" s="8" t="n"/>
      <c r="I793">
        <f>IF($G793="","", MAX(0, TODAY()-$G793))</f>
        <v/>
      </c>
      <c r="L793" s="6" t="n"/>
    </row>
    <row r="794">
      <c r="A794">
        <f>IF($C794="","", "REM"&amp;TEXT(ROW()-1,"0000"))</f>
        <v/>
      </c>
      <c r="B794" s="6" t="n"/>
      <c r="G794" s="6" t="n"/>
      <c r="H794" s="8" t="n"/>
      <c r="I794">
        <f>IF($G794="","", MAX(0, TODAY()-$G794))</f>
        <v/>
      </c>
      <c r="L794" s="6" t="n"/>
    </row>
    <row r="795">
      <c r="A795">
        <f>IF($C795="","", "REM"&amp;TEXT(ROW()-1,"0000"))</f>
        <v/>
      </c>
      <c r="B795" s="6" t="n"/>
      <c r="G795" s="6" t="n"/>
      <c r="H795" s="8" t="n"/>
      <c r="I795">
        <f>IF($G795="","", MAX(0, TODAY()-$G795))</f>
        <v/>
      </c>
      <c r="L795" s="6" t="n"/>
    </row>
    <row r="796">
      <c r="A796">
        <f>IF($C796="","", "REM"&amp;TEXT(ROW()-1,"0000"))</f>
        <v/>
      </c>
      <c r="B796" s="6" t="n"/>
      <c r="G796" s="6" t="n"/>
      <c r="H796" s="8" t="n"/>
      <c r="I796">
        <f>IF($G796="","", MAX(0, TODAY()-$G796))</f>
        <v/>
      </c>
      <c r="L796" s="6" t="n"/>
    </row>
    <row r="797">
      <c r="A797">
        <f>IF($C797="","", "REM"&amp;TEXT(ROW()-1,"0000"))</f>
        <v/>
      </c>
      <c r="B797" s="6" t="n"/>
      <c r="G797" s="6" t="n"/>
      <c r="H797" s="8" t="n"/>
      <c r="I797">
        <f>IF($G797="","", MAX(0, TODAY()-$G797))</f>
        <v/>
      </c>
      <c r="L797" s="6" t="n"/>
    </row>
    <row r="798">
      <c r="A798">
        <f>IF($C798="","", "REM"&amp;TEXT(ROW()-1,"0000"))</f>
        <v/>
      </c>
      <c r="B798" s="6" t="n"/>
      <c r="G798" s="6" t="n"/>
      <c r="H798" s="8" t="n"/>
      <c r="I798">
        <f>IF($G798="","", MAX(0, TODAY()-$G798))</f>
        <v/>
      </c>
      <c r="L798" s="6" t="n"/>
    </row>
    <row r="799">
      <c r="A799">
        <f>IF($C799="","", "REM"&amp;TEXT(ROW()-1,"0000"))</f>
        <v/>
      </c>
      <c r="B799" s="6" t="n"/>
      <c r="G799" s="6" t="n"/>
      <c r="H799" s="8" t="n"/>
      <c r="I799">
        <f>IF($G799="","", MAX(0, TODAY()-$G799))</f>
        <v/>
      </c>
      <c r="L799" s="6" t="n"/>
    </row>
    <row r="800">
      <c r="A800">
        <f>IF($C800="","", "REM"&amp;TEXT(ROW()-1,"0000"))</f>
        <v/>
      </c>
      <c r="B800" s="6" t="n"/>
      <c r="G800" s="6" t="n"/>
      <c r="H800" s="8" t="n"/>
      <c r="I800">
        <f>IF($G800="","", MAX(0, TODAY()-$G800))</f>
        <v/>
      </c>
      <c r="L800" s="6" t="n"/>
    </row>
    <row r="801">
      <c r="A801">
        <f>IF($C801="","", "REM"&amp;TEXT(ROW()-1,"0000"))</f>
        <v/>
      </c>
      <c r="B801" s="6" t="n"/>
      <c r="G801" s="6" t="n"/>
      <c r="H801" s="8" t="n"/>
      <c r="I801">
        <f>IF($G801="","", MAX(0, TODAY()-$G801))</f>
        <v/>
      </c>
      <c r="L801" s="6" t="n"/>
    </row>
  </sheetData>
  <dataValidations count="5">
    <dataValidation sqref="C2:C801" showDropDown="0" showInputMessage="0" showErrorMessage="0" allowBlank="1" type="list">
      <formula1>=LoanIDs</formula1>
    </dataValidation>
    <dataValidation sqref="D2:D801" showDropDown="0" showInputMessage="0" showErrorMessage="0" allowBlank="1" type="list">
      <formula1>=ClientIDs</formula1>
    </dataValidation>
    <dataValidation sqref="E2:E801" showDropDown="0" showInputMessage="0" showErrorMessage="0" allowBlank="1" type="list">
      <formula1>=Channels</formula1>
    </dataValidation>
    <dataValidation sqref="F2:F801" showDropDown="0" showInputMessage="0" showErrorMessage="0" allowBlank="1" type="list">
      <formula1>"T-2 Friendly,Due Today,Missed Payment (Day 1),Watchlist (Day 8+),Other"</formula1>
    </dataValidation>
    <dataValidation sqref="J2:J801" showDropDown="0" showInputMessage="0" showErrorMessage="0" allowBlank="1" type="list">
      <formula1>=StaffNames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4" customWidth="1" min="4" max="4"/>
    <col width="16" customWidth="1" min="5" max="5"/>
    <col width="16" customWidth="1" min="6" max="6"/>
    <col width="14" customWidth="1" min="7" max="7"/>
    <col width="18" customWidth="1" min="8" max="8"/>
    <col width="24" customWidth="1" min="9" max="9"/>
  </cols>
  <sheetData>
    <row r="1" ht="28" customHeight="1">
      <c r="A1" s="3" t="inlineStr">
        <is>
          <t>Staff Name</t>
        </is>
      </c>
      <c r="B1" s="3" t="inlineStr">
        <is>
          <t>Role</t>
        </is>
      </c>
      <c r="C1" s="3" t="inlineStr">
        <is>
          <t>Active Clients</t>
        </is>
      </c>
      <c r="D1" s="3" t="inlineStr">
        <is>
          <t>Loans Managed</t>
        </is>
      </c>
      <c r="E1" s="3" t="inlineStr">
        <is>
          <t>Amount Collected</t>
        </is>
      </c>
      <c r="F1" s="3" t="inlineStr">
        <is>
          <t>Due Amount (All)</t>
        </is>
      </c>
      <c r="G1" s="3" t="inlineStr">
        <is>
          <t>Collection Rate</t>
        </is>
      </c>
      <c r="H1" s="3" t="inlineStr">
        <is>
          <t>Arrears Cases (&gt;0 days)</t>
        </is>
      </c>
      <c r="I1" s="3" t="inlineStr">
        <is>
          <t>Notes</t>
        </is>
      </c>
    </row>
    <row r="2">
      <c r="A2" s="4">
        <f>Settings!$E2</f>
        <v/>
      </c>
      <c r="B2" s="4" t="n"/>
      <c r="C2" s="4">
        <f>IF($A2="","", COUNTIF(Client_Register!$J$2:$J$301,"Active"))</f>
        <v/>
      </c>
      <c r="D2" s="4">
        <f>IF($A2="","", COUNTIF(Loan_Register!$S$2:$S$301,$A2))</f>
        <v/>
      </c>
      <c r="E2" s="7">
        <f>IF($A2="","", SUMIF(Repayment_Ledger!$K$2:$K$801,$A2,Repayment_Ledger!$E$2:$E$801))</f>
        <v/>
      </c>
      <c r="F2" s="7">
        <f>IF($A2="","", SUMIF(Repayment_Ledger!$K$2:$K$801,$A2,Repayment_Ledger!$D$2:$D$801))</f>
        <v/>
      </c>
      <c r="G2" s="9">
        <f>IF($A2="","", IF($F2=0,0,$E2/$F2))</f>
        <v/>
      </c>
      <c r="H2" s="4">
        <f>IF($A2="","", COUNTIFS(Arrears_Tracking!$G$2:$G$401,$A2,Arrears_Tracking!$D$2:$D$401,"&gt;0"))</f>
        <v/>
      </c>
      <c r="I2" s="4" t="n"/>
    </row>
    <row r="3">
      <c r="A3" s="4">
        <f>Settings!$E3</f>
        <v/>
      </c>
      <c r="B3" s="4" t="n"/>
      <c r="C3" s="4">
        <f>IF($A3="","", COUNTIF(Client_Register!$J$2:$J$301,"Active"))</f>
        <v/>
      </c>
      <c r="D3" s="4">
        <f>IF($A3="","", COUNTIF(Loan_Register!$S$2:$S$301,$A3))</f>
        <v/>
      </c>
      <c r="E3" s="7">
        <f>IF($A3="","", SUMIF(Repayment_Ledger!$K$2:$K$801,$A3,Repayment_Ledger!$E$2:$E$801))</f>
        <v/>
      </c>
      <c r="F3" s="7">
        <f>IF($A3="","", SUMIF(Repayment_Ledger!$K$2:$K$801,$A3,Repayment_Ledger!$D$2:$D$801))</f>
        <v/>
      </c>
      <c r="G3" s="9">
        <f>IF($A3="","", IF($F3=0,0,$E3/$F3))</f>
        <v/>
      </c>
      <c r="H3" s="4">
        <f>IF($A3="","", COUNTIFS(Arrears_Tracking!$G$2:$G$401,$A3,Arrears_Tracking!$D$2:$D$401,"&gt;0"))</f>
        <v/>
      </c>
      <c r="I3" s="4" t="n"/>
    </row>
    <row r="4">
      <c r="A4" s="4">
        <f>Settings!$E4</f>
        <v/>
      </c>
      <c r="B4" s="4" t="n"/>
      <c r="C4" s="4">
        <f>IF($A4="","", COUNTIF(Client_Register!$J$2:$J$301,"Active"))</f>
        <v/>
      </c>
      <c r="D4" s="4">
        <f>IF($A4="","", COUNTIF(Loan_Register!$S$2:$S$301,$A4))</f>
        <v/>
      </c>
      <c r="E4" s="7">
        <f>IF($A4="","", SUMIF(Repayment_Ledger!$K$2:$K$801,$A4,Repayment_Ledger!$E$2:$E$801))</f>
        <v/>
      </c>
      <c r="F4" s="7">
        <f>IF($A4="","", SUMIF(Repayment_Ledger!$K$2:$K$801,$A4,Repayment_Ledger!$D$2:$D$801))</f>
        <v/>
      </c>
      <c r="G4" s="9">
        <f>IF($A4="","", IF($F4=0,0,$E4/$F4))</f>
        <v/>
      </c>
      <c r="H4" s="4">
        <f>IF($A4="","", COUNTIFS(Arrears_Tracking!$G$2:$G$401,$A4,Arrears_Tracking!$D$2:$D$401,"&gt;0"))</f>
        <v/>
      </c>
      <c r="I4" s="4" t="n"/>
    </row>
    <row r="5">
      <c r="A5" s="4">
        <f>Settings!$E5</f>
        <v/>
      </c>
      <c r="B5" s="4" t="n"/>
      <c r="C5" s="4">
        <f>IF($A5="","", COUNTIF(Client_Register!$J$2:$J$301,"Active"))</f>
        <v/>
      </c>
      <c r="D5" s="4">
        <f>IF($A5="","", COUNTIF(Loan_Register!$S$2:$S$301,$A5))</f>
        <v/>
      </c>
      <c r="E5" s="7">
        <f>IF($A5="","", SUMIF(Repayment_Ledger!$K$2:$K$801,$A5,Repayment_Ledger!$E$2:$E$801))</f>
        <v/>
      </c>
      <c r="F5" s="7">
        <f>IF($A5="","", SUMIF(Repayment_Ledger!$K$2:$K$801,$A5,Repayment_Ledger!$D$2:$D$801))</f>
        <v/>
      </c>
      <c r="G5" s="9">
        <f>IF($A5="","", IF($F5=0,0,$E5/$F5))</f>
        <v/>
      </c>
      <c r="H5" s="4">
        <f>IF($A5="","", COUNTIFS(Arrears_Tracking!$G$2:$G$401,$A5,Arrears_Tracking!$D$2:$D$401,"&gt;0"))</f>
        <v/>
      </c>
      <c r="I5" s="4" t="n"/>
    </row>
    <row r="6">
      <c r="A6" s="4">
        <f>Settings!$E6</f>
        <v/>
      </c>
      <c r="B6" s="4" t="n"/>
      <c r="C6" s="4">
        <f>IF($A6="","", COUNTIF(Client_Register!$J$2:$J$301,"Active"))</f>
        <v/>
      </c>
      <c r="D6" s="4">
        <f>IF($A6="","", COUNTIF(Loan_Register!$S$2:$S$301,$A6))</f>
        <v/>
      </c>
      <c r="E6" s="7">
        <f>IF($A6="","", SUMIF(Repayment_Ledger!$K$2:$K$801,$A6,Repayment_Ledger!$E$2:$E$801))</f>
        <v/>
      </c>
      <c r="F6" s="7">
        <f>IF($A6="","", SUMIF(Repayment_Ledger!$K$2:$K$801,$A6,Repayment_Ledger!$D$2:$D$801))</f>
        <v/>
      </c>
      <c r="G6" s="9">
        <f>IF($A6="","", IF($F6=0,0,$E6/$F6))</f>
        <v/>
      </c>
      <c r="H6" s="4">
        <f>IF($A6="","", COUNTIFS(Arrears_Tracking!$G$2:$G$401,$A6,Arrears_Tracking!$D$2:$D$401,"&gt;0"))</f>
        <v/>
      </c>
      <c r="I6" s="4" t="n"/>
    </row>
    <row r="7">
      <c r="A7" s="4" t="n"/>
      <c r="B7" s="4" t="n"/>
      <c r="C7" s="4">
        <f>IF($A7="","", COUNTIF(Client_Register!$J$2:$J$301,"Active"))</f>
        <v/>
      </c>
      <c r="D7" s="4">
        <f>IF($A7="","", COUNTIF(Loan_Register!$S$2:$S$301,$A7))</f>
        <v/>
      </c>
      <c r="E7" s="7">
        <f>IF($A7="","", SUMIF(Repayment_Ledger!$K$2:$K$801,$A7,Repayment_Ledger!$E$2:$E$801))</f>
        <v/>
      </c>
      <c r="F7" s="7">
        <f>IF($A7="","", SUMIF(Repayment_Ledger!$K$2:$K$801,$A7,Repayment_Ledger!$D$2:$D$801))</f>
        <v/>
      </c>
      <c r="G7" s="9">
        <f>IF($A7="","", IF($F7=0,0,$E7/$F7))</f>
        <v/>
      </c>
      <c r="H7" s="4">
        <f>IF($A7="","", COUNTIFS(Arrears_Tracking!$G$2:$G$401,$A7,Arrears_Tracking!$D$2:$D$401,"&gt;0"))</f>
        <v/>
      </c>
      <c r="I7" s="4" t="n"/>
    </row>
    <row r="8">
      <c r="A8" s="4" t="n"/>
      <c r="B8" s="4" t="n"/>
      <c r="C8" s="4">
        <f>IF($A8="","", COUNTIF(Client_Register!$J$2:$J$301,"Active"))</f>
        <v/>
      </c>
      <c r="D8" s="4">
        <f>IF($A8="","", COUNTIF(Loan_Register!$S$2:$S$301,$A8))</f>
        <v/>
      </c>
      <c r="E8" s="7">
        <f>IF($A8="","", SUMIF(Repayment_Ledger!$K$2:$K$801,$A8,Repayment_Ledger!$E$2:$E$801))</f>
        <v/>
      </c>
      <c r="F8" s="7">
        <f>IF($A8="","", SUMIF(Repayment_Ledger!$K$2:$K$801,$A8,Repayment_Ledger!$D$2:$D$801))</f>
        <v/>
      </c>
      <c r="G8" s="9">
        <f>IF($A8="","", IF($F8=0,0,$E8/$F8))</f>
        <v/>
      </c>
      <c r="H8" s="4">
        <f>IF($A8="","", COUNTIFS(Arrears_Tracking!$G$2:$G$401,$A8,Arrears_Tracking!$D$2:$D$401,"&gt;0"))</f>
        <v/>
      </c>
      <c r="I8" s="4" t="n"/>
    </row>
    <row r="9">
      <c r="A9" s="4" t="n"/>
      <c r="B9" s="4" t="n"/>
      <c r="C9" s="4">
        <f>IF($A9="","", COUNTIF(Client_Register!$J$2:$J$301,"Active"))</f>
        <v/>
      </c>
      <c r="D9" s="4">
        <f>IF($A9="","", COUNTIF(Loan_Register!$S$2:$S$301,$A9))</f>
        <v/>
      </c>
      <c r="E9" s="7">
        <f>IF($A9="","", SUMIF(Repayment_Ledger!$K$2:$K$801,$A9,Repayment_Ledger!$E$2:$E$801))</f>
        <v/>
      </c>
      <c r="F9" s="7">
        <f>IF($A9="","", SUMIF(Repayment_Ledger!$K$2:$K$801,$A9,Repayment_Ledger!$D$2:$D$801))</f>
        <v/>
      </c>
      <c r="G9" s="9">
        <f>IF($A9="","", IF($F9=0,0,$E9/$F9))</f>
        <v/>
      </c>
      <c r="H9" s="4">
        <f>IF($A9="","", COUNTIFS(Arrears_Tracking!$G$2:$G$401,$A9,Arrears_Tracking!$D$2:$D$401,"&gt;0"))</f>
        <v/>
      </c>
      <c r="I9" s="4" t="n"/>
    </row>
    <row r="10">
      <c r="A10" s="4" t="n"/>
      <c r="B10" s="4" t="n"/>
      <c r="C10" s="4">
        <f>IF($A10="","", COUNTIF(Client_Register!$J$2:$J$301,"Active"))</f>
        <v/>
      </c>
      <c r="D10" s="4">
        <f>IF($A10="","", COUNTIF(Loan_Register!$S$2:$S$301,$A10))</f>
        <v/>
      </c>
      <c r="E10" s="7">
        <f>IF($A10="","", SUMIF(Repayment_Ledger!$K$2:$K$801,$A10,Repayment_Ledger!$E$2:$E$801))</f>
        <v/>
      </c>
      <c r="F10" s="7">
        <f>IF($A10="","", SUMIF(Repayment_Ledger!$K$2:$K$801,$A10,Repayment_Ledger!$D$2:$D$801))</f>
        <v/>
      </c>
      <c r="G10" s="9">
        <f>IF($A10="","", IF($F10=0,0,$E10/$F10))</f>
        <v/>
      </c>
      <c r="H10" s="4">
        <f>IF($A10="","", COUNTIFS(Arrears_Tracking!$G$2:$G$401,$A10,Arrears_Tracking!$D$2:$D$401,"&gt;0"))</f>
        <v/>
      </c>
      <c r="I10" s="4" t="n"/>
    </row>
    <row r="11">
      <c r="A11" s="4" t="n"/>
      <c r="B11" s="4" t="n"/>
      <c r="C11" s="4">
        <f>IF($A11="","", COUNTIF(Client_Register!$J$2:$J$301,"Active"))</f>
        <v/>
      </c>
      <c r="D11" s="4">
        <f>IF($A11="","", COUNTIF(Loan_Register!$S$2:$S$301,$A11))</f>
        <v/>
      </c>
      <c r="E11" s="7">
        <f>IF($A11="","", SUMIF(Repayment_Ledger!$K$2:$K$801,$A11,Repayment_Ledger!$E$2:$E$801))</f>
        <v/>
      </c>
      <c r="F11" s="7">
        <f>IF($A11="","", SUMIF(Repayment_Ledger!$K$2:$K$801,$A11,Repayment_Ledger!$D$2:$D$801))</f>
        <v/>
      </c>
      <c r="G11" s="9">
        <f>IF($A11="","", IF($F11=0,0,$E11/$F11))</f>
        <v/>
      </c>
      <c r="H11" s="4">
        <f>IF($A11="","", COUNTIFS(Arrears_Tracking!$G$2:$G$401,$A11,Arrears_Tracking!$D$2:$D$401,"&gt;0"))</f>
        <v/>
      </c>
      <c r="I11" s="4" t="n"/>
    </row>
    <row r="12">
      <c r="A12" s="4" t="n"/>
      <c r="B12" s="4" t="n"/>
      <c r="C12" s="4">
        <f>IF($A12="","", COUNTIF(Client_Register!$J$2:$J$301,"Active"))</f>
        <v/>
      </c>
      <c r="D12" s="4">
        <f>IF($A12="","", COUNTIF(Loan_Register!$S$2:$S$301,$A12))</f>
        <v/>
      </c>
      <c r="E12" s="7">
        <f>IF($A12="","", SUMIF(Repayment_Ledger!$K$2:$K$801,$A12,Repayment_Ledger!$E$2:$E$801))</f>
        <v/>
      </c>
      <c r="F12" s="7">
        <f>IF($A12="","", SUMIF(Repayment_Ledger!$K$2:$K$801,$A12,Repayment_Ledger!$D$2:$D$801))</f>
        <v/>
      </c>
      <c r="G12" s="9">
        <f>IF($A12="","", IF($F12=0,0,$E12/$F12))</f>
        <v/>
      </c>
      <c r="H12" s="4">
        <f>IF($A12="","", COUNTIFS(Arrears_Tracking!$G$2:$G$401,$A12,Arrears_Tracking!$D$2:$D$401,"&gt;0"))</f>
        <v/>
      </c>
      <c r="I12" s="4" t="n"/>
    </row>
    <row r="13">
      <c r="A13" s="4" t="n"/>
      <c r="B13" s="4" t="n"/>
      <c r="C13" s="4">
        <f>IF($A13="","", COUNTIF(Client_Register!$J$2:$J$301,"Active"))</f>
        <v/>
      </c>
      <c r="D13" s="4">
        <f>IF($A13="","", COUNTIF(Loan_Register!$S$2:$S$301,$A13))</f>
        <v/>
      </c>
      <c r="E13" s="7">
        <f>IF($A13="","", SUMIF(Repayment_Ledger!$K$2:$K$801,$A13,Repayment_Ledger!$E$2:$E$801))</f>
        <v/>
      </c>
      <c r="F13" s="7">
        <f>IF($A13="","", SUMIF(Repayment_Ledger!$K$2:$K$801,$A13,Repayment_Ledger!$D$2:$D$801))</f>
        <v/>
      </c>
      <c r="G13" s="9">
        <f>IF($A13="","", IF($F13=0,0,$E13/$F13))</f>
        <v/>
      </c>
      <c r="H13" s="4">
        <f>IF($A13="","", COUNTIFS(Arrears_Tracking!$G$2:$G$401,$A13,Arrears_Tracking!$D$2:$D$401,"&gt;0"))</f>
        <v/>
      </c>
      <c r="I13" s="4" t="n"/>
    </row>
    <row r="14">
      <c r="A14" s="4" t="n"/>
      <c r="B14" s="4" t="n"/>
      <c r="C14" s="4">
        <f>IF($A14="","", COUNTIF(Client_Register!$J$2:$J$301,"Active"))</f>
        <v/>
      </c>
      <c r="D14" s="4">
        <f>IF($A14="","", COUNTIF(Loan_Register!$S$2:$S$301,$A14))</f>
        <v/>
      </c>
      <c r="E14" s="7">
        <f>IF($A14="","", SUMIF(Repayment_Ledger!$K$2:$K$801,$A14,Repayment_Ledger!$E$2:$E$801))</f>
        <v/>
      </c>
      <c r="F14" s="7">
        <f>IF($A14="","", SUMIF(Repayment_Ledger!$K$2:$K$801,$A14,Repayment_Ledger!$D$2:$D$801))</f>
        <v/>
      </c>
      <c r="G14" s="9">
        <f>IF($A14="","", IF($F14=0,0,$E14/$F14))</f>
        <v/>
      </c>
      <c r="H14" s="4">
        <f>IF($A14="","", COUNTIFS(Arrears_Tracking!$G$2:$G$401,$A14,Arrears_Tracking!$D$2:$D$401,"&gt;0"))</f>
        <v/>
      </c>
      <c r="I14" s="4" t="n"/>
    </row>
    <row r="15">
      <c r="A15" s="4" t="n"/>
      <c r="B15" s="4" t="n"/>
      <c r="C15" s="4">
        <f>IF($A15="","", COUNTIF(Client_Register!$J$2:$J$301,"Active"))</f>
        <v/>
      </c>
      <c r="D15" s="4">
        <f>IF($A15="","", COUNTIF(Loan_Register!$S$2:$S$301,$A15))</f>
        <v/>
      </c>
      <c r="E15" s="7">
        <f>IF($A15="","", SUMIF(Repayment_Ledger!$K$2:$K$801,$A15,Repayment_Ledger!$E$2:$E$801))</f>
        <v/>
      </c>
      <c r="F15" s="7">
        <f>IF($A15="","", SUMIF(Repayment_Ledger!$K$2:$K$801,$A15,Repayment_Ledger!$D$2:$D$801))</f>
        <v/>
      </c>
      <c r="G15" s="9">
        <f>IF($A15="","", IF($F15=0,0,$E15/$F15))</f>
        <v/>
      </c>
      <c r="H15" s="4">
        <f>IF($A15="","", COUNTIFS(Arrears_Tracking!$G$2:$G$401,$A15,Arrears_Tracking!$D$2:$D$401,"&gt;0"))</f>
        <v/>
      </c>
      <c r="I15" s="4" t="n"/>
    </row>
    <row r="16">
      <c r="A16" s="4" t="n"/>
      <c r="B16" s="4" t="n"/>
      <c r="C16" s="4">
        <f>IF($A16="","", COUNTIF(Client_Register!$J$2:$J$301,"Active"))</f>
        <v/>
      </c>
      <c r="D16" s="4">
        <f>IF($A16="","", COUNTIF(Loan_Register!$S$2:$S$301,$A16))</f>
        <v/>
      </c>
      <c r="E16" s="7">
        <f>IF($A16="","", SUMIF(Repayment_Ledger!$K$2:$K$801,$A16,Repayment_Ledger!$E$2:$E$801))</f>
        <v/>
      </c>
      <c r="F16" s="7">
        <f>IF($A16="","", SUMIF(Repayment_Ledger!$K$2:$K$801,$A16,Repayment_Ledger!$D$2:$D$801))</f>
        <v/>
      </c>
      <c r="G16" s="9">
        <f>IF($A16="","", IF($F16=0,0,$E16/$F16))</f>
        <v/>
      </c>
      <c r="H16" s="4">
        <f>IF($A16="","", COUNTIFS(Arrears_Tracking!$G$2:$G$401,$A16,Arrears_Tracking!$D$2:$D$401,"&gt;0"))</f>
        <v/>
      </c>
      <c r="I16" s="4" t="n"/>
    </row>
    <row r="17">
      <c r="A17" s="4" t="n"/>
      <c r="B17" s="4" t="n"/>
      <c r="C17" s="4">
        <f>IF($A17="","", COUNTIF(Client_Register!$J$2:$J$301,"Active"))</f>
        <v/>
      </c>
      <c r="D17" s="4">
        <f>IF($A17="","", COUNTIF(Loan_Register!$S$2:$S$301,$A17))</f>
        <v/>
      </c>
      <c r="E17" s="7">
        <f>IF($A17="","", SUMIF(Repayment_Ledger!$K$2:$K$801,$A17,Repayment_Ledger!$E$2:$E$801))</f>
        <v/>
      </c>
      <c r="F17" s="7">
        <f>IF($A17="","", SUMIF(Repayment_Ledger!$K$2:$K$801,$A17,Repayment_Ledger!$D$2:$D$801))</f>
        <v/>
      </c>
      <c r="G17" s="9">
        <f>IF($A17="","", IF($F17=0,0,$E17/$F17))</f>
        <v/>
      </c>
      <c r="H17" s="4">
        <f>IF($A17="","", COUNTIFS(Arrears_Tracking!$G$2:$G$401,$A17,Arrears_Tracking!$D$2:$D$401,"&gt;0"))</f>
        <v/>
      </c>
      <c r="I17" s="4" t="n"/>
    </row>
    <row r="18">
      <c r="A18" s="4" t="n"/>
      <c r="B18" s="4" t="n"/>
      <c r="C18" s="4">
        <f>IF($A18="","", COUNTIF(Client_Register!$J$2:$J$301,"Active"))</f>
        <v/>
      </c>
      <c r="D18" s="4">
        <f>IF($A18="","", COUNTIF(Loan_Register!$S$2:$S$301,$A18))</f>
        <v/>
      </c>
      <c r="E18" s="7">
        <f>IF($A18="","", SUMIF(Repayment_Ledger!$K$2:$K$801,$A18,Repayment_Ledger!$E$2:$E$801))</f>
        <v/>
      </c>
      <c r="F18" s="7">
        <f>IF($A18="","", SUMIF(Repayment_Ledger!$K$2:$K$801,$A18,Repayment_Ledger!$D$2:$D$801))</f>
        <v/>
      </c>
      <c r="G18" s="9">
        <f>IF($A18="","", IF($F18=0,0,$E18/$F18))</f>
        <v/>
      </c>
      <c r="H18" s="4">
        <f>IF($A18="","", COUNTIFS(Arrears_Tracking!$G$2:$G$401,$A18,Arrears_Tracking!$D$2:$D$401,"&gt;0"))</f>
        <v/>
      </c>
      <c r="I18" s="4" t="n"/>
    </row>
    <row r="19">
      <c r="A19" s="4" t="n"/>
      <c r="B19" s="4" t="n"/>
      <c r="C19" s="4">
        <f>IF($A19="","", COUNTIF(Client_Register!$J$2:$J$301,"Active"))</f>
        <v/>
      </c>
      <c r="D19" s="4">
        <f>IF($A19="","", COUNTIF(Loan_Register!$S$2:$S$301,$A19))</f>
        <v/>
      </c>
      <c r="E19" s="7">
        <f>IF($A19="","", SUMIF(Repayment_Ledger!$K$2:$K$801,$A19,Repayment_Ledger!$E$2:$E$801))</f>
        <v/>
      </c>
      <c r="F19" s="7">
        <f>IF($A19="","", SUMIF(Repayment_Ledger!$K$2:$K$801,$A19,Repayment_Ledger!$D$2:$D$801))</f>
        <v/>
      </c>
      <c r="G19" s="9">
        <f>IF($A19="","", IF($F19=0,0,$E19/$F19))</f>
        <v/>
      </c>
      <c r="H19" s="4">
        <f>IF($A19="","", COUNTIFS(Arrears_Tracking!$G$2:$G$401,$A19,Arrears_Tracking!$D$2:$D$401,"&gt;0"))</f>
        <v/>
      </c>
      <c r="I19" s="4" t="n"/>
    </row>
    <row r="20">
      <c r="A20" s="4" t="n"/>
      <c r="B20" s="4" t="n"/>
      <c r="C20" s="4">
        <f>IF($A20="","", COUNTIF(Client_Register!$J$2:$J$301,"Active"))</f>
        <v/>
      </c>
      <c r="D20" s="4">
        <f>IF($A20="","", COUNTIF(Loan_Register!$S$2:$S$301,$A20))</f>
        <v/>
      </c>
      <c r="E20" s="7">
        <f>IF($A20="","", SUMIF(Repayment_Ledger!$K$2:$K$801,$A20,Repayment_Ledger!$E$2:$E$801))</f>
        <v/>
      </c>
      <c r="F20" s="7">
        <f>IF($A20="","", SUMIF(Repayment_Ledger!$K$2:$K$801,$A20,Repayment_Ledger!$D$2:$D$801))</f>
        <v/>
      </c>
      <c r="G20" s="9">
        <f>IF($A20="","", IF($F20=0,0,$E20/$F20))</f>
        <v/>
      </c>
      <c r="H20" s="4">
        <f>IF($A20="","", COUNTIFS(Arrears_Tracking!$G$2:$G$401,$A20,Arrears_Tracking!$D$2:$D$401,"&gt;0"))</f>
        <v/>
      </c>
      <c r="I20" s="4" t="n"/>
    </row>
    <row r="21">
      <c r="A21" s="4" t="n"/>
      <c r="B21" s="4" t="n"/>
      <c r="C21" s="4">
        <f>IF($A21="","", COUNTIF(Client_Register!$J$2:$J$301,"Active"))</f>
        <v/>
      </c>
      <c r="D21" s="4">
        <f>IF($A21="","", COUNTIF(Loan_Register!$S$2:$S$301,$A21))</f>
        <v/>
      </c>
      <c r="E21" s="7">
        <f>IF($A21="","", SUMIF(Repayment_Ledger!$K$2:$K$801,$A21,Repayment_Ledger!$E$2:$E$801))</f>
        <v/>
      </c>
      <c r="F21" s="7">
        <f>IF($A21="","", SUMIF(Repayment_Ledger!$K$2:$K$801,$A21,Repayment_Ledger!$D$2:$D$801))</f>
        <v/>
      </c>
      <c r="G21" s="9">
        <f>IF($A21="","", IF($F21=0,0,$E21/$F21))</f>
        <v/>
      </c>
      <c r="H21" s="4">
        <f>IF($A21="","", COUNTIFS(Arrears_Tracking!$G$2:$G$401,$A21,Arrears_Tracking!$D$2:$D$401,"&gt;0"))</f>
        <v/>
      </c>
      <c r="I21" s="4" t="n"/>
    </row>
    <row r="22">
      <c r="A22" s="4" t="n"/>
      <c r="B22" s="4" t="n"/>
      <c r="C22" s="4">
        <f>IF($A22="","", COUNTIF(Client_Register!$J$2:$J$301,"Active"))</f>
        <v/>
      </c>
      <c r="D22" s="4">
        <f>IF($A22="","", COUNTIF(Loan_Register!$S$2:$S$301,$A22))</f>
        <v/>
      </c>
      <c r="E22" s="7">
        <f>IF($A22="","", SUMIF(Repayment_Ledger!$K$2:$K$801,$A22,Repayment_Ledger!$E$2:$E$801))</f>
        <v/>
      </c>
      <c r="F22" s="7">
        <f>IF($A22="","", SUMIF(Repayment_Ledger!$K$2:$K$801,$A22,Repayment_Ledger!$D$2:$D$801))</f>
        <v/>
      </c>
      <c r="G22" s="9">
        <f>IF($A22="","", IF($F22=0,0,$E22/$F22))</f>
        <v/>
      </c>
      <c r="H22" s="4">
        <f>IF($A22="","", COUNTIFS(Arrears_Tracking!$G$2:$G$401,$A22,Arrears_Tracking!$D$2:$D$401,"&gt;0"))</f>
        <v/>
      </c>
      <c r="I22" s="4" t="n"/>
    </row>
    <row r="23">
      <c r="A23" s="4" t="n"/>
      <c r="B23" s="4" t="n"/>
      <c r="C23" s="4">
        <f>IF($A23="","", COUNTIF(Client_Register!$J$2:$J$301,"Active"))</f>
        <v/>
      </c>
      <c r="D23" s="4">
        <f>IF($A23="","", COUNTIF(Loan_Register!$S$2:$S$301,$A23))</f>
        <v/>
      </c>
      <c r="E23" s="7">
        <f>IF($A23="","", SUMIF(Repayment_Ledger!$K$2:$K$801,$A23,Repayment_Ledger!$E$2:$E$801))</f>
        <v/>
      </c>
      <c r="F23" s="7">
        <f>IF($A23="","", SUMIF(Repayment_Ledger!$K$2:$K$801,$A23,Repayment_Ledger!$D$2:$D$801))</f>
        <v/>
      </c>
      <c r="G23" s="9">
        <f>IF($A23="","", IF($F23=0,0,$E23/$F23))</f>
        <v/>
      </c>
      <c r="H23" s="4">
        <f>IF($A23="","", COUNTIFS(Arrears_Tracking!$G$2:$G$401,$A23,Arrears_Tracking!$D$2:$D$401,"&gt;0"))</f>
        <v/>
      </c>
      <c r="I23" s="4" t="n"/>
    </row>
    <row r="24">
      <c r="A24" s="4" t="n"/>
      <c r="B24" s="4" t="n"/>
      <c r="C24" s="4">
        <f>IF($A24="","", COUNTIF(Client_Register!$J$2:$J$301,"Active"))</f>
        <v/>
      </c>
      <c r="D24" s="4">
        <f>IF($A24="","", COUNTIF(Loan_Register!$S$2:$S$301,$A24))</f>
        <v/>
      </c>
      <c r="E24" s="7">
        <f>IF($A24="","", SUMIF(Repayment_Ledger!$K$2:$K$801,$A24,Repayment_Ledger!$E$2:$E$801))</f>
        <v/>
      </c>
      <c r="F24" s="7">
        <f>IF($A24="","", SUMIF(Repayment_Ledger!$K$2:$K$801,$A24,Repayment_Ledger!$D$2:$D$801))</f>
        <v/>
      </c>
      <c r="G24" s="9">
        <f>IF($A24="","", IF($F24=0,0,$E24/$F24))</f>
        <v/>
      </c>
      <c r="H24" s="4">
        <f>IF($A24="","", COUNTIFS(Arrears_Tracking!$G$2:$G$401,$A24,Arrears_Tracking!$D$2:$D$401,"&gt;0"))</f>
        <v/>
      </c>
      <c r="I24" s="4" t="n"/>
    </row>
    <row r="25">
      <c r="A25" s="4" t="n"/>
      <c r="B25" s="4" t="n"/>
      <c r="C25" s="4">
        <f>IF($A25="","", COUNTIF(Client_Register!$J$2:$J$301,"Active"))</f>
        <v/>
      </c>
      <c r="D25" s="4">
        <f>IF($A25="","", COUNTIF(Loan_Register!$S$2:$S$301,$A25))</f>
        <v/>
      </c>
      <c r="E25" s="7">
        <f>IF($A25="","", SUMIF(Repayment_Ledger!$K$2:$K$801,$A25,Repayment_Ledger!$E$2:$E$801))</f>
        <v/>
      </c>
      <c r="F25" s="7">
        <f>IF($A25="","", SUMIF(Repayment_Ledger!$K$2:$K$801,$A25,Repayment_Ledger!$D$2:$D$801))</f>
        <v/>
      </c>
      <c r="G25" s="9">
        <f>IF($A25="","", IF($F25=0,0,$E25/$F25))</f>
        <v/>
      </c>
      <c r="H25" s="4">
        <f>IF($A25="","", COUNTIFS(Arrears_Tracking!$G$2:$G$401,$A25,Arrears_Tracking!$D$2:$D$401,"&gt;0"))</f>
        <v/>
      </c>
      <c r="I25" s="4" t="n"/>
    </row>
    <row r="26">
      <c r="A26" s="4" t="n"/>
      <c r="B26" s="4" t="n"/>
      <c r="C26" s="4">
        <f>IF($A26="","", COUNTIF(Client_Register!$J$2:$J$301,"Active"))</f>
        <v/>
      </c>
      <c r="D26" s="4">
        <f>IF($A26="","", COUNTIF(Loan_Register!$S$2:$S$301,$A26))</f>
        <v/>
      </c>
      <c r="E26" s="7">
        <f>IF($A26="","", SUMIF(Repayment_Ledger!$K$2:$K$801,$A26,Repayment_Ledger!$E$2:$E$801))</f>
        <v/>
      </c>
      <c r="F26" s="7">
        <f>IF($A26="","", SUMIF(Repayment_Ledger!$K$2:$K$801,$A26,Repayment_Ledger!$D$2:$D$801))</f>
        <v/>
      </c>
      <c r="G26" s="9">
        <f>IF($A26="","", IF($F26=0,0,$E26/$F26))</f>
        <v/>
      </c>
      <c r="H26" s="4">
        <f>IF($A26="","", COUNTIFS(Arrears_Tracking!$G$2:$G$401,$A26,Arrears_Tracking!$D$2:$D$401,"&gt;0"))</f>
        <v/>
      </c>
      <c r="I26" s="4" t="n"/>
    </row>
    <row r="27">
      <c r="A27" s="4" t="n"/>
      <c r="B27" s="4" t="n"/>
      <c r="C27" s="4">
        <f>IF($A27="","", COUNTIF(Client_Register!$J$2:$J$301,"Active"))</f>
        <v/>
      </c>
      <c r="D27" s="4">
        <f>IF($A27="","", COUNTIF(Loan_Register!$S$2:$S$301,$A27))</f>
        <v/>
      </c>
      <c r="E27" s="7">
        <f>IF($A27="","", SUMIF(Repayment_Ledger!$K$2:$K$801,$A27,Repayment_Ledger!$E$2:$E$801))</f>
        <v/>
      </c>
      <c r="F27" s="7">
        <f>IF($A27="","", SUMIF(Repayment_Ledger!$K$2:$K$801,$A27,Repayment_Ledger!$D$2:$D$801))</f>
        <v/>
      </c>
      <c r="G27" s="9">
        <f>IF($A27="","", IF($F27=0,0,$E27/$F27))</f>
        <v/>
      </c>
      <c r="H27" s="4">
        <f>IF($A27="","", COUNTIFS(Arrears_Tracking!$G$2:$G$401,$A27,Arrears_Tracking!$D$2:$D$401,"&gt;0"))</f>
        <v/>
      </c>
      <c r="I27" s="4" t="n"/>
    </row>
    <row r="28">
      <c r="A28" s="4" t="n"/>
      <c r="B28" s="4" t="n"/>
      <c r="C28" s="4">
        <f>IF($A28="","", COUNTIF(Client_Register!$J$2:$J$301,"Active"))</f>
        <v/>
      </c>
      <c r="D28" s="4">
        <f>IF($A28="","", COUNTIF(Loan_Register!$S$2:$S$301,$A28))</f>
        <v/>
      </c>
      <c r="E28" s="7">
        <f>IF($A28="","", SUMIF(Repayment_Ledger!$K$2:$K$801,$A28,Repayment_Ledger!$E$2:$E$801))</f>
        <v/>
      </c>
      <c r="F28" s="7">
        <f>IF($A28="","", SUMIF(Repayment_Ledger!$K$2:$K$801,$A28,Repayment_Ledger!$D$2:$D$801))</f>
        <v/>
      </c>
      <c r="G28" s="9">
        <f>IF($A28="","", IF($F28=0,0,$E28/$F28))</f>
        <v/>
      </c>
      <c r="H28" s="4">
        <f>IF($A28="","", COUNTIFS(Arrears_Tracking!$G$2:$G$401,$A28,Arrears_Tracking!$D$2:$D$401,"&gt;0"))</f>
        <v/>
      </c>
      <c r="I28" s="4" t="n"/>
    </row>
    <row r="29">
      <c r="A29" s="4" t="n"/>
      <c r="B29" s="4" t="n"/>
      <c r="C29" s="4">
        <f>IF($A29="","", COUNTIF(Client_Register!$J$2:$J$301,"Active"))</f>
        <v/>
      </c>
      <c r="D29" s="4">
        <f>IF($A29="","", COUNTIF(Loan_Register!$S$2:$S$301,$A29))</f>
        <v/>
      </c>
      <c r="E29" s="7">
        <f>IF($A29="","", SUMIF(Repayment_Ledger!$K$2:$K$801,$A29,Repayment_Ledger!$E$2:$E$801))</f>
        <v/>
      </c>
      <c r="F29" s="7">
        <f>IF($A29="","", SUMIF(Repayment_Ledger!$K$2:$K$801,$A29,Repayment_Ledger!$D$2:$D$801))</f>
        <v/>
      </c>
      <c r="G29" s="9">
        <f>IF($A29="","", IF($F29=0,0,$E29/$F29))</f>
        <v/>
      </c>
      <c r="H29" s="4">
        <f>IF($A29="","", COUNTIFS(Arrears_Tracking!$G$2:$G$401,$A29,Arrears_Tracking!$D$2:$D$401,"&gt;0"))</f>
        <v/>
      </c>
      <c r="I29" s="4" t="n"/>
    </row>
    <row r="30">
      <c r="A30" s="4" t="n"/>
      <c r="B30" s="4" t="n"/>
      <c r="C30" s="4">
        <f>IF($A30="","", COUNTIF(Client_Register!$J$2:$J$301,"Active"))</f>
        <v/>
      </c>
      <c r="D30" s="4">
        <f>IF($A30="","", COUNTIF(Loan_Register!$S$2:$S$301,$A30))</f>
        <v/>
      </c>
      <c r="E30" s="7">
        <f>IF($A30="","", SUMIF(Repayment_Ledger!$K$2:$K$801,$A30,Repayment_Ledger!$E$2:$E$801))</f>
        <v/>
      </c>
      <c r="F30" s="7">
        <f>IF($A30="","", SUMIF(Repayment_Ledger!$K$2:$K$801,$A30,Repayment_Ledger!$D$2:$D$801))</f>
        <v/>
      </c>
      <c r="G30" s="9">
        <f>IF($A30="","", IF($F30=0,0,$E30/$F30))</f>
        <v/>
      </c>
      <c r="H30" s="4">
        <f>IF($A30="","", COUNTIFS(Arrears_Tracking!$G$2:$G$401,$A30,Arrears_Tracking!$D$2:$D$401,"&gt;0"))</f>
        <v/>
      </c>
      <c r="I30" s="4" t="n"/>
    </row>
    <row r="31">
      <c r="A31" s="4" t="n"/>
      <c r="B31" s="4" t="n"/>
      <c r="C31" s="4">
        <f>IF($A31="","", COUNTIF(Client_Register!$J$2:$J$301,"Active"))</f>
        <v/>
      </c>
      <c r="D31" s="4">
        <f>IF($A31="","", COUNTIF(Loan_Register!$S$2:$S$301,$A31))</f>
        <v/>
      </c>
      <c r="E31" s="7">
        <f>IF($A31="","", SUMIF(Repayment_Ledger!$K$2:$K$801,$A31,Repayment_Ledger!$E$2:$E$801))</f>
        <v/>
      </c>
      <c r="F31" s="7">
        <f>IF($A31="","", SUMIF(Repayment_Ledger!$K$2:$K$801,$A31,Repayment_Ledger!$D$2:$D$801))</f>
        <v/>
      </c>
      <c r="G31" s="9">
        <f>IF($A31="","", IF($F31=0,0,$E31/$F31))</f>
        <v/>
      </c>
      <c r="H31" s="4">
        <f>IF($A31="","", COUNTIFS(Arrears_Tracking!$G$2:$G$401,$A31,Arrears_Tracking!$D$2:$D$401,"&gt;0"))</f>
        <v/>
      </c>
      <c r="I31" s="4" t="n"/>
    </row>
  </sheetData>
  <dataValidations count="1">
    <dataValidation sqref="B2:B31" showDropDown="0" showInputMessage="0" showErrorMessage="0" allowBlank="1" type="list">
      <formula1>=StaffRoles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4" customWidth="1" min="2" max="2"/>
  </cols>
  <sheetData>
    <row r="1">
      <c r="A1" s="1" t="inlineStr">
        <is>
          <t>Branch KPI Dashboard</t>
        </is>
      </c>
    </row>
    <row r="3">
      <c r="A3" s="3" t="inlineStr">
        <is>
          <t>KPI</t>
        </is>
      </c>
      <c r="B3" s="3" t="inlineStr">
        <is>
          <t>Value</t>
        </is>
      </c>
    </row>
    <row r="4">
      <c r="A4" t="inlineStr">
        <is>
          <t>Active Clients</t>
        </is>
      </c>
      <c r="B4" s="8">
        <f>COUNTIF(Client_Register!$J$2:$J$301,"Active")</f>
        <v/>
      </c>
    </row>
    <row r="5">
      <c r="A5" t="inlineStr">
        <is>
          <t>Outstanding Portfolio</t>
        </is>
      </c>
      <c r="B5" s="8">
        <f>SUM(Loan_Register!$P$2:$P$301)</f>
        <v/>
      </c>
    </row>
    <row r="6">
      <c r="A6" t="inlineStr">
        <is>
          <t>Total Disbursed (Principal)</t>
        </is>
      </c>
      <c r="B6" s="8">
        <f>SUM(Loan_Register!$G$2:$G$301)</f>
        <v/>
      </c>
    </row>
    <row r="7">
      <c r="A7" t="inlineStr">
        <is>
          <t>Pending Applications</t>
        </is>
      </c>
      <c r="B7" s="8">
        <f>COUNTIF(Loan_Application_Tracker!$K$2:$K$301,"Submitted")+COUNTIF(Loan_Application_Tracker!$K$2:$K$301,"Under Review")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2026-03-06T05:51:44Z</dcterms:created>
  <dcterms:modified xmlns:dcterms="http://purl.org/dc/terms/" xmlns:xsi="http://www.w3.org/2001/XMLSchema-instance" xsi:type="dcterms:W3CDTF">2026-03-06T05:51:44Z</dcterms:modified>
</cp:coreProperties>
</file>